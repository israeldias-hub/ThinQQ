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drawings/drawing38.xml" ContentType="application/vnd.openxmlformats-officedocument.drawing+xml"/>
  <Override PartName="/xl/charts/chart28.xml" ContentType="application/vnd.openxmlformats-officedocument.drawingml.chart+xml"/>
  <Override PartName="/xl/drawings/drawing39.xml" ContentType="application/vnd.openxmlformats-officedocument.drawing+xml"/>
  <Override PartName="/xl/charts/chart2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CEF6C6E4-351F-4AF7-A77A-633C741FEA74}" xr6:coauthVersionLast="47" xr6:coauthVersionMax="47" xr10:uidLastSave="{00000000-0000-0000-0000-000000000000}"/>
  <bookViews>
    <workbookView xWindow="-120" yWindow="-120" windowWidth="20730" windowHeight="11040" xr2:uid="{B87F6334-D42B-408D-A9D6-34F1D2C44D14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E27" sheetId="32" r:id="rId31"/>
    <sheet name="E28" sheetId="33" r:id="rId32"/>
    <sheet name="_ThinQQ" sheetId="6" state="veryHidden" r:id="rId33"/>
  </sheets>
  <definedNames>
    <definedName name="_xlnm._FilterDatabase" localSheetId="1" hidden="1">Dados!$A$1:$L$1</definedName>
    <definedName name="tqq_12anja" hidden="1">_ThinQQ!$A$14:$E$23</definedName>
    <definedName name="tqq_33shd3" hidden="1">_ThinQQ!$A$234:$S$275</definedName>
    <definedName name="tqq_3rami3" hidden="1">_ThinQQ!$A$331:$O$337</definedName>
    <definedName name="tqq_7skge8" hidden="1">_ThinQQ!$A$77:$G$86</definedName>
    <definedName name="tqq_8h76l8" hidden="1">_ThinQQ!$A$360:$E$373</definedName>
    <definedName name="tqq_9xeiud" hidden="1">_ThinQQ!$A$163:$Q$189</definedName>
    <definedName name="tqq_atf3pd" hidden="1">_ThinQQ!$A$98:$K$107</definedName>
    <definedName name="tqq_azudok" hidden="1">_ThinQQ!$A$326:$E$329</definedName>
    <definedName name="tqq_c770qy" hidden="1">_ThinQQ!$A$88:$T$96</definedName>
    <definedName name="tqq_cwcnw4" hidden="1">_ThinQQ!$A$355:$E$358</definedName>
    <definedName name="tqq_f7l5ef" hidden="1">_ThinQQ!$A$304:$H$313</definedName>
    <definedName name="tqq_hmidqq" hidden="1">_ThinQQ!$A$277:$D$283</definedName>
    <definedName name="tqq_ibvmq8" hidden="1">_ThinQQ!$A$293:$J$302</definedName>
    <definedName name="tqq_iws8cm" hidden="1">_ThinQQ!$A$66:$E$75</definedName>
    <definedName name="tqq_jcay36" hidden="1">_ThinQQ!$A$109:$K$118</definedName>
    <definedName name="tqq_k3852b" hidden="1">_ThinQQ!$A$420:$BF$463</definedName>
    <definedName name="tqq_l7xktj" hidden="1">_ThinQQ!$A$3:$E$12</definedName>
    <definedName name="tqq_lo6jzd" hidden="1">_ThinQQ!$A$120:$E$133</definedName>
    <definedName name="tqq_lz5z5j" hidden="1">_ThinQQ!$A$25:$G$31</definedName>
    <definedName name="tqq_p98aeu" hidden="1">_ThinQQ!$A$339:$F$348</definedName>
    <definedName name="tqq_q7li7k" hidden="1">_ThinQQ!$A$350:$E$353</definedName>
    <definedName name="tqq_ra6wqt" hidden="1">_ThinQQ!$A$375:$BF$418</definedName>
    <definedName name="tqq_rcxopr" hidden="1">_ThinQQ!$A$315:$N$324</definedName>
    <definedName name="tqq_rpr8l3" hidden="1">_ThinQQ!$A$191:$S$232</definedName>
    <definedName name="tqq_rz2j4r" hidden="1">_ThinQQ!$A$285:$D$291</definedName>
    <definedName name="tqq_t3omul" hidden="1">_ThinQQ!$A$33:$E$46</definedName>
    <definedName name="tqq_tk4h41" hidden="1">_ThinQQ!$A$48:$T$56</definedName>
    <definedName name="tqq_tnumw4" hidden="1">_ThinQQ!$A$135:$Q$161</definedName>
    <definedName name="tqq_v19bae" hidden="1">_ThinQQ!$A$58:$E$64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423" i="6" l="1"/>
  <c r="BE423" i="6"/>
  <c r="BF422" i="6"/>
  <c r="BE422" i="6"/>
  <c r="BD423" i="6"/>
  <c r="BC423" i="6"/>
  <c r="BB423" i="6"/>
  <c r="BD422" i="6"/>
  <c r="BC422" i="6"/>
  <c r="BB422" i="6"/>
  <c r="BA428" i="6"/>
  <c r="AZ428" i="6"/>
  <c r="AX462" i="6"/>
  <c r="AW462" i="6"/>
  <c r="AX461" i="6"/>
  <c r="AW461" i="6"/>
  <c r="AY460" i="6"/>
  <c r="AX460" i="6"/>
  <c r="AW460" i="6"/>
  <c r="AX459" i="6"/>
  <c r="AW459" i="6"/>
  <c r="AX458" i="6"/>
  <c r="AW458" i="6"/>
  <c r="BA427" i="6"/>
  <c r="AZ427" i="6"/>
  <c r="AX456" i="6"/>
  <c r="AW456" i="6"/>
  <c r="AX455" i="6"/>
  <c r="AW455" i="6"/>
  <c r="AX454" i="6"/>
  <c r="AW454" i="6"/>
  <c r="AX453" i="6"/>
  <c r="AW453" i="6"/>
  <c r="AX452" i="6"/>
  <c r="AW452" i="6"/>
  <c r="BA426" i="6"/>
  <c r="AZ426" i="6"/>
  <c r="AX450" i="6"/>
  <c r="AW450" i="6"/>
  <c r="AX449" i="6"/>
  <c r="AW449" i="6"/>
  <c r="AX448" i="6"/>
  <c r="AW448" i="6"/>
  <c r="AX447" i="6"/>
  <c r="AW447" i="6"/>
  <c r="AX446" i="6"/>
  <c r="AW446" i="6"/>
  <c r="BA425" i="6"/>
  <c r="AZ425" i="6"/>
  <c r="AX444" i="6"/>
  <c r="AW444" i="6"/>
  <c r="AX443" i="6"/>
  <c r="AW443" i="6"/>
  <c r="AX442" i="6"/>
  <c r="AW442" i="6"/>
  <c r="AX441" i="6"/>
  <c r="AW441" i="6"/>
  <c r="AX440" i="6"/>
  <c r="AW440" i="6"/>
  <c r="BA424" i="6"/>
  <c r="AZ424" i="6"/>
  <c r="AX438" i="6"/>
  <c r="AW438" i="6"/>
  <c r="AX437" i="6"/>
  <c r="AW437" i="6"/>
  <c r="AX436" i="6"/>
  <c r="AW436" i="6"/>
  <c r="AX435" i="6"/>
  <c r="AW435" i="6"/>
  <c r="AX434" i="6"/>
  <c r="AW434" i="6"/>
  <c r="BA423" i="6"/>
  <c r="AZ423" i="6"/>
  <c r="AX432" i="6"/>
  <c r="AW432" i="6"/>
  <c r="AX431" i="6"/>
  <c r="AW431" i="6"/>
  <c r="AX430" i="6"/>
  <c r="AW430" i="6"/>
  <c r="AX429" i="6"/>
  <c r="AW429" i="6"/>
  <c r="AX428" i="6"/>
  <c r="AW428" i="6"/>
  <c r="BA422" i="6"/>
  <c r="AZ422" i="6"/>
  <c r="AX426" i="6"/>
  <c r="AW426" i="6"/>
  <c r="AX425" i="6"/>
  <c r="AW425" i="6"/>
  <c r="AX424" i="6"/>
  <c r="AW424" i="6"/>
  <c r="AX423" i="6"/>
  <c r="AW423" i="6"/>
  <c r="AX422" i="6"/>
  <c r="AW422" i="6"/>
  <c r="AV427" i="6"/>
  <c r="AU427" i="6"/>
  <c r="AT427" i="6"/>
  <c r="AS427" i="6"/>
  <c r="AR427" i="6"/>
  <c r="AV426" i="6"/>
  <c r="AU426" i="6"/>
  <c r="AT426" i="6"/>
  <c r="AS426" i="6"/>
  <c r="AR426" i="6"/>
  <c r="AV425" i="6"/>
  <c r="AU425" i="6"/>
  <c r="AT425" i="6"/>
  <c r="AS425" i="6"/>
  <c r="AR425" i="6"/>
  <c r="AV424" i="6"/>
  <c r="AU424" i="6"/>
  <c r="AT424" i="6"/>
  <c r="AS424" i="6"/>
  <c r="AR424" i="6"/>
  <c r="AV423" i="6"/>
  <c r="AU423" i="6"/>
  <c r="AT423" i="6"/>
  <c r="AS423" i="6"/>
  <c r="AR423" i="6"/>
  <c r="AV422" i="6"/>
  <c r="AU422" i="6"/>
  <c r="AT422" i="6"/>
  <c r="AS422" i="6"/>
  <c r="AR422" i="6"/>
  <c r="AQ441" i="6"/>
  <c r="AN441" i="6"/>
  <c r="AO441" i="6"/>
  <c r="AM441" i="6"/>
  <c r="AL441" i="6"/>
  <c r="AK441" i="6"/>
  <c r="AJ441" i="6"/>
  <c r="AI441" i="6"/>
  <c r="AH441" i="6"/>
  <c r="AG441" i="6"/>
  <c r="AF441" i="6"/>
  <c r="AE441" i="6"/>
  <c r="AQ440" i="6"/>
  <c r="AN440" i="6"/>
  <c r="AO440" i="6"/>
  <c r="AM440" i="6"/>
  <c r="AL440" i="6"/>
  <c r="AK440" i="6"/>
  <c r="AJ440" i="6"/>
  <c r="AI440" i="6"/>
  <c r="AH440" i="6"/>
  <c r="AG440" i="6"/>
  <c r="AF440" i="6"/>
  <c r="AE440" i="6"/>
  <c r="AC440" i="6"/>
  <c r="AQ439" i="6"/>
  <c r="AO439" i="6"/>
  <c r="AN439" i="6"/>
  <c r="AM439" i="6"/>
  <c r="AL439" i="6"/>
  <c r="AK439" i="6"/>
  <c r="AJ439" i="6"/>
  <c r="AE439" i="6"/>
  <c r="AF439" i="6"/>
  <c r="AG439" i="6"/>
  <c r="AH439" i="6"/>
  <c r="AI439" i="6"/>
  <c r="AQ438" i="6"/>
  <c r="AN438" i="6"/>
  <c r="AO438" i="6"/>
  <c r="AM438" i="6"/>
  <c r="AL438" i="6"/>
  <c r="AK438" i="6"/>
  <c r="AJ438" i="6"/>
  <c r="AI438" i="6"/>
  <c r="AH438" i="6"/>
  <c r="AG438" i="6"/>
  <c r="AF438" i="6"/>
  <c r="AE438" i="6"/>
  <c r="AQ437" i="6"/>
  <c r="AN437" i="6"/>
  <c r="AO437" i="6"/>
  <c r="AM437" i="6"/>
  <c r="AL437" i="6"/>
  <c r="AK437" i="6"/>
  <c r="AJ437" i="6"/>
  <c r="AI437" i="6"/>
  <c r="AH437" i="6"/>
  <c r="AG437" i="6"/>
  <c r="AF437" i="6"/>
  <c r="AE437" i="6"/>
  <c r="AC437" i="6"/>
  <c r="AQ436" i="6"/>
  <c r="AO436" i="6"/>
  <c r="AN436" i="6"/>
  <c r="AM436" i="6"/>
  <c r="AL436" i="6"/>
  <c r="AK436" i="6"/>
  <c r="AJ436" i="6"/>
  <c r="AE436" i="6"/>
  <c r="AF436" i="6"/>
  <c r="AG436" i="6"/>
  <c r="AH436" i="6"/>
  <c r="AI436" i="6"/>
  <c r="AQ435" i="6"/>
  <c r="AN435" i="6"/>
  <c r="AO435" i="6"/>
  <c r="AM435" i="6"/>
  <c r="AL435" i="6"/>
  <c r="AK435" i="6"/>
  <c r="AJ435" i="6"/>
  <c r="AI435" i="6"/>
  <c r="AH435" i="6"/>
  <c r="AG435" i="6"/>
  <c r="AF435" i="6"/>
  <c r="AE435" i="6"/>
  <c r="AQ434" i="6"/>
  <c r="AN434" i="6"/>
  <c r="AO434" i="6"/>
  <c r="AM434" i="6"/>
  <c r="AL434" i="6"/>
  <c r="AK434" i="6"/>
  <c r="AJ434" i="6"/>
  <c r="AI434" i="6"/>
  <c r="AH434" i="6"/>
  <c r="AG434" i="6"/>
  <c r="AF434" i="6"/>
  <c r="AE434" i="6"/>
  <c r="AC434" i="6"/>
  <c r="AQ433" i="6"/>
  <c r="AO433" i="6"/>
  <c r="AN433" i="6"/>
  <c r="AM433" i="6"/>
  <c r="AL433" i="6"/>
  <c r="AK433" i="6"/>
  <c r="AJ433" i="6"/>
  <c r="AE433" i="6"/>
  <c r="AF433" i="6"/>
  <c r="AG433" i="6"/>
  <c r="AH433" i="6"/>
  <c r="AI433" i="6"/>
  <c r="AQ432" i="6"/>
  <c r="AN432" i="6"/>
  <c r="AO432" i="6"/>
  <c r="AM432" i="6"/>
  <c r="AL432" i="6"/>
  <c r="AK432" i="6"/>
  <c r="AJ432" i="6"/>
  <c r="AI432" i="6"/>
  <c r="AH432" i="6"/>
  <c r="AG432" i="6"/>
  <c r="AF432" i="6"/>
  <c r="AE432" i="6"/>
  <c r="AQ431" i="6"/>
  <c r="AN431" i="6"/>
  <c r="AO431" i="6"/>
  <c r="AM431" i="6"/>
  <c r="AL431" i="6"/>
  <c r="AK431" i="6"/>
  <c r="AJ431" i="6"/>
  <c r="AI431" i="6"/>
  <c r="AH431" i="6"/>
  <c r="AG431" i="6"/>
  <c r="AF431" i="6"/>
  <c r="AE431" i="6"/>
  <c r="AC431" i="6"/>
  <c r="AQ430" i="6"/>
  <c r="AO430" i="6"/>
  <c r="AN430" i="6"/>
  <c r="AM430" i="6"/>
  <c r="AL430" i="6"/>
  <c r="AK430" i="6"/>
  <c r="AJ430" i="6"/>
  <c r="AE430" i="6"/>
  <c r="AF430" i="6"/>
  <c r="AG430" i="6"/>
  <c r="AH430" i="6"/>
  <c r="AI430" i="6"/>
  <c r="AQ429" i="6"/>
  <c r="AN429" i="6"/>
  <c r="AM429" i="6"/>
  <c r="AL429" i="6"/>
  <c r="AK429" i="6"/>
  <c r="AJ429" i="6"/>
  <c r="AI429" i="6"/>
  <c r="AH429" i="6"/>
  <c r="AG429" i="6"/>
  <c r="AF429" i="6"/>
  <c r="AE429" i="6"/>
  <c r="AQ428" i="6"/>
  <c r="AN428" i="6"/>
  <c r="AO428" i="6"/>
  <c r="AM428" i="6"/>
  <c r="AL428" i="6"/>
  <c r="AK428" i="6"/>
  <c r="AJ428" i="6"/>
  <c r="AI428" i="6"/>
  <c r="AH428" i="6"/>
  <c r="AG428" i="6"/>
  <c r="AF428" i="6"/>
  <c r="AE428" i="6"/>
  <c r="AC428" i="6"/>
  <c r="AQ427" i="6"/>
  <c r="AO427" i="6"/>
  <c r="AN427" i="6"/>
  <c r="AM427" i="6"/>
  <c r="AL427" i="6"/>
  <c r="AK427" i="6"/>
  <c r="AJ427" i="6"/>
  <c r="AE427" i="6"/>
  <c r="AF427" i="6"/>
  <c r="AG427" i="6"/>
  <c r="AH427" i="6"/>
  <c r="AI427" i="6"/>
  <c r="AQ426" i="6"/>
  <c r="AN426" i="6"/>
  <c r="AM426" i="6"/>
  <c r="AL426" i="6"/>
  <c r="AK426" i="6"/>
  <c r="AJ426" i="6"/>
  <c r="AI426" i="6"/>
  <c r="AH426" i="6"/>
  <c r="AG426" i="6"/>
  <c r="AF426" i="6"/>
  <c r="AE426" i="6"/>
  <c r="AQ425" i="6"/>
  <c r="AN425" i="6"/>
  <c r="AM425" i="6"/>
  <c r="AL425" i="6"/>
  <c r="AK425" i="6"/>
  <c r="AJ425" i="6"/>
  <c r="AI425" i="6"/>
  <c r="AH425" i="6"/>
  <c r="AG425" i="6"/>
  <c r="AF425" i="6"/>
  <c r="AE425" i="6"/>
  <c r="AC425" i="6"/>
  <c r="AQ424" i="6"/>
  <c r="AO424" i="6"/>
  <c r="AN424" i="6"/>
  <c r="AM424" i="6"/>
  <c r="AL424" i="6"/>
  <c r="AK424" i="6"/>
  <c r="AJ424" i="6"/>
  <c r="AE424" i="6"/>
  <c r="AF424" i="6"/>
  <c r="AG424" i="6"/>
  <c r="AH424" i="6"/>
  <c r="AI424" i="6"/>
  <c r="AQ423" i="6"/>
  <c r="AN423" i="6"/>
  <c r="AM423" i="6"/>
  <c r="AL423" i="6"/>
  <c r="AK423" i="6"/>
  <c r="AJ423" i="6"/>
  <c r="AI423" i="6"/>
  <c r="AH423" i="6"/>
  <c r="AG423" i="6"/>
  <c r="AF423" i="6"/>
  <c r="AE423" i="6"/>
  <c r="AQ422" i="6"/>
  <c r="AN422" i="6"/>
  <c r="AM422" i="6"/>
  <c r="AL422" i="6"/>
  <c r="AK422" i="6"/>
  <c r="AJ422" i="6"/>
  <c r="AI422" i="6"/>
  <c r="AH422" i="6"/>
  <c r="AG422" i="6"/>
  <c r="AF422" i="6"/>
  <c r="AE422" i="6"/>
  <c r="AC422" i="6"/>
  <c r="Z428" i="6"/>
  <c r="AB428" i="6"/>
  <c r="X428" i="6"/>
  <c r="Y428" i="6"/>
  <c r="W428" i="6"/>
  <c r="V428" i="6"/>
  <c r="U428" i="6"/>
  <c r="T428" i="6"/>
  <c r="S428" i="6"/>
  <c r="R428" i="6"/>
  <c r="Q428" i="6"/>
  <c r="P428" i="6"/>
  <c r="O428" i="6"/>
  <c r="N428" i="6"/>
  <c r="AA428" i="6"/>
  <c r="L428" i="6"/>
  <c r="M428" i="6"/>
  <c r="K428" i="6"/>
  <c r="J428" i="6"/>
  <c r="I428" i="6"/>
  <c r="H428" i="6"/>
  <c r="G428" i="6"/>
  <c r="F428" i="6"/>
  <c r="E428" i="6"/>
  <c r="D428" i="6"/>
  <c r="C428" i="6"/>
  <c r="B428" i="6"/>
  <c r="A428" i="6"/>
  <c r="Z427" i="6"/>
  <c r="AY454" i="6" s="1"/>
  <c r="AB427" i="6"/>
  <c r="X427" i="6"/>
  <c r="Y427" i="6"/>
  <c r="W427" i="6"/>
  <c r="V427" i="6"/>
  <c r="U427" i="6"/>
  <c r="T427" i="6"/>
  <c r="S427" i="6"/>
  <c r="R427" i="6"/>
  <c r="Q427" i="6"/>
  <c r="P427" i="6"/>
  <c r="O427" i="6"/>
  <c r="N427" i="6"/>
  <c r="AA427" i="6"/>
  <c r="L427" i="6"/>
  <c r="M427" i="6"/>
  <c r="K427" i="6"/>
  <c r="J427" i="6"/>
  <c r="I427" i="6"/>
  <c r="H427" i="6"/>
  <c r="G427" i="6"/>
  <c r="F427" i="6"/>
  <c r="E427" i="6"/>
  <c r="D427" i="6"/>
  <c r="C427" i="6"/>
  <c r="B427" i="6"/>
  <c r="A427" i="6"/>
  <c r="Z426" i="6"/>
  <c r="AY448" i="6" s="1"/>
  <c r="AB426" i="6"/>
  <c r="X426" i="6"/>
  <c r="Y426" i="6"/>
  <c r="W426" i="6"/>
  <c r="V426" i="6"/>
  <c r="U426" i="6"/>
  <c r="T426" i="6"/>
  <c r="S426" i="6"/>
  <c r="R426" i="6"/>
  <c r="Q426" i="6"/>
  <c r="P426" i="6"/>
  <c r="O426" i="6"/>
  <c r="N426" i="6"/>
  <c r="AA426" i="6"/>
  <c r="L426" i="6"/>
  <c r="M426" i="6"/>
  <c r="K426" i="6"/>
  <c r="J426" i="6"/>
  <c r="I426" i="6"/>
  <c r="H426" i="6"/>
  <c r="G426" i="6"/>
  <c r="F426" i="6"/>
  <c r="E426" i="6"/>
  <c r="D426" i="6"/>
  <c r="C426" i="6"/>
  <c r="B426" i="6"/>
  <c r="A426" i="6"/>
  <c r="Z425" i="6"/>
  <c r="AY442" i="6" s="1"/>
  <c r="AB425" i="6"/>
  <c r="X425" i="6"/>
  <c r="Y425" i="6"/>
  <c r="W425" i="6"/>
  <c r="V425" i="6"/>
  <c r="U425" i="6"/>
  <c r="T425" i="6"/>
  <c r="S425" i="6"/>
  <c r="R425" i="6"/>
  <c r="Q425" i="6"/>
  <c r="P425" i="6"/>
  <c r="O425" i="6"/>
  <c r="N425" i="6"/>
  <c r="AA425" i="6"/>
  <c r="L425" i="6"/>
  <c r="M425" i="6"/>
  <c r="K425" i="6"/>
  <c r="J425" i="6"/>
  <c r="I425" i="6"/>
  <c r="H425" i="6"/>
  <c r="G425" i="6"/>
  <c r="F425" i="6"/>
  <c r="E425" i="6"/>
  <c r="D425" i="6"/>
  <c r="C425" i="6"/>
  <c r="B425" i="6"/>
  <c r="A425" i="6"/>
  <c r="Z424" i="6"/>
  <c r="AY436" i="6" s="1"/>
  <c r="AB424" i="6"/>
  <c r="AO429" i="6" s="1"/>
  <c r="X424" i="6"/>
  <c r="Y424" i="6"/>
  <c r="W424" i="6"/>
  <c r="V424" i="6"/>
  <c r="U424" i="6"/>
  <c r="T424" i="6"/>
  <c r="S424" i="6"/>
  <c r="R424" i="6"/>
  <c r="Q424" i="6"/>
  <c r="P424" i="6"/>
  <c r="O424" i="6"/>
  <c r="N424" i="6"/>
  <c r="AA424" i="6"/>
  <c r="L424" i="6"/>
  <c r="M424" i="6"/>
  <c r="K424" i="6"/>
  <c r="J424" i="6"/>
  <c r="I424" i="6"/>
  <c r="H424" i="6"/>
  <c r="G424" i="6"/>
  <c r="F424" i="6"/>
  <c r="E424" i="6"/>
  <c r="D424" i="6"/>
  <c r="C424" i="6"/>
  <c r="B424" i="6"/>
  <c r="A424" i="6"/>
  <c r="Z423" i="6"/>
  <c r="AY430" i="6" s="1"/>
  <c r="AB423" i="6"/>
  <c r="AO426" i="6" s="1"/>
  <c r="X423" i="6"/>
  <c r="Y423" i="6"/>
  <c r="W423" i="6"/>
  <c r="V423" i="6"/>
  <c r="U423" i="6"/>
  <c r="T423" i="6"/>
  <c r="S423" i="6"/>
  <c r="R423" i="6"/>
  <c r="Q423" i="6"/>
  <c r="P423" i="6"/>
  <c r="O423" i="6"/>
  <c r="N423" i="6"/>
  <c r="AA423" i="6"/>
  <c r="AO425" i="6" s="1"/>
  <c r="L423" i="6"/>
  <c r="M423" i="6"/>
  <c r="K423" i="6"/>
  <c r="J423" i="6"/>
  <c r="I423" i="6"/>
  <c r="H423" i="6"/>
  <c r="G423" i="6"/>
  <c r="F423" i="6"/>
  <c r="E423" i="6"/>
  <c r="D423" i="6"/>
  <c r="C423" i="6"/>
  <c r="B423" i="6"/>
  <c r="A423" i="6"/>
  <c r="Z422" i="6"/>
  <c r="AY424" i="6" s="1"/>
  <c r="AB422" i="6"/>
  <c r="AO423" i="6" s="1"/>
  <c r="X422" i="6"/>
  <c r="Y422" i="6"/>
  <c r="W422" i="6"/>
  <c r="V422" i="6"/>
  <c r="U422" i="6"/>
  <c r="T422" i="6"/>
  <c r="S422" i="6"/>
  <c r="R422" i="6"/>
  <c r="Q422" i="6"/>
  <c r="P422" i="6"/>
  <c r="O422" i="6"/>
  <c r="N422" i="6"/>
  <c r="AA422" i="6"/>
  <c r="AO422" i="6" s="1"/>
  <c r="L422" i="6"/>
  <c r="M422" i="6"/>
  <c r="K422" i="6"/>
  <c r="J422" i="6"/>
  <c r="I422" i="6"/>
  <c r="H422" i="6"/>
  <c r="G422" i="6"/>
  <c r="F422" i="6"/>
  <c r="E422" i="6"/>
  <c r="D422" i="6"/>
  <c r="C422" i="6"/>
  <c r="B422" i="6"/>
  <c r="A422" i="6"/>
  <c r="C420" i="6"/>
  <c r="BF378" i="6"/>
  <c r="BE378" i="6"/>
  <c r="BF377" i="6"/>
  <c r="BE377" i="6"/>
  <c r="BD378" i="6"/>
  <c r="BC378" i="6"/>
  <c r="BB378" i="6"/>
  <c r="BD377" i="6"/>
  <c r="BC377" i="6"/>
  <c r="BB377" i="6"/>
  <c r="BA383" i="6"/>
  <c r="AZ383" i="6"/>
  <c r="AX417" i="6"/>
  <c r="AW417" i="6"/>
  <c r="AX416" i="6"/>
  <c r="AW416" i="6"/>
  <c r="AY415" i="6"/>
  <c r="AX415" i="6"/>
  <c r="AW415" i="6"/>
  <c r="AX414" i="6"/>
  <c r="AW414" i="6"/>
  <c r="AX413" i="6"/>
  <c r="AW413" i="6"/>
  <c r="BA382" i="6"/>
  <c r="AZ382" i="6"/>
  <c r="AX411" i="6"/>
  <c r="AW411" i="6"/>
  <c r="AX410" i="6"/>
  <c r="AW410" i="6"/>
  <c r="AX409" i="6"/>
  <c r="AW409" i="6"/>
  <c r="AX408" i="6"/>
  <c r="AW408" i="6"/>
  <c r="AX407" i="6"/>
  <c r="AW407" i="6"/>
  <c r="BA381" i="6"/>
  <c r="AZ381" i="6"/>
  <c r="AX405" i="6"/>
  <c r="AW405" i="6"/>
  <c r="AX404" i="6"/>
  <c r="AW404" i="6"/>
  <c r="AX403" i="6"/>
  <c r="AW403" i="6"/>
  <c r="AX402" i="6"/>
  <c r="AW402" i="6"/>
  <c r="AX401" i="6"/>
  <c r="AW401" i="6"/>
  <c r="BA380" i="6"/>
  <c r="AZ380" i="6"/>
  <c r="AX399" i="6"/>
  <c r="AW399" i="6"/>
  <c r="AX398" i="6"/>
  <c r="AW398" i="6"/>
  <c r="AX397" i="6"/>
  <c r="AW397" i="6"/>
  <c r="AX396" i="6"/>
  <c r="AW396" i="6"/>
  <c r="AX395" i="6"/>
  <c r="AW395" i="6"/>
  <c r="BA379" i="6"/>
  <c r="AZ379" i="6"/>
  <c r="AX393" i="6"/>
  <c r="AW393" i="6"/>
  <c r="AX392" i="6"/>
  <c r="AW392" i="6"/>
  <c r="AX391" i="6"/>
  <c r="AW391" i="6"/>
  <c r="AX390" i="6"/>
  <c r="AW390" i="6"/>
  <c r="AX389" i="6"/>
  <c r="AW389" i="6"/>
  <c r="BA378" i="6"/>
  <c r="AZ378" i="6"/>
  <c r="AX387" i="6"/>
  <c r="AW387" i="6"/>
  <c r="AX386" i="6"/>
  <c r="AW386" i="6"/>
  <c r="AY385" i="6"/>
  <c r="AX385" i="6"/>
  <c r="AW385" i="6"/>
  <c r="AX384" i="6"/>
  <c r="AW384" i="6"/>
  <c r="AX383" i="6"/>
  <c r="AW383" i="6"/>
  <c r="BA377" i="6"/>
  <c r="AZ377" i="6"/>
  <c r="AX381" i="6"/>
  <c r="AW381" i="6"/>
  <c r="AX380" i="6"/>
  <c r="AW380" i="6"/>
  <c r="AY379" i="6"/>
  <c r="AX379" i="6"/>
  <c r="AW379" i="6"/>
  <c r="AX378" i="6"/>
  <c r="AW378" i="6"/>
  <c r="AX377" i="6"/>
  <c r="AW377" i="6"/>
  <c r="AV382" i="6"/>
  <c r="AU382" i="6"/>
  <c r="AT382" i="6"/>
  <c r="AS382" i="6"/>
  <c r="AR382" i="6"/>
  <c r="AV381" i="6"/>
  <c r="AU381" i="6"/>
  <c r="AT381" i="6"/>
  <c r="AS381" i="6"/>
  <c r="AR381" i="6"/>
  <c r="AV380" i="6"/>
  <c r="AU380" i="6"/>
  <c r="AT380" i="6"/>
  <c r="AS380" i="6"/>
  <c r="AR380" i="6"/>
  <c r="AV379" i="6"/>
  <c r="AU379" i="6"/>
  <c r="AT379" i="6"/>
  <c r="AS379" i="6"/>
  <c r="AR379" i="6"/>
  <c r="AV378" i="6"/>
  <c r="AU378" i="6"/>
  <c r="AT378" i="6"/>
  <c r="AS378" i="6"/>
  <c r="AR378" i="6"/>
  <c r="AV377" i="6"/>
  <c r="AU377" i="6"/>
  <c r="AT377" i="6"/>
  <c r="AS377" i="6"/>
  <c r="AR377" i="6"/>
  <c r="AQ396" i="6"/>
  <c r="AN396" i="6"/>
  <c r="AO396" i="6"/>
  <c r="AM396" i="6"/>
  <c r="AL396" i="6"/>
  <c r="AK396" i="6"/>
  <c r="AJ396" i="6"/>
  <c r="AI396" i="6"/>
  <c r="AH396" i="6"/>
  <c r="AG396" i="6"/>
  <c r="AF396" i="6"/>
  <c r="AE396" i="6"/>
  <c r="AQ395" i="6"/>
  <c r="AN395" i="6"/>
  <c r="AO395" i="6"/>
  <c r="AM395" i="6"/>
  <c r="AL395" i="6"/>
  <c r="AK395" i="6"/>
  <c r="AJ395" i="6"/>
  <c r="AI395" i="6"/>
  <c r="AH395" i="6"/>
  <c r="AG395" i="6"/>
  <c r="AF395" i="6"/>
  <c r="AE395" i="6"/>
  <c r="AC395" i="6"/>
  <c r="AQ394" i="6"/>
  <c r="AO394" i="6"/>
  <c r="AN394" i="6"/>
  <c r="AM394" i="6"/>
  <c r="AL394" i="6"/>
  <c r="AK394" i="6"/>
  <c r="AJ394" i="6"/>
  <c r="AE394" i="6"/>
  <c r="AF394" i="6"/>
  <c r="AG394" i="6"/>
  <c r="AH394" i="6"/>
  <c r="AI394" i="6"/>
  <c r="AQ393" i="6"/>
  <c r="AN393" i="6"/>
  <c r="AO393" i="6"/>
  <c r="AM393" i="6"/>
  <c r="AL393" i="6"/>
  <c r="AK393" i="6"/>
  <c r="AJ393" i="6"/>
  <c r="AI393" i="6"/>
  <c r="AH393" i="6"/>
  <c r="AG393" i="6"/>
  <c r="AF393" i="6"/>
  <c r="AE393" i="6"/>
  <c r="AQ392" i="6"/>
  <c r="AN392" i="6"/>
  <c r="AO392" i="6"/>
  <c r="AM392" i="6"/>
  <c r="AL392" i="6"/>
  <c r="AK392" i="6"/>
  <c r="AJ392" i="6"/>
  <c r="AI392" i="6"/>
  <c r="AH392" i="6"/>
  <c r="AG392" i="6"/>
  <c r="AF392" i="6"/>
  <c r="AE392" i="6"/>
  <c r="AC392" i="6"/>
  <c r="AQ391" i="6"/>
  <c r="AO391" i="6"/>
  <c r="AN391" i="6"/>
  <c r="AM391" i="6"/>
  <c r="AL391" i="6"/>
  <c r="AK391" i="6"/>
  <c r="AJ391" i="6"/>
  <c r="AE391" i="6"/>
  <c r="AF391" i="6"/>
  <c r="AG391" i="6"/>
  <c r="AH391" i="6"/>
  <c r="AI391" i="6"/>
  <c r="AQ390" i="6"/>
  <c r="AN390" i="6"/>
  <c r="AO390" i="6"/>
  <c r="AM390" i="6"/>
  <c r="AL390" i="6"/>
  <c r="AK390" i="6"/>
  <c r="AJ390" i="6"/>
  <c r="AI390" i="6"/>
  <c r="AH390" i="6"/>
  <c r="AG390" i="6"/>
  <c r="AF390" i="6"/>
  <c r="AE390" i="6"/>
  <c r="AQ389" i="6"/>
  <c r="AN389" i="6"/>
  <c r="AO389" i="6"/>
  <c r="AM389" i="6"/>
  <c r="AL389" i="6"/>
  <c r="AK389" i="6"/>
  <c r="AJ389" i="6"/>
  <c r="AI389" i="6"/>
  <c r="AH389" i="6"/>
  <c r="AG389" i="6"/>
  <c r="AF389" i="6"/>
  <c r="AE389" i="6"/>
  <c r="AC389" i="6"/>
  <c r="AQ388" i="6"/>
  <c r="AO388" i="6"/>
  <c r="AN388" i="6"/>
  <c r="AM388" i="6"/>
  <c r="AL388" i="6"/>
  <c r="AK388" i="6"/>
  <c r="AJ388" i="6"/>
  <c r="AE388" i="6"/>
  <c r="AF388" i="6"/>
  <c r="AG388" i="6"/>
  <c r="AH388" i="6"/>
  <c r="AI388" i="6"/>
  <c r="AQ387" i="6"/>
  <c r="AN387" i="6"/>
  <c r="AO387" i="6"/>
  <c r="AM387" i="6"/>
  <c r="AL387" i="6"/>
  <c r="AK387" i="6"/>
  <c r="AJ387" i="6"/>
  <c r="AI387" i="6"/>
  <c r="AH387" i="6"/>
  <c r="AG387" i="6"/>
  <c r="AF387" i="6"/>
  <c r="AE387" i="6"/>
  <c r="AQ386" i="6"/>
  <c r="AN386" i="6"/>
  <c r="AO386" i="6"/>
  <c r="AM386" i="6"/>
  <c r="AL386" i="6"/>
  <c r="AK386" i="6"/>
  <c r="AJ386" i="6"/>
  <c r="AI386" i="6"/>
  <c r="AH386" i="6"/>
  <c r="AG386" i="6"/>
  <c r="AF386" i="6"/>
  <c r="AE386" i="6"/>
  <c r="AC386" i="6"/>
  <c r="AQ385" i="6"/>
  <c r="AO385" i="6"/>
  <c r="AN385" i="6"/>
  <c r="AM385" i="6"/>
  <c r="AL385" i="6"/>
  <c r="AK385" i="6"/>
  <c r="AJ385" i="6"/>
  <c r="AE385" i="6"/>
  <c r="AF385" i="6"/>
  <c r="AG385" i="6"/>
  <c r="AH385" i="6"/>
  <c r="AI385" i="6"/>
  <c r="AQ384" i="6"/>
  <c r="AN384" i="6"/>
  <c r="AM384" i="6"/>
  <c r="AL384" i="6"/>
  <c r="AK384" i="6"/>
  <c r="AJ384" i="6"/>
  <c r="AI384" i="6"/>
  <c r="AH384" i="6"/>
  <c r="AG384" i="6"/>
  <c r="AF384" i="6"/>
  <c r="AE384" i="6"/>
  <c r="AQ383" i="6"/>
  <c r="AN383" i="6"/>
  <c r="AO383" i="6"/>
  <c r="AM383" i="6"/>
  <c r="AL383" i="6"/>
  <c r="AK383" i="6"/>
  <c r="AJ383" i="6"/>
  <c r="AI383" i="6"/>
  <c r="AH383" i="6"/>
  <c r="AG383" i="6"/>
  <c r="AF383" i="6"/>
  <c r="AE383" i="6"/>
  <c r="AC383" i="6"/>
  <c r="AQ382" i="6"/>
  <c r="AO382" i="6"/>
  <c r="AN382" i="6"/>
  <c r="AM382" i="6"/>
  <c r="AL382" i="6"/>
  <c r="AK382" i="6"/>
  <c r="AJ382" i="6"/>
  <c r="AE382" i="6"/>
  <c r="AF382" i="6"/>
  <c r="AG382" i="6"/>
  <c r="AH382" i="6"/>
  <c r="AI382" i="6"/>
  <c r="AQ381" i="6"/>
  <c r="AN381" i="6"/>
  <c r="AM381" i="6"/>
  <c r="AL381" i="6"/>
  <c r="AK381" i="6"/>
  <c r="AJ381" i="6"/>
  <c r="AI381" i="6"/>
  <c r="AH381" i="6"/>
  <c r="AG381" i="6"/>
  <c r="AF381" i="6"/>
  <c r="AE381" i="6"/>
  <c r="AQ380" i="6"/>
  <c r="AN380" i="6"/>
  <c r="AM380" i="6"/>
  <c r="AL380" i="6"/>
  <c r="AK380" i="6"/>
  <c r="AJ380" i="6"/>
  <c r="AI380" i="6"/>
  <c r="AH380" i="6"/>
  <c r="AG380" i="6"/>
  <c r="AF380" i="6"/>
  <c r="AE380" i="6"/>
  <c r="AC380" i="6"/>
  <c r="AQ379" i="6"/>
  <c r="AO379" i="6"/>
  <c r="AN379" i="6"/>
  <c r="AM379" i="6"/>
  <c r="AL379" i="6"/>
  <c r="AK379" i="6"/>
  <c r="AJ379" i="6"/>
  <c r="AE379" i="6"/>
  <c r="AF379" i="6"/>
  <c r="AG379" i="6"/>
  <c r="AH379" i="6"/>
  <c r="AI379" i="6"/>
  <c r="AQ378" i="6"/>
  <c r="AN378" i="6"/>
  <c r="AM378" i="6"/>
  <c r="AL378" i="6"/>
  <c r="AK378" i="6"/>
  <c r="AJ378" i="6"/>
  <c r="AI378" i="6"/>
  <c r="AH378" i="6"/>
  <c r="AG378" i="6"/>
  <c r="AF378" i="6"/>
  <c r="AE378" i="6"/>
  <c r="AQ377" i="6"/>
  <c r="AN377" i="6"/>
  <c r="AM377" i="6"/>
  <c r="AL377" i="6"/>
  <c r="AK377" i="6"/>
  <c r="AJ377" i="6"/>
  <c r="AI377" i="6"/>
  <c r="AH377" i="6"/>
  <c r="AG377" i="6"/>
  <c r="AF377" i="6"/>
  <c r="AE377" i="6"/>
  <c r="AC377" i="6"/>
  <c r="Z383" i="6"/>
  <c r="AB383" i="6"/>
  <c r="X383" i="6"/>
  <c r="Y383" i="6"/>
  <c r="W383" i="6"/>
  <c r="V383" i="6"/>
  <c r="U383" i="6"/>
  <c r="T383" i="6"/>
  <c r="S383" i="6"/>
  <c r="R383" i="6"/>
  <c r="Q383" i="6"/>
  <c r="P383" i="6"/>
  <c r="O383" i="6"/>
  <c r="N383" i="6"/>
  <c r="AA383" i="6"/>
  <c r="L383" i="6"/>
  <c r="M383" i="6"/>
  <c r="K383" i="6"/>
  <c r="J383" i="6"/>
  <c r="I383" i="6"/>
  <c r="H383" i="6"/>
  <c r="G383" i="6"/>
  <c r="F383" i="6"/>
  <c r="E383" i="6"/>
  <c r="D383" i="6"/>
  <c r="C383" i="6"/>
  <c r="B383" i="6"/>
  <c r="A383" i="6"/>
  <c r="Z382" i="6"/>
  <c r="AY409" i="6" s="1"/>
  <c r="AB382" i="6"/>
  <c r="X382" i="6"/>
  <c r="Y382" i="6"/>
  <c r="W382" i="6"/>
  <c r="V382" i="6"/>
  <c r="U382" i="6"/>
  <c r="T382" i="6"/>
  <c r="S382" i="6"/>
  <c r="R382" i="6"/>
  <c r="Q382" i="6"/>
  <c r="P382" i="6"/>
  <c r="O382" i="6"/>
  <c r="N382" i="6"/>
  <c r="AA382" i="6"/>
  <c r="L382" i="6"/>
  <c r="M382" i="6"/>
  <c r="K382" i="6"/>
  <c r="J382" i="6"/>
  <c r="I382" i="6"/>
  <c r="H382" i="6"/>
  <c r="G382" i="6"/>
  <c r="F382" i="6"/>
  <c r="E382" i="6"/>
  <c r="D382" i="6"/>
  <c r="C382" i="6"/>
  <c r="B382" i="6"/>
  <c r="A382" i="6"/>
  <c r="Z381" i="6"/>
  <c r="AY403" i="6" s="1"/>
  <c r="AB381" i="6"/>
  <c r="X381" i="6"/>
  <c r="Y381" i="6"/>
  <c r="W381" i="6"/>
  <c r="V381" i="6"/>
  <c r="U381" i="6"/>
  <c r="T381" i="6"/>
  <c r="S381" i="6"/>
  <c r="R381" i="6"/>
  <c r="Q381" i="6"/>
  <c r="P381" i="6"/>
  <c r="O381" i="6"/>
  <c r="N381" i="6"/>
  <c r="AA381" i="6"/>
  <c r="L381" i="6"/>
  <c r="M381" i="6"/>
  <c r="K381" i="6"/>
  <c r="J381" i="6"/>
  <c r="I381" i="6"/>
  <c r="H381" i="6"/>
  <c r="G381" i="6"/>
  <c r="F381" i="6"/>
  <c r="E381" i="6"/>
  <c r="D381" i="6"/>
  <c r="C381" i="6"/>
  <c r="B381" i="6"/>
  <c r="A381" i="6"/>
  <c r="Z380" i="6"/>
  <c r="AY397" i="6" s="1"/>
  <c r="AB380" i="6"/>
  <c r="X380" i="6"/>
  <c r="Y380" i="6"/>
  <c r="W380" i="6"/>
  <c r="V380" i="6"/>
  <c r="U380" i="6"/>
  <c r="T380" i="6"/>
  <c r="S380" i="6"/>
  <c r="R380" i="6"/>
  <c r="Q380" i="6"/>
  <c r="P380" i="6"/>
  <c r="O380" i="6"/>
  <c r="N380" i="6"/>
  <c r="AA380" i="6"/>
  <c r="L380" i="6"/>
  <c r="M380" i="6"/>
  <c r="K380" i="6"/>
  <c r="J380" i="6"/>
  <c r="I380" i="6"/>
  <c r="H380" i="6"/>
  <c r="G380" i="6"/>
  <c r="F380" i="6"/>
  <c r="E380" i="6"/>
  <c r="D380" i="6"/>
  <c r="C380" i="6"/>
  <c r="B380" i="6"/>
  <c r="A380" i="6"/>
  <c r="Z379" i="6"/>
  <c r="AY391" i="6" s="1"/>
  <c r="AB379" i="6"/>
  <c r="AO384" i="6" s="1"/>
  <c r="X379" i="6"/>
  <c r="Y379" i="6"/>
  <c r="W379" i="6"/>
  <c r="V379" i="6"/>
  <c r="U379" i="6"/>
  <c r="T379" i="6"/>
  <c r="S379" i="6"/>
  <c r="R379" i="6"/>
  <c r="Q379" i="6"/>
  <c r="P379" i="6"/>
  <c r="O379" i="6"/>
  <c r="N379" i="6"/>
  <c r="AA379" i="6"/>
  <c r="L379" i="6"/>
  <c r="M379" i="6"/>
  <c r="K379" i="6"/>
  <c r="J379" i="6"/>
  <c r="I379" i="6"/>
  <c r="H379" i="6"/>
  <c r="G379" i="6"/>
  <c r="F379" i="6"/>
  <c r="E379" i="6"/>
  <c r="D379" i="6"/>
  <c r="C379" i="6"/>
  <c r="B379" i="6"/>
  <c r="A379" i="6"/>
  <c r="Z378" i="6"/>
  <c r="AB378" i="6"/>
  <c r="AO381" i="6" s="1"/>
  <c r="X378" i="6"/>
  <c r="Y378" i="6"/>
  <c r="W378" i="6"/>
  <c r="V378" i="6"/>
  <c r="U378" i="6"/>
  <c r="T378" i="6"/>
  <c r="S378" i="6"/>
  <c r="R378" i="6"/>
  <c r="Q378" i="6"/>
  <c r="P378" i="6"/>
  <c r="O378" i="6"/>
  <c r="N378" i="6"/>
  <c r="AA378" i="6"/>
  <c r="AO380" i="6" s="1"/>
  <c r="L378" i="6"/>
  <c r="M378" i="6"/>
  <c r="K378" i="6"/>
  <c r="J378" i="6"/>
  <c r="I378" i="6"/>
  <c r="H378" i="6"/>
  <c r="G378" i="6"/>
  <c r="F378" i="6"/>
  <c r="E378" i="6"/>
  <c r="D378" i="6"/>
  <c r="C378" i="6"/>
  <c r="B378" i="6"/>
  <c r="A378" i="6"/>
  <c r="Z377" i="6"/>
  <c r="AB377" i="6"/>
  <c r="AO378" i="6" s="1"/>
  <c r="X377" i="6"/>
  <c r="Y377" i="6"/>
  <c r="W377" i="6"/>
  <c r="V377" i="6"/>
  <c r="U377" i="6"/>
  <c r="T377" i="6"/>
  <c r="S377" i="6"/>
  <c r="R377" i="6"/>
  <c r="Q377" i="6"/>
  <c r="P377" i="6"/>
  <c r="O377" i="6"/>
  <c r="N377" i="6"/>
  <c r="AA377" i="6"/>
  <c r="AO377" i="6" s="1"/>
  <c r="L377" i="6"/>
  <c r="M377" i="6"/>
  <c r="K377" i="6"/>
  <c r="J377" i="6"/>
  <c r="I377" i="6"/>
  <c r="H377" i="6"/>
  <c r="G377" i="6"/>
  <c r="F377" i="6"/>
  <c r="E377" i="6"/>
  <c r="D377" i="6"/>
  <c r="C377" i="6"/>
  <c r="B377" i="6"/>
  <c r="A377" i="6"/>
  <c r="C375" i="6"/>
  <c r="E373" i="6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E347" i="6" s="1"/>
  <c r="A348" i="6"/>
  <c r="D347" i="6"/>
  <c r="C347" i="6"/>
  <c r="B347" i="6"/>
  <c r="A347" i="6"/>
  <c r="E346" i="6"/>
  <c r="D346" i="6"/>
  <c r="C346" i="6"/>
  <c r="B346" i="6"/>
  <c r="A346" i="6"/>
  <c r="E345" i="6"/>
  <c r="D345" i="6"/>
  <c r="C345" i="6"/>
  <c r="B345" i="6"/>
  <c r="E344" i="6" s="1"/>
  <c r="A345" i="6"/>
  <c r="D344" i="6"/>
  <c r="C344" i="6"/>
  <c r="B344" i="6"/>
  <c r="E343" i="6" s="1"/>
  <c r="A344" i="6"/>
  <c r="D343" i="6"/>
  <c r="C343" i="6"/>
  <c r="B343" i="6"/>
  <c r="A343" i="6"/>
  <c r="D342" i="6"/>
  <c r="C342" i="6"/>
  <c r="B342" i="6"/>
  <c r="A342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K333" i="6"/>
  <c r="L333" i="6"/>
  <c r="M333" i="6"/>
  <c r="N333" i="6"/>
  <c r="O333" i="6"/>
  <c r="J334" i="6"/>
  <c r="K334" i="6"/>
  <c r="L334" i="6"/>
  <c r="M334" i="6"/>
  <c r="N334" i="6"/>
  <c r="O334" i="6"/>
  <c r="J335" i="6"/>
  <c r="K335" i="6"/>
  <c r="L335" i="6"/>
  <c r="M335" i="6"/>
  <c r="N335" i="6"/>
  <c r="O335" i="6"/>
  <c r="J336" i="6"/>
  <c r="K336" i="6"/>
  <c r="L336" i="6"/>
  <c r="M336" i="6"/>
  <c r="N336" i="6"/>
  <c r="O336" i="6"/>
  <c r="J337" i="6"/>
  <c r="K337" i="6"/>
  <c r="L337" i="6"/>
  <c r="M337" i="6"/>
  <c r="N337" i="6"/>
  <c r="O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E328" i="6" s="1"/>
  <c r="A329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D302" i="6"/>
  <c r="F301" i="6" s="1"/>
  <c r="A302" i="6"/>
  <c r="J301" i="6"/>
  <c r="I301" i="6"/>
  <c r="H301" i="6"/>
  <c r="B301" i="6"/>
  <c r="E301" i="6"/>
  <c r="D301" i="6"/>
  <c r="A301" i="6"/>
  <c r="J300" i="6"/>
  <c r="I300" i="6"/>
  <c r="H300" i="6"/>
  <c r="F300" i="6"/>
  <c r="C300" i="6" s="1"/>
  <c r="B300" i="6"/>
  <c r="E300" i="6"/>
  <c r="D300" i="6"/>
  <c r="A300" i="6"/>
  <c r="J299" i="6"/>
  <c r="I299" i="6"/>
  <c r="H299" i="6"/>
  <c r="F299" i="6"/>
  <c r="C299" i="6" s="1"/>
  <c r="B299" i="6"/>
  <c r="E299" i="6"/>
  <c r="D299" i="6"/>
  <c r="A299" i="6"/>
  <c r="J298" i="6"/>
  <c r="I298" i="6"/>
  <c r="H298" i="6"/>
  <c r="F298" i="6"/>
  <c r="G298" i="6" s="1"/>
  <c r="B298" i="6"/>
  <c r="E298" i="6"/>
  <c r="D298" i="6"/>
  <c r="A298" i="6"/>
  <c r="J297" i="6"/>
  <c r="I297" i="6"/>
  <c r="H297" i="6"/>
  <c r="F297" i="6"/>
  <c r="G297" i="6" s="1"/>
  <c r="B297" i="6"/>
  <c r="E297" i="6"/>
  <c r="D297" i="6"/>
  <c r="A297" i="6"/>
  <c r="J296" i="6"/>
  <c r="I296" i="6"/>
  <c r="H296" i="6"/>
  <c r="F296" i="6"/>
  <c r="C296" i="6" s="1"/>
  <c r="B296" i="6"/>
  <c r="E296" i="6"/>
  <c r="D296" i="6"/>
  <c r="A296" i="6"/>
  <c r="J295" i="6"/>
  <c r="I295" i="6"/>
  <c r="H295" i="6"/>
  <c r="F295" i="6"/>
  <c r="G295" i="6" s="1"/>
  <c r="B295" i="6"/>
  <c r="E295" i="6"/>
  <c r="D295" i="6"/>
  <c r="A295" i="6"/>
  <c r="C293" i="6"/>
  <c r="C291" i="6"/>
  <c r="B291" i="6"/>
  <c r="C290" i="6" s="1"/>
  <c r="A291" i="6"/>
  <c r="B290" i="6"/>
  <c r="A290" i="6"/>
  <c r="B289" i="6"/>
  <c r="A289" i="6"/>
  <c r="B288" i="6"/>
  <c r="A288" i="6"/>
  <c r="B287" i="6"/>
  <c r="A287" i="6"/>
  <c r="C285" i="6"/>
  <c r="C283" i="6"/>
  <c r="B283" i="6"/>
  <c r="A283" i="6"/>
  <c r="C282" i="6"/>
  <c r="B282" i="6"/>
  <c r="C281" i="6" s="1"/>
  <c r="A282" i="6"/>
  <c r="B281" i="6"/>
  <c r="A281" i="6"/>
  <c r="C280" i="6"/>
  <c r="B280" i="6"/>
  <c r="A280" i="6"/>
  <c r="C279" i="6"/>
  <c r="B279" i="6"/>
  <c r="A279" i="6"/>
  <c r="C277" i="6"/>
  <c r="O236" i="6"/>
  <c r="P236" i="6" s="1"/>
  <c r="Q236" i="6"/>
  <c r="O237" i="6"/>
  <c r="P237" i="6"/>
  <c r="Q237" i="6"/>
  <c r="O238" i="6"/>
  <c r="P238" i="6" s="1"/>
  <c r="O239" i="6"/>
  <c r="P239" i="6"/>
  <c r="Q239" i="6"/>
  <c r="O240" i="6"/>
  <c r="P240" i="6" s="1"/>
  <c r="O241" i="6"/>
  <c r="P241" i="6"/>
  <c r="Q241" i="6"/>
  <c r="O242" i="6"/>
  <c r="P242" i="6" s="1"/>
  <c r="O243" i="6"/>
  <c r="P243" i="6"/>
  <c r="Q243" i="6"/>
  <c r="O244" i="6"/>
  <c r="P244" i="6" s="1"/>
  <c r="O245" i="6"/>
  <c r="P245" i="6"/>
  <c r="Q245" i="6"/>
  <c r="O246" i="6"/>
  <c r="P246" i="6" s="1"/>
  <c r="O247" i="6"/>
  <c r="P247" i="6"/>
  <c r="Q247" i="6"/>
  <c r="O248" i="6"/>
  <c r="P248" i="6" s="1"/>
  <c r="O249" i="6"/>
  <c r="P249" i="6"/>
  <c r="Q249" i="6"/>
  <c r="O250" i="6"/>
  <c r="P250" i="6" s="1"/>
  <c r="O251" i="6"/>
  <c r="P251" i="6"/>
  <c r="Q251" i="6"/>
  <c r="O252" i="6"/>
  <c r="P252" i="6" s="1"/>
  <c r="O253" i="6"/>
  <c r="P253" i="6"/>
  <c r="Q253" i="6"/>
  <c r="O254" i="6"/>
  <c r="P254" i="6" s="1"/>
  <c r="O255" i="6"/>
  <c r="P255" i="6"/>
  <c r="Q255" i="6"/>
  <c r="O256" i="6"/>
  <c r="P256" i="6" s="1"/>
  <c r="O257" i="6"/>
  <c r="P257" i="6"/>
  <c r="Q257" i="6"/>
  <c r="O258" i="6"/>
  <c r="P258" i="6" s="1"/>
  <c r="O259" i="6"/>
  <c r="P259" i="6"/>
  <c r="Q259" i="6"/>
  <c r="O260" i="6"/>
  <c r="P260" i="6" s="1"/>
  <c r="O261" i="6"/>
  <c r="P261" i="6"/>
  <c r="Q261" i="6"/>
  <c r="O262" i="6"/>
  <c r="P262" i="6" s="1"/>
  <c r="O263" i="6"/>
  <c r="P263" i="6"/>
  <c r="Q263" i="6"/>
  <c r="O264" i="6"/>
  <c r="P264" i="6" s="1"/>
  <c r="O265" i="6"/>
  <c r="P265" i="6"/>
  <c r="Q265" i="6"/>
  <c r="O266" i="6"/>
  <c r="P266" i="6" s="1"/>
  <c r="O267" i="6"/>
  <c r="P267" i="6"/>
  <c r="Q267" i="6"/>
  <c r="O268" i="6"/>
  <c r="P268" i="6" s="1"/>
  <c r="O269" i="6"/>
  <c r="P269" i="6"/>
  <c r="Q269" i="6"/>
  <c r="O270" i="6"/>
  <c r="P270" i="6" s="1"/>
  <c r="O271" i="6"/>
  <c r="P271" i="6"/>
  <c r="Q271" i="6"/>
  <c r="O272" i="6"/>
  <c r="P272" i="6" s="1"/>
  <c r="O273" i="6"/>
  <c r="P273" i="6"/>
  <c r="Q273" i="6"/>
  <c r="O274" i="6"/>
  <c r="P274" i="6" s="1"/>
  <c r="O275" i="6"/>
  <c r="P275" i="6"/>
  <c r="Q275" i="6"/>
  <c r="N236" i="6"/>
  <c r="M236" i="6"/>
  <c r="L236" i="6"/>
  <c r="S236" i="6"/>
  <c r="R236" i="6"/>
  <c r="A236" i="6"/>
  <c r="B236" i="6"/>
  <c r="C236" i="6"/>
  <c r="D236" i="6"/>
  <c r="G236" i="6" s="1"/>
  <c r="E236" i="6"/>
  <c r="F236" i="6"/>
  <c r="H236" i="6"/>
  <c r="I236" i="6"/>
  <c r="J236" i="6"/>
  <c r="A237" i="6"/>
  <c r="B237" i="6"/>
  <c r="E237" i="6" s="1"/>
  <c r="C237" i="6"/>
  <c r="F237" i="6" s="1"/>
  <c r="D237" i="6"/>
  <c r="G237" i="6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O194" i="6"/>
  <c r="P194" i="6"/>
  <c r="Q194" i="6"/>
  <c r="O195" i="6"/>
  <c r="P195" i="6" s="1"/>
  <c r="O196" i="6"/>
  <c r="P196" i="6"/>
  <c r="Q196" i="6"/>
  <c r="O197" i="6"/>
  <c r="P197" i="6" s="1"/>
  <c r="O198" i="6"/>
  <c r="P198" i="6"/>
  <c r="Q198" i="6"/>
  <c r="O199" i="6"/>
  <c r="P199" i="6" s="1"/>
  <c r="O200" i="6"/>
  <c r="P200" i="6"/>
  <c r="Q200" i="6"/>
  <c r="O201" i="6"/>
  <c r="P201" i="6" s="1"/>
  <c r="O202" i="6"/>
  <c r="P202" i="6"/>
  <c r="Q202" i="6"/>
  <c r="O203" i="6"/>
  <c r="P203" i="6" s="1"/>
  <c r="O204" i="6"/>
  <c r="P204" i="6"/>
  <c r="Q204" i="6"/>
  <c r="O205" i="6"/>
  <c r="P205" i="6" s="1"/>
  <c r="O206" i="6"/>
  <c r="P206" i="6"/>
  <c r="Q206" i="6"/>
  <c r="O207" i="6"/>
  <c r="P207" i="6" s="1"/>
  <c r="O208" i="6"/>
  <c r="P208" i="6"/>
  <c r="Q208" i="6"/>
  <c r="O209" i="6"/>
  <c r="P209" i="6" s="1"/>
  <c r="O210" i="6"/>
  <c r="P210" i="6"/>
  <c r="Q210" i="6"/>
  <c r="O211" i="6"/>
  <c r="P211" i="6" s="1"/>
  <c r="O212" i="6"/>
  <c r="P212" i="6"/>
  <c r="Q212" i="6"/>
  <c r="O213" i="6"/>
  <c r="P213" i="6" s="1"/>
  <c r="O214" i="6"/>
  <c r="P214" i="6"/>
  <c r="Q214" i="6"/>
  <c r="O215" i="6"/>
  <c r="P215" i="6" s="1"/>
  <c r="O216" i="6"/>
  <c r="P216" i="6"/>
  <c r="Q216" i="6"/>
  <c r="O217" i="6"/>
  <c r="P217" i="6" s="1"/>
  <c r="O218" i="6"/>
  <c r="P218" i="6"/>
  <c r="Q218" i="6"/>
  <c r="O219" i="6"/>
  <c r="P219" i="6" s="1"/>
  <c r="O220" i="6"/>
  <c r="P220" i="6"/>
  <c r="Q220" i="6"/>
  <c r="O221" i="6"/>
  <c r="P221" i="6" s="1"/>
  <c r="O222" i="6"/>
  <c r="P222" i="6"/>
  <c r="Q222" i="6"/>
  <c r="O223" i="6"/>
  <c r="P223" i="6" s="1"/>
  <c r="O224" i="6"/>
  <c r="P224" i="6"/>
  <c r="Q224" i="6"/>
  <c r="O225" i="6"/>
  <c r="P225" i="6" s="1"/>
  <c r="O226" i="6"/>
  <c r="P226" i="6"/>
  <c r="Q226" i="6"/>
  <c r="O227" i="6"/>
  <c r="P227" i="6" s="1"/>
  <c r="O228" i="6"/>
  <c r="P228" i="6"/>
  <c r="Q228" i="6"/>
  <c r="O229" i="6"/>
  <c r="P229" i="6" s="1"/>
  <c r="O230" i="6"/>
  <c r="P230" i="6"/>
  <c r="Q230" i="6"/>
  <c r="O231" i="6"/>
  <c r="P231" i="6" s="1"/>
  <c r="O232" i="6"/>
  <c r="P232" i="6"/>
  <c r="Q232" i="6"/>
  <c r="N193" i="6"/>
  <c r="M193" i="6"/>
  <c r="L193" i="6"/>
  <c r="S193" i="6"/>
  <c r="R193" i="6"/>
  <c r="A193" i="6"/>
  <c r="B193" i="6"/>
  <c r="C193" i="6"/>
  <c r="D193" i="6"/>
  <c r="G193" i="6" s="1"/>
  <c r="E193" i="6"/>
  <c r="F193" i="6"/>
  <c r="H193" i="6"/>
  <c r="A194" i="6"/>
  <c r="B194" i="6"/>
  <c r="F194" i="6" s="1"/>
  <c r="C194" i="6"/>
  <c r="D194" i="6"/>
  <c r="G194" i="6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A185" i="6"/>
  <c r="B187" i="6"/>
  <c r="C187" i="6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4" i="6"/>
  <c r="A183" i="6"/>
  <c r="L182" i="6" s="1"/>
  <c r="A182" i="6"/>
  <c r="A181" i="6"/>
  <c r="B182" i="6" s="1"/>
  <c r="A180" i="6"/>
  <c r="C182" i="6"/>
  <c r="A179" i="6" s="1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H177" i="6"/>
  <c r="E179" i="6"/>
  <c r="E178" i="6"/>
  <c r="E176" i="6"/>
  <c r="E175" i="6"/>
  <c r="E177" i="6"/>
  <c r="A176" i="6"/>
  <c r="C177" i="6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3" i="6"/>
  <c r="A172" i="6"/>
  <c r="A171" i="6"/>
  <c r="A170" i="6"/>
  <c r="C172" i="6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9" i="6"/>
  <c r="A168" i="6"/>
  <c r="L167" i="6" s="1"/>
  <c r="A167" i="6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A157" i="6"/>
  <c r="B159" i="6"/>
  <c r="C159" i="6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H154" i="6"/>
  <c r="E156" i="6"/>
  <c r="E155" i="6"/>
  <c r="E153" i="6"/>
  <c r="E152" i="6"/>
  <c r="E154" i="6"/>
  <c r="A156" i="6"/>
  <c r="A155" i="6"/>
  <c r="L154" i="6" s="1"/>
  <c r="A154" i="6"/>
  <c r="A153" i="6"/>
  <c r="B154" i="6" s="1"/>
  <c r="A152" i="6"/>
  <c r="C154" i="6"/>
  <c r="A151" i="6" s="1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4" i="6"/>
  <c r="A143" i="6"/>
  <c r="C144" i="6"/>
  <c r="D144" i="6"/>
  <c r="P139" i="6"/>
  <c r="N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E125" i="6" s="1"/>
  <c r="A133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E122" i="6" s="1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B107" i="6"/>
  <c r="K106" i="6" s="1"/>
  <c r="A107" i="6"/>
  <c r="J106" i="6"/>
  <c r="I106" i="6"/>
  <c r="F106" i="6"/>
  <c r="H106" i="6"/>
  <c r="E106" i="6"/>
  <c r="G106" i="6"/>
  <c r="D106" i="6"/>
  <c r="B106" i="6"/>
  <c r="K105" i="6" s="1"/>
  <c r="A106" i="6"/>
  <c r="J105" i="6"/>
  <c r="I105" i="6"/>
  <c r="F105" i="6"/>
  <c r="H105" i="6"/>
  <c r="E105" i="6"/>
  <c r="G105" i="6"/>
  <c r="D105" i="6"/>
  <c r="B105" i="6"/>
  <c r="A105" i="6"/>
  <c r="J104" i="6"/>
  <c r="I104" i="6"/>
  <c r="F104" i="6"/>
  <c r="H104" i="6"/>
  <c r="E104" i="6"/>
  <c r="G104" i="6"/>
  <c r="D104" i="6"/>
  <c r="C104" i="6" s="1"/>
  <c r="B104" i="6"/>
  <c r="A104" i="6"/>
  <c r="J103" i="6"/>
  <c r="I103" i="6"/>
  <c r="F103" i="6"/>
  <c r="H103" i="6"/>
  <c r="E103" i="6"/>
  <c r="G103" i="6"/>
  <c r="D103" i="6"/>
  <c r="C103" i="6"/>
  <c r="B103" i="6"/>
  <c r="A103" i="6"/>
  <c r="J102" i="6"/>
  <c r="I102" i="6"/>
  <c r="F102" i="6"/>
  <c r="H102" i="6"/>
  <c r="E102" i="6"/>
  <c r="G102" i="6"/>
  <c r="D102" i="6"/>
  <c r="B102" i="6"/>
  <c r="A102" i="6"/>
  <c r="J101" i="6"/>
  <c r="I101" i="6"/>
  <c r="F101" i="6"/>
  <c r="H101" i="6"/>
  <c r="E101" i="6"/>
  <c r="G101" i="6"/>
  <c r="D101" i="6"/>
  <c r="C101" i="6"/>
  <c r="B101" i="6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1" i="6"/>
  <c r="L92" i="6"/>
  <c r="L93" i="6"/>
  <c r="L94" i="6"/>
  <c r="L95" i="6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A64" i="6"/>
  <c r="E63" i="6"/>
  <c r="D63" i="6"/>
  <c r="C63" i="6"/>
  <c r="B63" i="6"/>
  <c r="E62" i="6" s="1"/>
  <c r="A63" i="6"/>
  <c r="D62" i="6"/>
  <c r="C62" i="6"/>
  <c r="B62" i="6"/>
  <c r="E61" i="6" s="1"/>
  <c r="A62" i="6"/>
  <c r="D61" i="6"/>
  <c r="C61" i="6"/>
  <c r="B61" i="6"/>
  <c r="E60" i="6" s="1"/>
  <c r="A61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J50" i="6"/>
  <c r="L50" i="6" s="1"/>
  <c r="Q50" i="6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E11" i="6" s="1"/>
  <c r="A12" i="6"/>
  <c r="D11" i="6"/>
  <c r="C11" i="6"/>
  <c r="B11" i="6"/>
  <c r="E10" i="6" s="1"/>
  <c r="A11" i="6"/>
  <c r="D10" i="6"/>
  <c r="C10" i="6"/>
  <c r="B10" i="6"/>
  <c r="A10" i="6"/>
  <c r="E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E341" i="6" l="1"/>
  <c r="E342" i="6"/>
  <c r="F293" i="6"/>
  <c r="G293" i="6"/>
  <c r="C302" i="6"/>
  <c r="G301" i="6"/>
  <c r="C301" i="6"/>
  <c r="G300" i="6"/>
  <c r="G299" i="6"/>
  <c r="C298" i="6"/>
  <c r="C297" i="6"/>
  <c r="G296" i="6"/>
  <c r="C295" i="6"/>
  <c r="C287" i="6"/>
  <c r="C288" i="6"/>
  <c r="C289" i="6"/>
  <c r="Q274" i="6"/>
  <c r="Q270" i="6"/>
  <c r="Q266" i="6"/>
  <c r="Q262" i="6"/>
  <c r="Q258" i="6"/>
  <c r="Q254" i="6"/>
  <c r="Q250" i="6"/>
  <c r="Q246" i="6"/>
  <c r="Q242" i="6"/>
  <c r="Q238" i="6"/>
  <c r="Q272" i="6"/>
  <c r="Q268" i="6"/>
  <c r="Q264" i="6"/>
  <c r="Q260" i="6"/>
  <c r="Q256" i="6"/>
  <c r="Q252" i="6"/>
  <c r="Q248" i="6"/>
  <c r="Q244" i="6"/>
  <c r="Q240" i="6"/>
  <c r="I237" i="6"/>
  <c r="J237" i="6" s="1"/>
  <c r="I238" i="6"/>
  <c r="J238" i="6" s="1"/>
  <c r="I239" i="6"/>
  <c r="J239" i="6" s="1"/>
  <c r="G238" i="6"/>
  <c r="F238" i="6"/>
  <c r="Q231" i="6"/>
  <c r="Q227" i="6"/>
  <c r="Q223" i="6"/>
  <c r="Q219" i="6"/>
  <c r="Q215" i="6"/>
  <c r="Q211" i="6"/>
  <c r="Q207" i="6"/>
  <c r="Q203" i="6"/>
  <c r="Q199" i="6"/>
  <c r="Q195" i="6"/>
  <c r="Q229" i="6"/>
  <c r="Q225" i="6"/>
  <c r="Q221" i="6"/>
  <c r="Q217" i="6"/>
  <c r="Q213" i="6"/>
  <c r="Q209" i="6"/>
  <c r="Q205" i="6"/>
  <c r="Q201" i="6"/>
  <c r="Q197" i="6"/>
  <c r="Q193" i="6"/>
  <c r="I193" i="6"/>
  <c r="J193" i="6" s="1"/>
  <c r="I194" i="6"/>
  <c r="J194" i="6" s="1"/>
  <c r="I195" i="6"/>
  <c r="J195" i="6" s="1"/>
  <c r="E194" i="6"/>
  <c r="F195" i="6"/>
  <c r="I196" i="6"/>
  <c r="J196" i="6" s="1"/>
  <c r="G195" i="6"/>
  <c r="K182" i="6"/>
  <c r="M172" i="6"/>
  <c r="M182" i="6"/>
  <c r="O182" i="6"/>
  <c r="L172" i="6"/>
  <c r="A174" i="6"/>
  <c r="A175" i="6"/>
  <c r="A177" i="6"/>
  <c r="A178" i="6"/>
  <c r="B172" i="6"/>
  <c r="K172" i="6"/>
  <c r="O172" i="6"/>
  <c r="M167" i="6"/>
  <c r="K167" i="6"/>
  <c r="O167" i="6"/>
  <c r="B167" i="6"/>
  <c r="K154" i="6"/>
  <c r="M154" i="6"/>
  <c r="O154" i="6"/>
  <c r="A145" i="6"/>
  <c r="L144" i="6" s="1"/>
  <c r="A147" i="6"/>
  <c r="A142" i="6"/>
  <c r="A146" i="6"/>
  <c r="A148" i="6"/>
  <c r="A149" i="6"/>
  <c r="M144" i="6"/>
  <c r="A150" i="6"/>
  <c r="B144" i="6"/>
  <c r="M139" i="6"/>
  <c r="B139" i="6"/>
  <c r="K139" i="6"/>
  <c r="O139" i="6"/>
  <c r="E132" i="6"/>
  <c r="C107" i="6"/>
  <c r="C106" i="6"/>
  <c r="K102" i="6"/>
  <c r="K104" i="6"/>
  <c r="K103" i="6"/>
  <c r="C105" i="6"/>
  <c r="K101" i="6"/>
  <c r="K100" i="6"/>
  <c r="C102" i="6"/>
  <c r="C100" i="6"/>
  <c r="N96" i="6"/>
  <c r="D96" i="6"/>
  <c r="F96" i="6" s="1"/>
  <c r="L96" i="6"/>
  <c r="J90" i="6"/>
  <c r="L90" i="6" s="1"/>
  <c r="R90" i="6"/>
  <c r="I90" i="6"/>
  <c r="G91" i="6"/>
  <c r="E92" i="6"/>
  <c r="H91" i="6"/>
  <c r="J91" i="6" s="1"/>
  <c r="N91" i="6" s="1"/>
  <c r="N56" i="6"/>
  <c r="D56" i="6"/>
  <c r="M56" i="6"/>
  <c r="L56" i="6"/>
  <c r="R50" i="6"/>
  <c r="I50" i="6"/>
  <c r="G51" i="6"/>
  <c r="H51" i="6"/>
  <c r="E52" i="6"/>
  <c r="E8" i="6"/>
  <c r="E7" i="6"/>
  <c r="E6" i="6"/>
  <c r="E5" i="6"/>
  <c r="L177" i="6" l="1"/>
  <c r="M177" i="6"/>
  <c r="O177" i="6"/>
  <c r="K177" i="6"/>
  <c r="B177" i="6"/>
  <c r="O144" i="6"/>
  <c r="K144" i="6"/>
  <c r="L149" i="6"/>
  <c r="O149" i="6"/>
  <c r="K149" i="6"/>
  <c r="M149" i="6"/>
  <c r="B149" i="6"/>
  <c r="M96" i="6"/>
  <c r="O96" i="6"/>
  <c r="R91" i="6"/>
  <c r="I91" i="6"/>
  <c r="K91" i="6"/>
  <c r="O91" i="6" s="1"/>
  <c r="F92" i="6"/>
  <c r="E93" i="6" s="1"/>
  <c r="F93" i="6" s="1"/>
  <c r="P93" i="6" s="1"/>
  <c r="H92" i="6"/>
  <c r="F56" i="6"/>
  <c r="O56" i="6"/>
  <c r="R51" i="6"/>
  <c r="K51" i="6"/>
  <c r="O51" i="6" s="1"/>
  <c r="I51" i="6"/>
  <c r="J51" i="6"/>
  <c r="N51" i="6" s="1"/>
  <c r="F52" i="6"/>
  <c r="E53" i="6" s="1"/>
  <c r="F53" i="6" s="1"/>
  <c r="P53" i="6" s="1"/>
  <c r="G92" i="6" l="1"/>
  <c r="H93" i="6"/>
  <c r="E94" i="6"/>
  <c r="Q93" i="6"/>
  <c r="R93" i="6" s="1"/>
  <c r="G93" i="6"/>
  <c r="H53" i="6"/>
  <c r="G53" i="6"/>
  <c r="E54" i="6"/>
  <c r="Q53" i="6"/>
  <c r="R53" i="6" s="1"/>
  <c r="H52" i="6"/>
  <c r="G52" i="6"/>
  <c r="I93" i="6" l="1"/>
  <c r="K93" i="6"/>
  <c r="R92" i="6"/>
  <c r="I92" i="6"/>
  <c r="K92" i="6"/>
  <c r="O92" i="6" s="1"/>
  <c r="J93" i="6"/>
  <c r="J92" i="6"/>
  <c r="N92" i="6" s="1"/>
  <c r="F94" i="6"/>
  <c r="E95" i="6" s="1"/>
  <c r="H94" i="6"/>
  <c r="J94" i="6" s="1"/>
  <c r="N94" i="6" s="1"/>
  <c r="G94" i="6"/>
  <c r="R52" i="6"/>
  <c r="K52" i="6"/>
  <c r="O52" i="6" s="1"/>
  <c r="I52" i="6"/>
  <c r="J52" i="6"/>
  <c r="N52" i="6" s="1"/>
  <c r="I53" i="6"/>
  <c r="K53" i="6"/>
  <c r="J53" i="6"/>
  <c r="F54" i="6"/>
  <c r="E55" i="6" s="1"/>
  <c r="G54" i="6"/>
  <c r="R94" i="6" l="1"/>
  <c r="K94" i="6"/>
  <c r="O94" i="6" s="1"/>
  <c r="I94" i="6"/>
  <c r="F95" i="6"/>
  <c r="E96" i="6" s="1"/>
  <c r="P96" i="6" s="1"/>
  <c r="R54" i="6"/>
  <c r="F55" i="6"/>
  <c r="E56" i="6" s="1"/>
  <c r="P56" i="6" s="1"/>
  <c r="H55" i="6"/>
  <c r="G55" i="6"/>
  <c r="H54" i="6"/>
  <c r="J54" i="6" s="1"/>
  <c r="N54" i="6" s="1"/>
  <c r="G95" i="6" l="1"/>
  <c r="H95" i="6"/>
  <c r="G96" i="6"/>
  <c r="H96" i="6"/>
  <c r="J96" i="6" s="1"/>
  <c r="Q96" i="6"/>
  <c r="R55" i="6"/>
  <c r="I55" i="6"/>
  <c r="K55" i="6"/>
  <c r="O55" i="6" s="1"/>
  <c r="I54" i="6"/>
  <c r="J55" i="6"/>
  <c r="N55" i="6" s="1"/>
  <c r="K54" i="6"/>
  <c r="O54" i="6" s="1"/>
  <c r="Q56" i="6"/>
  <c r="H56" i="6"/>
  <c r="G56" i="6"/>
  <c r="R96" i="6" l="1"/>
  <c r="K96" i="6"/>
  <c r="I96" i="6"/>
  <c r="J95" i="6"/>
  <c r="N95" i="6" s="1"/>
  <c r="R95" i="6"/>
  <c r="K95" i="6"/>
  <c r="O95" i="6" s="1"/>
  <c r="I95" i="6"/>
  <c r="I56" i="6"/>
  <c r="K56" i="6"/>
  <c r="J56" i="6"/>
  <c r="R56" i="6"/>
</calcChain>
</file>

<file path=xl/sharedStrings.xml><?xml version="1.0" encoding="utf-8"?>
<sst xmlns="http://schemas.openxmlformats.org/spreadsheetml/2006/main" count="7226" uniqueCount="506">
  <si>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</si>
  <si>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</si>
  <si>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</si>
  <si>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</si>
  <si>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</si>
  <si>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</si>
  <si>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</si>
  <si>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</si>
  <si>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</si>
  <si>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</si>
  <si>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</si>
  <si>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</si>
  <si>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</si>
  <si>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</si>
  <si>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</si>
  <si>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</si>
  <si>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</si>
  <si>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</si>
  <si>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</si>
  <si>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</si>
  <si>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</si>
  <si>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</si>
  <si>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</si>
  <si>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</si>
  <si>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</si>
  <si>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</si>
  <si>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</si>
  <si>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</si>
  <si>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</si>
  <si>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</si>
  <si>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</si>
  <si>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</si>
  <si>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</si>
  <si>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</si>
  <si>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</si>
  <si>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</si>
  <si>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</si>
  <si>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</si>
  <si>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</si>
  <si>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</si>
  <si>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</si>
  <si>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</si>
  <si>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</si>
  <si>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</si>
  <si>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</si>
  <si>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</si>
  <si>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</si>
  <si>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</si>
  <si>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</si>
  <si>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</si>
  <si>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</si>
  <si>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</si>
  <si>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</si>
  <si>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</si>
  <si>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</si>
  <si>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</si>
  <si>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</si>
  <si>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</si>
  <si>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l7xktj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</si>
  <si>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</si>
  <si>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</si>
  <si>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</si>
  <si>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</si>
  <si>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</si>
  <si>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</si>
  <si>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</si>
  <si>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</si>
  <si>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</si>
  <si>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</si>
  <si>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12anja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</si>
  <si>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</si>
  <si>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</si>
  <si>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</si>
  <si>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</si>
  <si>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</si>
  <si>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lz5z5j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</si>
  <si>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</si>
  <si>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</si>
  <si>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</si>
  <si>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</si>
  <si>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</si>
  <si>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</si>
  <si>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</si>
  <si>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</si>
  <si>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</si>
  <si>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</si>
  <si>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t3omul</t>
  </si>
  <si>
    <t>line</t>
  </si>
  <si>
    <t>numfmt=int;palette=padrao;n=12;legend=lineend;labels=1;totals=0;connectors=0</t>
  </si>
  <si>
    <t>5) Da receita ao lucro em 2025 (cascata com conectores e seta de diferença)</t>
  </si>
  <si>
    <t>As linhas finas ligam o topo de cada degrau ao próximo. Na tabela, a letra "e" pede uma coluna de total calculada (EBITDA e Lucro). A seta à direita mostra a diferença entre o total da primeira barra (Receita) e o da última (Lucro), em valor e em %. A seta é desenhada pelo ThinQQ: sem ele instalado, fica como está se os números mudarem.</t>
  </si>
  <si>
    <t>Como criar no ThinQQ: Inserir gráfico &gt; Cascata &gt; Cascata (colunas) (Conectores já vêm ligados); Setas &gt; Seta diferença.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</si>
  <si>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</si>
  <si>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</si>
  <si>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</si>
  <si>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</si>
  <si>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</si>
  <si>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</si>
  <si>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</si>
  <si>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</si>
  <si>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</si>
  <si>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</si>
  <si>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tk4h41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</si>
  <si>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</si>
  <si>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</si>
  <si>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</si>
  <si>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</si>
  <si>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</si>
  <si>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</si>
  <si>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</si>
  <si>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</si>
  <si>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</si>
  <si>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</si>
  <si>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</si>
  <si>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</si>
  <si>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</si>
  <si>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</si>
  <si>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</si>
  <si>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</si>
  <si>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</si>
  <si>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</si>
  <si>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</si>
  <si>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</si>
  <si>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</si>
  <si>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</si>
  <si>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</si>
  <si>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v19bae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</si>
  <si>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</si>
  <si>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</si>
  <si>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</si>
  <si>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</si>
  <si>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iws8cm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</si>
  <si>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</si>
  <si>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</si>
  <si>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</si>
  <si>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</si>
  <si>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</si>
  <si>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7skge8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</si>
  <si>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</si>
  <si>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</si>
  <si>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</si>
  <si>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</si>
  <si>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</si>
  <si>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c770qy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</si>
  <si>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</si>
  <si>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</si>
  <si>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</si>
  <si>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</si>
  <si>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</si>
  <si>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</si>
  <si>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</si>
  <si>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</si>
  <si>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</si>
  <si>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</si>
  <si>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</si>
  <si>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</si>
  <si>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</si>
  <si>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atf3pd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</si>
  <si>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</si>
  <si>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</si>
  <si>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</si>
  <si>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</si>
  <si>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</si>
  <si>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</si>
  <si>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</si>
  <si>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numfmt=int;palette=padrao;n=8;legend=right;labels=1;thinlbl=3.8;totals=1;vline=1</t>
  </si>
  <si>
    <t>11) Participação trimestral dos três maiores departamentos (área 100%)</t>
  </si>
  <si>
    <t>A mesma tabela do exemplo 10, em participação de cada departamento no total do trimestre: pisos ganham espaço.</t>
  </si>
  <si>
    <t>Como criar no ThinQQ: Inserir gráfico &gt; Linha e área &gt; Área 100%.  Valores: R$ mil.</t>
  </si>
  <si>
    <t>jcay36</t>
  </si>
  <si>
    <t>area100</t>
  </si>
  <si>
    <t>numfmt=int;palette=padrao;n=8;legend=right;labels=1;totals=1;ind100=1;thinlbl=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</si>
  <si>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</si>
  <si>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Com os totais das colunas ligados, a linha fica numa faixa acima deles.</t>
  </si>
  <si>
    <t>Como criar no ThinQQ: Inserir gráfico &gt; Linha e área &gt; Combinação (colunas + linha); Mais opções &gt; Eixo secundário (linha).  Valores: R$ mil.</t>
  </si>
  <si>
    <t>Margem %</t>
  </si>
  <si>
    <t>lo6jzd</t>
  </si>
  <si>
    <t>combo</t>
  </si>
  <si>
    <t>numfmt=int;palette=padrao;n=12;legend=right;gap=50;labels=1;totals=1;connectors=0;secondary=1;primax=3393.83811348914;secmin=0;secmax=.333942390899286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</si>
  <si>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</si>
  <si>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</si>
  <si>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</si>
  <si>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</si>
  <si>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</si>
  <si>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</si>
  <si>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tnumw4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</si>
  <si>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</si>
  <si>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</si>
  <si>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</si>
  <si>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</si>
  <si>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</si>
  <si>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</si>
  <si>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</si>
  <si>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</si>
  <si>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</si>
  <si>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</si>
  <si>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</si>
  <si>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</si>
  <si>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</si>
  <si>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</si>
  <si>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</si>
  <si>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</si>
  <si>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</si>
  <si>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</si>
  <si>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</si>
  <si>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</si>
  <si>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9xeiud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</si>
  <si>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</si>
  <si>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</si>
  <si>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</si>
  <si>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</si>
  <si>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</si>
  <si>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rpr8l3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</si>
  <si>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</si>
  <si>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</si>
  <si>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</si>
  <si>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</si>
  <si>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</si>
  <si>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</si>
  <si>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</si>
  <si>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</si>
  <si>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</si>
  <si>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</si>
  <si>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</si>
  <si>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</si>
  <si>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</si>
  <si>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</si>
  <si>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</si>
  <si>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</si>
  <si>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</si>
  <si>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</si>
  <si>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</si>
  <si>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</si>
  <si>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</si>
  <si>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33shd3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</si>
  <si>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</si>
  <si>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</si>
  <si>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</si>
  <si>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</si>
  <si>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</si>
  <si>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hmidqq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</si>
  <si>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</si>
  <si>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</si>
  <si>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</si>
  <si>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</si>
  <si>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</si>
  <si>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</si>
  <si>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</si>
  <si>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rz2j4r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</si>
  <si>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</si>
  <si>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</si>
  <si>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</si>
  <si>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</si>
  <si>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</si>
  <si>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ibvmq8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</si>
  <si>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</si>
  <si>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</si>
  <si>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</si>
  <si>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</si>
  <si>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</si>
  <si>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</si>
  <si>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numfmt=int;palette=padrao;gap=50;n=8;legend=right;labels=1;thinlbl=;outlbl=;outpos=;totals=1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</si>
  <si>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</si>
  <si>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</si>
  <si>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</si>
  <si>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</t>
  </si>
  <si>
    <t>f7l5ef</t>
  </si>
  <si>
    <t>scatter</t>
  </si>
  <si>
    <t>Nome</t>
  </si>
  <si>
    <t>Y</t>
  </si>
  <si>
    <t>Tam</t>
  </si>
  <si>
    <t>Grupo</t>
  </si>
  <si>
    <t>Xg1</t>
  </si>
  <si>
    <t>Yg1</t>
  </si>
  <si>
    <t>Sg1</t>
  </si>
  <si>
    <t>xfmt=#.##0;xsrc=#.##0;yfmt=0,0%25;ysrc=0,0%25;palette=padrao;n=8;legend=none;trend=1;quad=1;xscale=240|290|10;yscale=.295|.335|.005;labels=1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</si>
  <si>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</si>
  <si>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</si>
  <si>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</si>
  <si>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rcxopr</t>
  </si>
  <si>
    <t>bubble</t>
  </si>
  <si>
    <t>Xg2</t>
  </si>
  <si>
    <t>Yg2</t>
  </si>
  <si>
    <t>Sg2</t>
  </si>
  <si>
    <t>Xg3</t>
  </si>
  <si>
    <t>Yg3</t>
  </si>
  <si>
    <t>Sg3</t>
  </si>
  <si>
    <t>xfmt=#.##0;xsrc=#.##0;yfmt=0,0%25;ysrc=0,0%25;palette=padrao;n=8;legend=right;trend=0;quad=0;yscale=.15|.55|.05;labels=1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</si>
  <si>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</si>
  <si>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</si>
  <si>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</si>
  <si>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</si>
  <si>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azudok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</si>
  <si>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</si>
  <si>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</si>
  <si>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</si>
  <si>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</si>
  <si>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3rami3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</si>
  <si>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</si>
  <si>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</si>
  <si>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</si>
  <si>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</si>
  <si>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</si>
  <si>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</si>
  <si>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</si>
  <si>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</si>
  <si>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</si>
  <si>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</si>
  <si>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</si>
  <si>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</si>
  <si>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</si>
  <si>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</si>
  <si>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</si>
  <si>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</si>
  <si>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p98aeu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</si>
  <si>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</si>
  <si>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</si>
  <si>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</si>
  <si>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</si>
  <si>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</si>
  <si>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q7li7k</t>
  </si>
  <si>
    <t>cwcnw4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</si>
  <si>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</si>
  <si>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</si>
  <si>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</si>
  <si>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</si>
  <si>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</si>
  <si>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</si>
  <si>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8h76l8</t>
  </si>
  <si>
    <t>numfmt=int;palette=padrao;n=12;legend=none;labels=1;totals=0;connectors=0</t>
  </si>
  <si>
    <t>27) Da receita ao lucro, 2024 x 2025 (cascata comparativa)</t>
  </si>
  <si>
    <t>As duas pontes lado a lado, 2024 à esquerda e 2025 à direita, com os anos escritos dentro das barras da receita. A seta de cada etapa mostra quanto 2025 variou sobre 2024, (2025 - 2024) / 2024 (num custo, "+" quer dizer que o custo cresceu), e o lucro mostra o percentual da receita do próprio ano. Tudo acompanha os números, com ou sem o ThinQQ.</t>
  </si>
  <si>
    <t>Como criar no ThinQQ: Inserir gráfico &gt; Cascata &gt; Cascata comparativa (Setas de variação e Nome dentro das barras já vêm ligados).  Valores: R$ milhões.</t>
  </si>
  <si>
    <t>ra6wqt</t>
  </si>
  <si>
    <t>waterfallpair</t>
  </si>
  <si>
    <t>SrcA</t>
  </si>
  <si>
    <t>TotA</t>
  </si>
  <si>
    <t>DA</t>
  </si>
  <si>
    <t>StartA</t>
  </si>
  <si>
    <t>EndA</t>
  </si>
  <si>
    <t>LoA</t>
  </si>
  <si>
    <t>HiA</t>
  </si>
  <si>
    <t>BaseA</t>
  </si>
  <si>
    <t>PPA</t>
  </si>
  <si>
    <t>PNA</t>
  </si>
  <si>
    <t>ValA</t>
  </si>
  <si>
    <t>BigA</t>
  </si>
  <si>
    <t>SrcB</t>
  </si>
  <si>
    <t>TotB</t>
  </si>
  <si>
    <t>DB</t>
  </si>
  <si>
    <t>StartB</t>
  </si>
  <si>
    <t>EndB</t>
  </si>
  <si>
    <t>LoB</t>
  </si>
  <si>
    <t>HiB</t>
  </si>
  <si>
    <t>BaseB</t>
  </si>
  <si>
    <t>PPB</t>
  </si>
  <si>
    <t>PNB</t>
  </si>
  <si>
    <t>ValB</t>
  </si>
  <si>
    <t>BigB</t>
  </si>
  <si>
    <t>ArrowTxt</t>
  </si>
  <si>
    <t>TotTxtA</t>
  </si>
  <si>
    <t>TotTxtB</t>
  </si>
  <si>
    <t>Outer</t>
  </si>
  <si>
    <t>Inner</t>
  </si>
  <si>
    <t>SBase</t>
  </si>
  <si>
    <t>APos</t>
  </si>
  <si>
    <t>ANeg</t>
  </si>
  <si>
    <t>BPos</t>
  </si>
  <si>
    <t>BNeg</t>
  </si>
  <si>
    <t>LblAPos</t>
  </si>
  <si>
    <t>LblAVal</t>
  </si>
  <si>
    <t>LblBPos</t>
  </si>
  <si>
    <t>LblBVal</t>
  </si>
  <si>
    <t>TotTxt</t>
  </si>
  <si>
    <t>LblOn</t>
  </si>
  <si>
    <t>Top</t>
  </si>
  <si>
    <t>CxA</t>
  </si>
  <si>
    <t>CyA</t>
  </si>
  <si>
    <t>CLen</t>
  </si>
  <si>
    <t>CxB</t>
  </si>
  <si>
    <t>CyB</t>
  </si>
  <si>
    <t>PX</t>
  </si>
  <si>
    <t>PY</t>
  </si>
  <si>
    <t>PLbl</t>
  </si>
  <si>
    <t>RX</t>
  </si>
  <si>
    <t>RY</t>
  </si>
  <si>
    <t>NX</t>
  </si>
  <si>
    <t>NY</t>
  </si>
  <si>
    <t>NTxt</t>
  </si>
  <si>
    <t>ZX</t>
  </si>
  <si>
    <t>ZY</t>
  </si>
  <si>
    <t xml:space="preserve"> </t>
  </si>
  <si>
    <t>numfmt=dec1;palette=padrao;gap=30;n=7;totals=1;legend=inbar;labels=1;connectors=1;pairabs=0;pairdiff=1</t>
  </si>
  <si>
    <t>28) As duas maiores lojas: da receita ao lucro em 2025 (variação em valor)</t>
  </si>
  <si>
    <t>A mesma ponte para as duas lojas que mais venderam em 2025; a seta de cada etapa mostra a diferença em R$ milhões entre a segunda loja e a primeira, e os nomes das lojas ficam na legenda.</t>
  </si>
  <si>
    <t>Como criar no ThinQQ: Inserir gráfico &gt; Cascata &gt; Cascata comparativa; Setas &gt; Variação em valor; Legenda &gt; Direita.  Valores: R$ milhões.</t>
  </si>
  <si>
    <t>k3852b</t>
  </si>
  <si>
    <t>numfmt=dec1;palette=padrao;gap=30;n=7;totals=1;legend=right;labels=1;connectors=1;pairabs=1;pairdiff=1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</si>
  <si>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</si>
  <si>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</si>
  <si>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</si>
  <si>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</si>
  <si>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</si>
  <si>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</si>
  <si>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</si>
  <si>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</si>
  <si>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</si>
  <si>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</si>
  <si>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</si>
  <si>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</si>
  <si>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</si>
  <si>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</si>
  <si>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</si>
  <si>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</si>
  <si>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</si>
  <si>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</si>
  <si>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</si>
  <si>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</si>
  <si>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</si>
  <si>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</si>
  <si>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</si>
  <si>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</si>
  <si>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</si>
  <si>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 e seta de diferença)</t>
  </si>
  <si>
    <t>Cascata (colunas)</t>
  </si>
  <si>
    <t>Conectores, Seta diferença</t>
  </si>
  <si>
    <t>Inserir gráfico &gt; Cascata &gt; Cascata (colunas) (Conectores já vêm ligados); Setas &gt; Seta diferença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</si>
  <si>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</si>
  <si>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</si>
  <si>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</si>
  <si>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</si>
  <si>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</si>
  <si>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</si>
  <si>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</si>
  <si>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</si>
  <si>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</si>
  <si>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</si>
  <si>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</si>
  <si>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</si>
  <si>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</si>
  <si>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</si>
  <si>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</si>
  <si>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</si>
  <si>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</si>
  <si>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</si>
  <si>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</si>
  <si>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</si>
  <si>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</si>
  <si>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</si>
  <si>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</si>
  <si>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</si>
  <si>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</si>
  <si>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</si>
  <si>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</si>
  <si>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</si>
  <si>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</si>
  <si>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</si>
  <si>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</si>
  <si>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</si>
  <si>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</si>
  <si>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</si>
  <si>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</si>
  <si>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</si>
  <si>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</si>
  <si>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</si>
  <si>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</si>
  <si>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</si>
  <si>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</si>
  <si>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</si>
  <si>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</si>
  <si>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</si>
  <si>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</si>
  <si>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</si>
  <si>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</si>
  <si>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</si>
  <si>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</si>
  <si>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</si>
  <si>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</si>
  <si>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</si>
  <si>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</si>
  <si>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</si>
  <si>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</si>
  <si>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</si>
  <si>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</si>
  <si>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</si>
  <si>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</si>
  <si>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</si>
  <si>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</si>
  <si>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</si>
  <si>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</si>
  <si>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</si>
  <si>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</si>
  <si>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</si>
  <si>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</si>
  <si>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</si>
  <si>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</si>
  <si>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</si>
  <si>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</si>
  <si>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</si>
  <si>
    <t>Da receita ao lucro, 2024 x 2025 (cascata comparativa)</t>
  </si>
  <si>
    <t>Cascata comparativa</t>
  </si>
  <si>
    <t>Setas de variação, Nome dentro das barras</t>
  </si>
  <si>
    <t>Inserir gráfico &gt; Cascata &gt; Cascata comparativa (Setas de variação e Nome dentro das barras já vêm ligados)</t>
  </si>
  <si>
    <t>As duas maiores lojas: da receita ao lucro em 2025 (variação em valor)</t>
  </si>
  <si>
    <t>Variação em valor</t>
  </si>
  <si>
    <t>Inserir gráfico &gt; Cascata &gt; Cascata comparativa; Setas &gt; Variação em valor; Legenda &gt; Direita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</si>
</sst>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9" fontId="0" fillId="0" borderId="0" xfId="0" applyNumberFormat="1"/>
    <xf numFmtId="0" fontId="1" fillId="0" borderId="1" xfId="0" applyFont="1" applyBorder="1"/>
    <xf numFmtId="175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90-4B54-8437-AF66AC4F9A25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90-4B54-8437-AF66AC4F9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09930368"/>
        <c:axId val="509933968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{400046AD-197D-4DA5-B712-A75D8D48B380}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890-4B54-8437-AF66AC4F9A25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{EF0B4319-EA38-4BBF-813C-2C976780D974}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890-4B54-8437-AF66AC4F9A25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{9B93F108-B303-4BE5-873F-909953F0870B}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890-4B54-8437-AF66AC4F9A25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{35C1B340-B1CD-430E-81B2-2D792F9B74D8}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890-4B54-8437-AF66AC4F9A25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{88C74499-566E-4903-9191-B4C71354235E}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890-4B54-8437-AF66AC4F9A25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{6C514C80-5E78-4486-ACCA-B27AC22A46CD}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890-4B54-8437-AF66AC4F9A25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{0270A14C-62BE-4BC0-8AF7-422A414F25C2}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890-4B54-8437-AF66AC4F9A25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{2466B572-1293-4A8E-A306-1B712B6218BE}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890-4B54-8437-AF66AC4F9A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90-4B54-8437-AF66AC4F9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930368"/>
        <c:axId val="509933968"/>
      </c:lineChart>
      <c:catAx>
        <c:axId val="50993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9933968"/>
        <c:crosses val="autoZero"/>
        <c:auto val="0"/>
        <c:lblAlgn val="ctr"/>
        <c:lblOffset val="100"/>
        <c:noMultiLvlLbl val="0"/>
      </c:catAx>
      <c:valAx>
        <c:axId val="509933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99303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1-47D6-8CC8-468A45FC6F45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71-47D6-8CC8-468A45FC6F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12134536"/>
        <c:axId val="512133096"/>
      </c:barChart>
      <c:catAx>
        <c:axId val="512134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133096"/>
        <c:crosses val="autoZero"/>
        <c:auto val="0"/>
        <c:lblAlgn val="ctr"/>
        <c:lblOffset val="100"/>
        <c:noMultiLvlLbl val="0"/>
      </c:catAx>
      <c:valAx>
        <c:axId val="512133096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3453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{948FF623-E8E9-4F81-B3D7-CD7940B3DDF3}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D4C-4937-B2D5-0FBB8E33C8F3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{A67FBC88-2BF2-4CC9-986B-D982DA180A3F}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D4C-4937-B2D5-0FBB8E33C8F3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{262FEB10-C389-4731-8121-7596519580EA}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D4C-4937-B2D5-0FBB8E33C8F3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{B6AB7314-3AD1-4B1D-9738-B20C28BE1E6A}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D4C-4937-B2D5-0FBB8E33C8F3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{429DBCBD-2355-45EF-AFE6-D6A67862AFB8}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D4C-4937-B2D5-0FBB8E33C8F3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4C-4937-B2D5-0FBB8E33C8F3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{DC3C5539-152D-48B2-B316-C1654C0C0F8E}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D4C-4937-B2D5-0FBB8E33C8F3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{E355CB3B-F65F-433B-B682-1AE827DD645D}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D4C-4937-B2D5-0FBB8E33C8F3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{29BD17E6-787A-485F-99A2-98DB06ADFDEA}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D4C-4937-B2D5-0FBB8E33C8F3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{7908DFF9-0AA0-487C-83DA-1274711900B8}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D4C-4937-B2D5-0FBB8E33C8F3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{29B9C36B-3E6F-4285-BE47-3E1BF45111F7}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D4C-4937-B2D5-0FBB8E33C8F3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4C-4937-B2D5-0FBB8E33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4789080"/>
        <c:axId val="51478800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{B74F8526-5343-4756-BD7E-D7AF278937E9}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D4C-4937-B2D5-0FBB8E33C8F3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{DF486560-9A01-49C9-BB20-CDD0FCA1F176}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D4C-4937-B2D5-0FBB8E33C8F3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{615619A2-6086-497E-B97B-D4CB36449D42}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D4C-4937-B2D5-0FBB8E33C8F3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{28E181DD-C4C3-4ABD-8415-7CC1EC0B2504}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D4C-4937-B2D5-0FBB8E33C8F3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{C6F68FF2-F915-4C71-8D70-03EDACEE9CA2}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D4C-4937-B2D5-0FBB8E33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D4C-4937-B2D5-0FBB8E33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789080"/>
        <c:axId val="514788000"/>
      </c:lineChart>
      <c:catAx>
        <c:axId val="514789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788000"/>
        <c:crosses val="autoZero"/>
        <c:auto val="0"/>
        <c:lblAlgn val="ctr"/>
        <c:lblOffset val="100"/>
        <c:noMultiLvlLbl val="0"/>
      </c:catAx>
      <c:valAx>
        <c:axId val="51478800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7890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17-43FC-8A7C-4FFEADDE5776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17-43FC-8A7C-4FFEADDE5776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17-43FC-8A7C-4FFEADDE5776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17-43FC-8A7C-4FFEADDE5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505280"/>
        <c:axId val="514503840"/>
      </c:lineChart>
      <c:catAx>
        <c:axId val="5145052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503840"/>
        <c:crosses val="autoZero"/>
        <c:auto val="0"/>
        <c:lblAlgn val="ctr"/>
        <c:lblOffset val="100"/>
        <c:noMultiLvlLbl val="0"/>
      </c:catAx>
      <c:valAx>
        <c:axId val="51450384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5052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1.9642857142857142E-2"/>
          <c:y val="3.6666666666666667E-2"/>
          <c:w val="0.81785714285714284"/>
          <c:h val="0.92666666666666664"/>
        </c:manualLayout>
      </c:layout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CC-4FF2-9009-0EAA4873FBF2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CC-4FF2-9009-0EAA4873FBF2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CC-4FF2-9009-0EAA4873FBF2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CC-4FF2-9009-0EAA4873FBF2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CC-4FF2-9009-0EAA4873FBF2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CCC-4FF2-9009-0EAA4873F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2115480"/>
        <c:axId val="512117280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{D230C06A-84F3-4A66-9252-FB554C4BAE49}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CCC-4FF2-9009-0EAA4873FBF2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{F6D2A3C9-280D-4896-91E6-783C83C8CFFF}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CCC-4FF2-9009-0EAA4873FBF2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{5B993DFE-E98B-467D-A7EE-AFCCA3FF925D}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CCC-4FF2-9009-0EAA4873FBF2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{3C5D4673-A1E1-437E-B2F0-128DE78613D7}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CCC-4FF2-9009-0EAA4873FBF2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{A38D968A-F096-46B6-A568-D2D7D77B20D5}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CCC-4FF2-9009-0EAA4873FBF2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{AD5ED9D7-6E12-45C7-92DC-17C4B5EE7D3F}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CCC-4FF2-9009-0EAA4873FBF2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{4C4A57A4-BD1A-49F3-889F-14E557564A94}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CCC-4FF2-9009-0EAA4873FBF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CC-4FF2-9009-0EAA4873F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115480"/>
        <c:axId val="512117280"/>
      </c:lineChart>
      <c:catAx>
        <c:axId val="512115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117280"/>
        <c:crosses val="autoZero"/>
        <c:auto val="0"/>
        <c:lblAlgn val="ctr"/>
        <c:lblOffset val="100"/>
        <c:noMultiLvlLbl val="0"/>
      </c:catAx>
      <c:valAx>
        <c:axId val="51211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154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09-4ADC-AECA-92870918B504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09-4ADC-AECA-92870918B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2142456"/>
        <c:axId val="512141736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{08491E8A-3C8B-4089-9D1B-DD92CE43C58A}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4109-4ADC-AECA-92870918B504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{7229674A-B468-4FEE-81AB-6DFA9737A626}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109-4ADC-AECA-92870918B504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{96CA614A-605E-4022-A7B1-DE1D19EAAF3E}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109-4ADC-AECA-92870918B504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{C07E9A16-9FB4-4AEB-BE91-C52F24FB28E6}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109-4ADC-AECA-92870918B504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{5D8ECC4A-21B9-4879-8D53-41797DCF0517}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109-4ADC-AECA-92870918B5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09-4ADC-AECA-92870918B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945336"/>
        <c:axId val="504947136"/>
      </c:scatterChart>
      <c:catAx>
        <c:axId val="5121424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141736"/>
        <c:crosses val="autoZero"/>
        <c:auto val="0"/>
        <c:lblAlgn val="ctr"/>
        <c:lblOffset val="100"/>
        <c:noMultiLvlLbl val="0"/>
      </c:catAx>
      <c:valAx>
        <c:axId val="512141736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42456"/>
        <c:crosses val="autoZero"/>
        <c:crossBetween val="between"/>
      </c:valAx>
      <c:valAx>
        <c:axId val="504947136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4945336"/>
        <c:crosses val="max"/>
        <c:crossBetween val="midCat"/>
      </c:valAx>
      <c:valAx>
        <c:axId val="504945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04947136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C8-4CB2-A58A-D23F0995B9EF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AC8-4CB2-A58A-D23F0995B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04900384"/>
        <c:axId val="504900744"/>
      </c:barChart>
      <c:catAx>
        <c:axId val="5049003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4900744"/>
        <c:crosses val="autoZero"/>
        <c:auto val="0"/>
        <c:lblAlgn val="ctr"/>
        <c:lblOffset val="100"/>
        <c:noMultiLvlLbl val="0"/>
      </c:catAx>
      <c:valAx>
        <c:axId val="50490074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49003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{857BED71-5985-40CD-B1F0-BBD8D497962E}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CDA0-4A90-A70B-E858BA146113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{34520AFF-C1FE-453F-8648-E1A5B9CEAA04}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DA0-4A90-A70B-E858BA146113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{0782BD28-A94B-4E68-A757-D044AA61076A}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DA0-4A90-A70B-E858BA146113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{D42285C5-B5E7-47CE-8712-4398866076EF}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DA0-4A90-A70B-E858BA146113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{CC727800-146C-4362-BF06-E1B3DC8EE17A}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DA0-4A90-A70B-E858BA146113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{BBC09980-A919-47DE-9FCD-72782C834673}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DA0-4A90-A70B-E858BA146113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{1456DABC-8967-4954-91D7-9A75DE7F3B1B}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DA0-4A90-A70B-E858BA146113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{FFC37B7E-DEAF-4E51-AE07-7408EAE990B1}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DA0-4A90-A70B-E858BA146113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0-4A90-A70B-E858BA146113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{6303AB46-DDBA-40C1-9184-5254D42F10BE}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DA0-4A90-A70B-E858BA146113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{17D5EFCF-7DFA-4FD5-A1FF-32EC15314B01}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DA0-4A90-A70B-E858BA146113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{4D12FDAF-0D8F-46FE-9CD8-A0046B6CB696}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DA0-4A90-A70B-E858BA146113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{3B1D0AE7-8BBB-4828-814C-510BF89922CB}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DA0-4A90-A70B-E858BA146113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{1221918A-7AA6-499A-BA5D-8C3B698A66F6}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DA0-4A90-A70B-E858BA146113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{AF701DF4-EACD-452D-8D53-21DB42DD706D}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DA0-4A90-A70B-E858BA146113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{9F23B2FA-46AB-41B0-9311-09C6AA837105}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DA0-4A90-A70B-E858BA146113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{29A0DB7C-6905-4101-AD24-DB125B351AEA}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DA0-4A90-A70B-E858BA146113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0-4A90-A70B-E858BA146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4504200"/>
        <c:axId val="514509240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{8C9995AF-D6FD-4F2C-8129-B32027495781}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DA0-4A90-A70B-E858BA146113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{4EBF8CC0-7096-4BF6-B358-18DD866F2BD3}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DA0-4A90-A70B-E858BA146113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{7018755E-2779-4A59-8BCB-D5E61D37D963}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DA0-4A90-A70B-E858BA146113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{816B0955-3926-42D2-B4E2-CDF4674211CA}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DA0-4A90-A70B-E858BA146113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{69072998-8F45-4AA0-A260-6898FE1586B7}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DA0-4A90-A70B-E858BA146113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{77683FA9-0C3C-47E9-A99A-A1AB1305DB97}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DA0-4A90-A70B-E858BA146113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{349C232B-E2D6-4921-96F1-84E29A8A4AED}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DA0-4A90-A70B-E858BA146113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{D3CEE4E6-D3DF-4E44-97E8-D801973B45CD}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DA0-4A90-A70B-E858BA146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DA0-4A90-A70B-E858BA146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2116200"/>
        <c:axId val="512118000"/>
      </c:scatterChart>
      <c:catAx>
        <c:axId val="514504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509240"/>
        <c:crosses val="autoZero"/>
        <c:auto val="0"/>
        <c:lblAlgn val="ctr"/>
        <c:lblOffset val="100"/>
        <c:noMultiLvlLbl val="0"/>
      </c:catAx>
      <c:valAx>
        <c:axId val="514509240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504200"/>
        <c:crosses val="autoZero"/>
        <c:crossBetween val="between"/>
      </c:valAx>
      <c:valAx>
        <c:axId val="512118000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16200"/>
        <c:crosses val="max"/>
        <c:crossBetween val="midCat"/>
      </c:valAx>
      <c:valAx>
        <c:axId val="512116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211800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7B-48D3-AA46-4689C12C6E03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7B-48D3-AA46-4689C12C6E03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7B-48D3-AA46-4689C12C6E03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7B-48D3-AA46-4689C12C6E03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7B-48D3-AA46-4689C12C6E03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7B-48D3-AA46-4689C12C6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4487280"/>
        <c:axId val="514487640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{86F48882-6F1D-4001-B8D3-8F395958D502}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07B-48D3-AA46-4689C12C6E03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{08F185C6-C9F6-4C5C-83AB-544E92ADCC95}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07B-48D3-AA46-4689C12C6E03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{50797E31-B403-4FF5-845A-772F50344423}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07B-48D3-AA46-4689C12C6E03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{E474B943-F527-474C-9CF7-6C5770B4451F}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07B-48D3-AA46-4689C12C6E03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{A78AE5C4-D46D-4402-8B87-CB3DBA3638CA}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07B-48D3-AA46-4689C12C6E03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{4BF77227-B5A0-4D67-B770-C0F2C63A3180}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07B-48D3-AA46-4689C12C6E03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{73D24304-2CCD-4712-A50C-11C7ADFFB338}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07B-48D3-AA46-4689C12C6E0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07B-48D3-AA46-4689C12C6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500960"/>
        <c:axId val="514494120"/>
      </c:scatterChart>
      <c:catAx>
        <c:axId val="5144872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487640"/>
        <c:crosses val="autoZero"/>
        <c:auto val="0"/>
        <c:lblAlgn val="ctr"/>
        <c:lblOffset val="100"/>
        <c:noMultiLvlLbl val="0"/>
      </c:catAx>
      <c:valAx>
        <c:axId val="51448764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487280"/>
        <c:crosses val="autoZero"/>
        <c:crossBetween val="between"/>
      </c:valAx>
      <c:valAx>
        <c:axId val="514494120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500960"/>
        <c:crosses val="max"/>
        <c:crossBetween val="midCat"/>
      </c:valAx>
      <c:valAx>
        <c:axId val="514500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4494120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3186835558598653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41-4925-B14E-754F02D239E8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41-4925-B14E-754F02D239E8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41-4925-B14E-754F02D23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2143896"/>
        <c:axId val="51214425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{A380AF93-7AAE-4F54-BD54-AEFAB8B792EC}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441-4925-B14E-754F02D239E8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{77AD8BCA-0582-4F49-9F58-F5F7DAC3ECA4}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441-4925-B14E-754F02D239E8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{8E3097B5-3038-4467-9BFF-21D19E80008E}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441-4925-B14E-754F02D239E8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{5B14E737-F7DC-4708-9CA3-72A66922F91B}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441-4925-B14E-754F02D239E8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{AFAACC8F-0ABD-434A-A433-FCF331178CDE}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441-4925-B14E-754F02D239E8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{EFFCCB8A-DA37-4DFA-861A-F27B224BC761}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441-4925-B14E-754F02D239E8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{E042F736-E9DC-4C8D-B06A-D414C2BD09A7}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441-4925-B14E-754F02D239E8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{3B66C970-5521-4B6B-8D9D-F52A064E0F30}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441-4925-B14E-754F02D239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41-4925-B14E-754F02D239E8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{DBB00DD0-D0D6-443C-943D-F3C847FDCC4B}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441-4925-B14E-754F02D239E8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{FA2A1718-98BE-42DE-B9D5-A5CDBEF3AF2E}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441-4925-B14E-754F02D239E8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{030C2DB0-762E-4529-8F6B-DDCAC3AAB40D}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441-4925-B14E-754F02D239E8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{9131EDAA-0F5C-4273-95B6-1913F6C5BF6F}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441-4925-B14E-754F02D239E8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{14FEB103-6416-458F-8D50-D5F44E50DEE3}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441-4925-B14E-754F02D239E8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{D92B0E9E-CA84-432E-9A99-DB3E3C7A7BE5}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441-4925-B14E-754F02D239E8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{E79645DD-BFE0-4409-BA5D-302E58B16888}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441-4925-B14E-754F02D239E8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{10832DD9-2BEE-4B87-BF25-73BAE6FB3E8D}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441-4925-B14E-754F02D239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41-4925-B14E-754F02D239E8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{8369C61A-4EF4-4017-A28C-87C4A142726F}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441-4925-B14E-754F02D239E8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{48E2FD84-B4FE-40D7-BD67-3A121BE04364}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441-4925-B14E-754F02D239E8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{6E72CCC5-8278-458E-ACEF-B30F7230166E}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441-4925-B14E-754F02D239E8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{80957489-FE3C-4E0E-8D5F-C103C0A14568}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441-4925-B14E-754F02D239E8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{C2980D60-9C6A-4B86-A2D1-9C9A1EB6503D}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441-4925-B14E-754F02D239E8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{51DF4C72-8CBD-435E-9B6B-3EB554C41E42}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441-4925-B14E-754F02D239E8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{0715CC62-9BC5-4FF1-92AA-218C62A3C49A}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441-4925-B14E-754F02D239E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41-4925-B14E-754F02D239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441-4925-B14E-754F02D239E8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{98E6614E-F3E8-45F6-A2CC-04736181C3DC}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441-4925-B14E-754F02D239E8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{923C7405-1BC3-45B5-AC37-24F8DD8CA4D7}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441-4925-B14E-754F02D239E8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{195E7807-FADD-48C1-B8EA-BC10BEC25FF3}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441-4925-B14E-754F02D239E8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{86E27FA6-6E54-494A-9CAE-79DE497D0B96}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441-4925-B14E-754F02D239E8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{E7289D63-8221-457F-AE8A-684D878A37F9}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441-4925-B14E-754F02D239E8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{54D9412C-4A9B-471A-990F-5DA65058C402}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441-4925-B14E-754F02D239E8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{3AB8EAD8-95E1-477B-9529-B026A28C3584}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441-4925-B14E-754F02D239E8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{D38C623E-9FB3-4A10-8BC2-B50757504191}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441-4925-B14E-754F02D239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441-4925-B14E-754F02D239E8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{2984FACF-45F5-4770-B0DE-CC4179CA273C}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2441-4925-B14E-754F02D239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2441-4925-B14E-754F02D23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143896"/>
        <c:axId val="512144256"/>
      </c:lineChart>
      <c:catAx>
        <c:axId val="512143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2144256"/>
        <c:crosses val="autoZero"/>
        <c:auto val="0"/>
        <c:lblAlgn val="ctr"/>
        <c:lblOffset val="100"/>
        <c:noMultiLvlLbl val="0"/>
      </c:catAx>
      <c:valAx>
        <c:axId val="5121442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438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933310510099285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3E-4F03-9380-27C35224D97F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3E-4F03-9380-27C35224D97F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3E-4F03-9380-27C35224D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85960"/>
        <c:axId val="553593160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{DF76017D-5EB2-4545-A8E0-CE1066837A5D}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33E-4F03-9380-27C35224D97F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{CA530C54-FDD0-4DA6-8616-6CCFCB6C5EA2}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33E-4F03-9380-27C35224D97F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{D466AA64-43A7-41A1-BB68-F9FF697E4CF1}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33E-4F03-9380-27C35224D97F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{90489EE2-451D-4C81-8377-E8E6EA057F1E}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33E-4F03-9380-27C35224D97F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{DF923C0E-5046-4B93-9332-EE33132EB80B}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33E-4F03-9380-27C35224D97F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{AD829582-E432-4962-BEC7-8D40FA1E1804}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33E-4F03-9380-27C35224D97F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{09C31CA7-EE20-45F5-A6E6-5A74B0F68A44}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33E-4F03-9380-27C35224D97F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{ED9A6106-E22C-4A2B-8EC8-B6D1C29D6570}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33E-4F03-9380-27C35224D97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33E-4F03-9380-27C35224D97F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{9A6DBC9A-2DA2-4D54-B4D2-97DF839E9B97}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33E-4F03-9380-27C35224D97F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{F49E0099-CB9D-47EE-AC38-1F655AEFD8D1}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33E-4F03-9380-27C35224D97F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{CD40EF84-43C3-4AD9-8E8C-62C37429E3E9}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33E-4F03-9380-27C35224D97F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{19A6F145-CDB8-4B66-B06E-A93693E29108}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33E-4F03-9380-27C35224D97F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{A2243F6E-9CA2-46FD-8A0B-E9CEBA0346B7}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33E-4F03-9380-27C35224D97F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{45241C79-9FB3-4EB0-8FCF-A23F1ED8240A}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33E-4F03-9380-27C35224D97F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{8AE2BC54-0E4C-4573-B0AD-0D8B836BA7FE}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33E-4F03-9380-27C35224D97F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{376F2D2A-7696-4ED8-BF15-37EAA39A801B}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33E-4F03-9380-27C35224D97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33E-4F03-9380-27C35224D97F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{A2C3DC84-30F8-449A-A332-9D4E799FEEF3}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333E-4F03-9380-27C35224D97F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{D0C68AC2-25CA-479D-89F1-0D74A0009892}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333E-4F03-9380-27C35224D97F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{5ADAE6EC-385C-42D4-BF2E-0C7D00CD5038}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333E-4F03-9380-27C35224D97F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{7DE85033-C468-45BE-AC1D-2DD6C9399BB4}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333E-4F03-9380-27C35224D97F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{01F07642-0E7F-4FA3-9CEF-CF9E72E07D66}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333E-4F03-9380-27C35224D97F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{73BA5E6A-D49F-4186-8010-81E93415672A}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333E-4F03-9380-27C35224D97F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{6AC211DA-7E64-4A7B-B8EB-8029C3F040A3}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333E-4F03-9380-27C35224D97F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{910EA70B-3A33-4C2E-BD05-4928FB18D795}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333E-4F03-9380-27C35224D97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33E-4F03-9380-27C35224D97F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{B60E2B9A-4400-491D-929F-D30BED4D39A4}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333E-4F03-9380-27C35224D97F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{20024749-89BE-4F2A-885E-808416E13530}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333E-4F03-9380-27C35224D97F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{618B9E98-2EE4-4539-B75A-1BBB967CA2D8}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333E-4F03-9380-27C35224D97F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{122B711B-C2D2-434D-A28F-461A224A7298}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333E-4F03-9380-27C35224D97F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{87D2846F-3DAB-413C-8912-FC177366D806}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333E-4F03-9380-27C35224D97F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{A8AB46D2-671E-41AC-BAB9-22DF32908A96}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333E-4F03-9380-27C35224D97F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{00F3A656-E720-453B-8D99-045D90F4035E}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333E-4F03-9380-27C35224D97F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{55DD224F-1F8D-441A-99BF-724D3DD5F638}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333E-4F03-9380-27C35224D97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333E-4F03-9380-27C35224D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3585960"/>
        <c:axId val="553593160"/>
      </c:lineChart>
      <c:catAx>
        <c:axId val="553585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53593160"/>
        <c:crosses val="autoZero"/>
        <c:auto val="0"/>
        <c:lblAlgn val="ctr"/>
        <c:lblOffset val="100"/>
        <c:noMultiLvlLbl val="0"/>
      </c:catAx>
      <c:valAx>
        <c:axId val="55359316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5358596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9F-4751-B4E1-0D918823D27D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9F-4751-B4E1-0D918823D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4784040"/>
        <c:axId val="514786920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_ThinQQ!$B$122</c:f>
                  <c:strCache>
                    <c:ptCount val="1"/>
                    <c:pt idx="0">
                      <c:v>2.072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{82F2AC48-24B0-492C-9F77-E9366772A275}</c15:txfldGUID>
                      <c15:f>_ThinQQ!$B$122</c15:f>
                      <c15:dlblFieldTableCache>
                        <c:ptCount val="1"/>
                        <c:pt idx="0">
                          <c:v>2.072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89F-4751-B4E1-0D918823D27D}"/>
                </c:ext>
              </c:extLst>
            </c:dLbl>
            <c:dLbl>
              <c:idx val="1"/>
              <c:tx>
                <c:strRef>
                  <c:f>_ThinQQ!$B$123</c:f>
                  <c:strCache>
                    <c:ptCount val="1"/>
                    <c:pt idx="0">
                      <c:v>1.976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{56B9E866-6F56-4E55-A34A-38A508DEBC8B}</c15:txfldGUID>
                      <c15:f>_ThinQQ!$B$123</c15:f>
                      <c15:dlblFieldTableCache>
                        <c:ptCount val="1"/>
                        <c:pt idx="0">
                          <c:v>1.976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89F-4751-B4E1-0D918823D27D}"/>
                </c:ext>
              </c:extLst>
            </c:dLbl>
            <c:dLbl>
              <c:idx val="2"/>
              <c:tx>
                <c:strRef>
                  <c:f>_ThinQQ!$B$124</c:f>
                  <c:strCache>
                    <c:ptCount val="1"/>
                    <c:pt idx="0">
                      <c:v>1.903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{CDA60EBB-746F-4C09-B884-00FE7B66F2E0}</c15:txfldGUID>
                      <c15:f>_ThinQQ!$B$124</c15:f>
                      <c15:dlblFieldTableCache>
                        <c:ptCount val="1"/>
                        <c:pt idx="0">
                          <c:v>1.903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89F-4751-B4E1-0D918823D27D}"/>
                </c:ext>
              </c:extLst>
            </c:dLbl>
            <c:dLbl>
              <c:idx val="3"/>
              <c:tx>
                <c:strRef>
                  <c:f>_ThinQQ!$B$125</c:f>
                  <c:strCache>
                    <c:ptCount val="1"/>
                    <c:pt idx="0">
                      <c:v>1.890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{54BCCCDB-24B5-44EF-8438-B46EC141C9EE}</c15:txfldGUID>
                      <c15:f>_ThinQQ!$B$125</c15:f>
                      <c15:dlblFieldTableCache>
                        <c:ptCount val="1"/>
                        <c:pt idx="0">
                          <c:v>1.890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89F-4751-B4E1-0D918823D27D}"/>
                </c:ext>
              </c:extLst>
            </c:dLbl>
            <c:dLbl>
              <c:idx val="4"/>
              <c:tx>
                <c:strRef>
                  <c:f>_ThinQQ!$B$126</c:f>
                  <c:strCache>
                    <c:ptCount val="1"/>
                    <c:pt idx="0">
                      <c:v>1.950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{0B9E8AAD-E31A-4CE5-918A-E3BF1402B71C}</c15:txfldGUID>
                      <c15:f>_ThinQQ!$B$126</c15:f>
                      <c15:dlblFieldTableCache>
                        <c:ptCount val="1"/>
                        <c:pt idx="0">
                          <c:v>1.950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89F-4751-B4E1-0D918823D27D}"/>
                </c:ext>
              </c:extLst>
            </c:dLbl>
            <c:dLbl>
              <c:idx val="5"/>
              <c:tx>
                <c:strRef>
                  <c:f>_ThinQQ!$B$127</c:f>
                  <c:strCache>
                    <c:ptCount val="1"/>
                    <c:pt idx="0">
                      <c:v>2.094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{E3F294C5-4A44-41B5-AC86-3CB9640E0B01}</c15:txfldGUID>
                      <c15:f>_ThinQQ!$B$127</c15:f>
                      <c15:dlblFieldTableCache>
                        <c:ptCount val="1"/>
                        <c:pt idx="0">
                          <c:v>2.094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89F-4751-B4E1-0D918823D27D}"/>
                </c:ext>
              </c:extLst>
            </c:dLbl>
            <c:dLbl>
              <c:idx val="6"/>
              <c:tx>
                <c:strRef>
                  <c:f>_ThinQQ!$B$128</c:f>
                  <c:strCache>
                    <c:ptCount val="1"/>
                    <c:pt idx="0">
                      <c:v>2.248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{BB2AB001-F198-449E-A45D-6C10CC0E964D}</c15:txfldGUID>
                      <c15:f>_ThinQQ!$B$128</c15:f>
                      <c15:dlblFieldTableCache>
                        <c:ptCount val="1"/>
                        <c:pt idx="0">
                          <c:v>2.248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89F-4751-B4E1-0D918823D27D}"/>
                </c:ext>
              </c:extLst>
            </c:dLbl>
            <c:dLbl>
              <c:idx val="7"/>
              <c:tx>
                <c:strRef>
                  <c:f>_ThinQQ!$B$129</c:f>
                  <c:strCache>
                    <c:ptCount val="1"/>
                    <c:pt idx="0">
                      <c:v>2.332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{74EA5859-4A7C-482C-AD27-88FCB128583A}</c15:txfldGUID>
                      <c15:f>_ThinQQ!$B$129</c15:f>
                      <c15:dlblFieldTableCache>
                        <c:ptCount val="1"/>
                        <c:pt idx="0">
                          <c:v>2.332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89F-4751-B4E1-0D918823D27D}"/>
                </c:ext>
              </c:extLst>
            </c:dLbl>
            <c:dLbl>
              <c:idx val="8"/>
              <c:tx>
                <c:strRef>
                  <c:f>_ThinQQ!$B$130</c:f>
                  <c:strCache>
                    <c:ptCount val="1"/>
                    <c:pt idx="0">
                      <c:v>2.372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{ED359802-1E98-486A-AEB1-EF95F0CF8E59}</c15:txfldGUID>
                      <c15:f>_ThinQQ!$B$130</c15:f>
                      <c15:dlblFieldTableCache>
                        <c:ptCount val="1"/>
                        <c:pt idx="0">
                          <c:v>2.372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89F-4751-B4E1-0D918823D27D}"/>
                </c:ext>
              </c:extLst>
            </c:dLbl>
            <c:dLbl>
              <c:idx val="9"/>
              <c:tx>
                <c:strRef>
                  <c:f>_ThinQQ!$B$131</c:f>
                  <c:strCache>
                    <c:ptCount val="1"/>
                    <c:pt idx="0">
                      <c:v>2.444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{ED440ADB-9E4F-4099-92F9-C6547EA67A82}</c15:txfldGUID>
                      <c15:f>_ThinQQ!$B$131</c15:f>
                      <c15:dlblFieldTableCache>
                        <c:ptCount val="1"/>
                        <c:pt idx="0">
                          <c:v>2.444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89F-4751-B4E1-0D918823D27D}"/>
                </c:ext>
              </c:extLst>
            </c:dLbl>
            <c:dLbl>
              <c:idx val="10"/>
              <c:tx>
                <c:strRef>
                  <c:f>_ThinQQ!$B$132</c:f>
                  <c:strCache>
                    <c:ptCount val="1"/>
                    <c:pt idx="0">
                      <c:v>2.467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{19574AC2-1C52-4FAC-AC52-1253B7966285}</c15:txfldGUID>
                      <c15:f>_ThinQQ!$B$132</c15:f>
                      <c15:dlblFieldTableCache>
                        <c:ptCount val="1"/>
                        <c:pt idx="0">
                          <c:v>2.467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89F-4751-B4E1-0D918823D27D}"/>
                </c:ext>
              </c:extLst>
            </c:dLbl>
            <c:dLbl>
              <c:idx val="11"/>
              <c:tx>
                <c:strRef>
                  <c:f>_ThinQQ!$B$133</c:f>
                  <c:strCache>
                    <c:ptCount val="1"/>
                    <c:pt idx="0">
                      <c:v>2.450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{041F2E4C-F7C2-42CA-822E-E31D91F0A24E}</c15:txfldGUID>
                      <c15:f>_ThinQQ!$B$133</c15:f>
                      <c15:dlblFieldTableCache>
                        <c:ptCount val="1"/>
                        <c:pt idx="0">
                          <c:v>2.450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89F-4751-B4E1-0D918823D2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_ThinQQ!$C$122:$C$133</c:f>
              <c:numCache>
                <c:formatCode>General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89F-4751-B4E1-0D918823D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4784040"/>
        <c:axId val="514786920"/>
      </c:line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89F-4751-B4E1-0D918823D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115840"/>
        <c:axId val="512111520"/>
      </c:lineChart>
      <c:catAx>
        <c:axId val="5147840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4786920"/>
        <c:crosses val="autoZero"/>
        <c:auto val="0"/>
        <c:lblAlgn val="ctr"/>
        <c:lblOffset val="100"/>
        <c:noMultiLvlLbl val="0"/>
      </c:catAx>
      <c:valAx>
        <c:axId val="514786920"/>
        <c:scaling>
          <c:orientation val="minMax"/>
          <c:max val="3393.8381134891392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4784040"/>
        <c:crosses val="autoZero"/>
        <c:crossBetween val="between"/>
      </c:valAx>
      <c:valAx>
        <c:axId val="512111520"/>
        <c:scaling>
          <c:orientation val="minMax"/>
          <c:max val="0.3339423908992864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2115840"/>
        <c:crosses val="max"/>
        <c:crossBetween val="between"/>
      </c:valAx>
      <c:dateAx>
        <c:axId val="51211584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12111520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28-4CFE-A85F-8D1FCEAA9C44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28-4CFE-A85F-8D1FCEAA9C44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28-4CFE-A85F-8D1FCEAA9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910384"/>
        <c:axId val="50491398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{185BD76B-4C3B-4028-8DC6-7113F57EC88D}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B28-4CFE-A85F-8D1FCEAA9C44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{7A58323F-BE38-4066-B036-7EADB0BB1692}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B28-4CFE-A85F-8D1FCEAA9C44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{EC6E7835-83AC-41C6-A238-E7F4CF96E8DB}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B28-4CFE-A85F-8D1FCEAA9C44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{3D3A492B-6260-47F4-BDB9-0EEBC2C96038}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B28-4CFE-A85F-8D1FCEAA9C44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{01C9C190-D71E-441B-B302-440521F650F9}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B28-4CFE-A85F-8D1FCEAA9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28-4CFE-A85F-8D1FCEAA9C44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{2204383A-9DCF-41A9-B05E-87B7EE9D05E1}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B28-4CFE-A85F-8D1FCEAA9C44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{8AA3F59D-FE9D-487B-86F3-0DC311085820}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B28-4CFE-A85F-8D1FCEAA9C44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{10360913-43DB-4887-BEB0-4873186AADC8}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B28-4CFE-A85F-8D1FCEAA9C44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{E013DB50-0D4A-42C5-8350-227346A56364}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B28-4CFE-A85F-8D1FCEAA9C44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{E5C70C68-7763-49B8-98F3-65ECF057A69C}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B28-4CFE-A85F-8D1FCEAA9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28-4CFE-A85F-8D1FCEAA9C44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{30C95BF4-1910-4862-AB2E-1652FA570F48}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B28-4CFE-A85F-8D1FCEAA9C44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{0E8853A2-516A-4AEF-B0C2-828D1A4E6FFB}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B28-4CFE-A85F-8D1FCEAA9C44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{48116924-D5F9-41D0-A746-4492334FA0DE}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B28-4CFE-A85F-8D1FCEAA9C44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{06994AFE-1E42-44F3-BA2C-CC8B68D06368}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B28-4CFE-A85F-8D1FCEAA9C44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{56CC172D-BD38-4852-B593-F43905FCB8E2}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B28-4CFE-A85F-8D1FCEAA9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28-4CFE-A85F-8D1FCEAA9C44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{24225C52-303B-4451-B099-1F30B74439E1}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B28-4CFE-A85F-8D1FCEAA9C44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{0E6D6514-3046-47C8-8EBF-D74693945EAE}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B28-4CFE-A85F-8D1FCEAA9C44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{6311EE7C-1207-4759-9713-C483B52CF23E}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4B28-4CFE-A85F-8D1FCEAA9C44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{136D11D1-D4BF-4484-B9E1-1DBE6572B686}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4B28-4CFE-A85F-8D1FCEAA9C44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{364DFCFC-EF11-4C9D-9E13-E11FB7948FDC}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4B28-4CFE-A85F-8D1FCEAA9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28-4CFE-A85F-8D1FCEAA9C44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{383BABF9-40DB-43C2-81CF-E5A404867E8E}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4B28-4CFE-A85F-8D1FCEAA9C44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{EB4D26D6-1F0B-4D61-8DB3-1D3A1158A729}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4B28-4CFE-A85F-8D1FCEAA9C44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{CFF54BC7-63F0-49C9-8BD6-04F2E656FB08}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4B28-4CFE-A85F-8D1FCEAA9C44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{74E0DBF8-ABE4-4BE9-AD86-CA551CB163CE}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4B28-4CFE-A85F-8D1FCEAA9C44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{F85738B5-6871-4376-9738-D4B869F77A09}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4B28-4CFE-A85F-8D1FCEAA9C4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4B28-4CFE-A85F-8D1FCEAA9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910384"/>
        <c:axId val="504913984"/>
      </c:lineChart>
      <c:dateAx>
        <c:axId val="504910384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4913984"/>
        <c:crosses val="autoZero"/>
        <c:auto val="0"/>
        <c:lblOffset val="100"/>
        <c:baseTimeUnit val="days"/>
        <c:majorUnit val="1000"/>
      </c:dateAx>
      <c:valAx>
        <c:axId val="504913984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49103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51-49FA-9123-679C0374969F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51-49FA-9123-679C0374969F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51-49FA-9123-679C03749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879416"/>
        <c:axId val="509880136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{A5FBC463-98A8-4C03-A779-7BF8EA3CF0B4}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551-49FA-9123-679C0374969F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{C7C2B79A-3B7C-4054-9B9A-0FF5A74A13C4}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551-49FA-9123-679C0374969F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{CE016967-CC26-4329-804C-9E367DD656B9}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551-49FA-9123-679C0374969F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{76277842-413F-4B78-B72E-A3172A21F520}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551-49FA-9123-679C0374969F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{832BA731-8D1B-489F-95C4-0BC722189B1B}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551-49FA-9123-679C037496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551-49FA-9123-679C0374969F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{F76A238A-D191-4D48-8BE5-EF14F1B8A80F}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551-49FA-9123-679C0374969F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{C8D76401-313C-4AAF-A4C4-D147E1F272D9}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551-49FA-9123-679C0374969F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{E060A6B4-AD0C-4D23-B041-E36B478863A2}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551-49FA-9123-679C0374969F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{AED6AA09-F5F1-419E-871D-9960B0DE5A67}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551-49FA-9123-679C0374969F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{58007112-FE53-4C85-B696-4A9066D89FB0}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551-49FA-9123-679C037496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551-49FA-9123-679C0374969F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{E5CEE7F8-307D-4484-804C-6114F0328B09}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551-49FA-9123-679C0374969F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{7D11DE89-E6A6-41EA-B118-DDAACA6F5405}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551-49FA-9123-679C0374969F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{7B2B13C8-2F4B-485F-A3A5-6E8743D74F3A}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551-49FA-9123-679C0374969F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{25E7AC26-B80A-4794-B82C-4858280A4FBA}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551-49FA-9123-679C0374969F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{592C688B-B970-4E36-B8F2-E2761F326D75}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551-49FA-9123-679C037496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551-49FA-9123-679C0374969F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{1DED4440-80E1-48A8-818D-82874E30D09B}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551-49FA-9123-679C0374969F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{A950A168-3444-4E6B-AE16-85B78B9DC2E6}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551-49FA-9123-679C0374969F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{ABD1710F-0C08-4854-8C36-D6ABD6CB8534}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551-49FA-9123-679C0374969F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{A2304EFB-2B8E-456D-B8C0-6890CCF19DE0}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551-49FA-9123-679C0374969F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{40F9A9E0-2FDA-4D97-AC47-3127D98D1D82}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551-49FA-9123-679C037496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1551-49FA-9123-679C0374969F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{EED1CC3E-0F19-494A-87A5-42F9EA49A2BB}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551-49FA-9123-679C0374969F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{E2BB8F95-8480-49E0-AC81-4D6C396C04DF}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551-49FA-9123-679C0374969F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{B2DBA5A9-98EF-462C-AA46-CD375DFAE15B}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551-49FA-9123-679C0374969F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{9EBC2033-D246-4C18-BB28-79ECCEB4688C}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551-49FA-9123-679C0374969F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{86114A91-8A53-4987-B756-32FFAD4032FC}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551-49FA-9123-679C037496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551-49FA-9123-679C03749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879416"/>
        <c:axId val="509880136"/>
      </c:lineChart>
      <c:dateAx>
        <c:axId val="509879416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09880136"/>
        <c:crosses val="autoZero"/>
        <c:auto val="0"/>
        <c:lblOffset val="100"/>
        <c:baseTimeUnit val="days"/>
        <c:majorUnit val="1000"/>
      </c:dateAx>
      <c:valAx>
        <c:axId val="509880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098794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1-4CDA-886F-466A62F8B460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1-4CDA-886F-466A62F8B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0465408"/>
        <c:axId val="510464688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F1-4CDA-886F-466A62F8B460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{0523C79E-62E1-4A7D-B222-82DD7A9FB366}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1F1-4CDA-886F-466A62F8B460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{946ACB6A-49F1-456D-A88F-94981F9A6551}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1F1-4CDA-886F-466A62F8B460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{8F3CCDD4-01FB-4B8E-AD8E-64C9E8987E90}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1F1-4CDA-886F-466A62F8B460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{2EB0F5D3-14A2-412B-9F46-B3CDC49A74C9}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1F1-4CDA-886F-466A62F8B46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1F1-4CDA-886F-466A62F8B460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{23DB8352-E972-43BB-A6BF-58E07D548470}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1F1-4CDA-886F-466A62F8B460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{741087EF-222E-4E39-AEC7-FBDA2F39B32A}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1F1-4CDA-886F-466A62F8B460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{6DF1EAE5-33D7-46E3-B93E-A5EBDD4CDB36}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1F1-4CDA-886F-466A62F8B460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{09B3E753-A5B0-459C-8268-F4CDC3B3C9B5}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1F1-4CDA-886F-466A62F8B460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{FC6B4F8A-4591-4E34-896D-6A65A890106D}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1F1-4CDA-886F-466A62F8B460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{FA5057A7-C205-4A10-A6EE-1FB849B9E2C7}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1F1-4CDA-886F-466A62F8B460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{53CDDD37-EF50-45A0-A30B-9CD87AF42922}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1F1-4CDA-886F-466A62F8B460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{9014B0FC-91E1-4E13-A093-211EBFB67B06}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1F1-4CDA-886F-466A62F8B460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{ECE14D84-85EF-46D6-93C2-DAF27E836473}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1F1-4CDA-886F-466A62F8B460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{F5D74A46-0F66-43C3-A042-E83E6D2A973E}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1F1-4CDA-886F-466A62F8B460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{07B7B4B7-3C88-48BE-8C5E-265A4420D8BD}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1F1-4CDA-886F-466A62F8B460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{16B16E97-538A-43AC-9E55-60AB3EE19B6C}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1F1-4CDA-886F-466A62F8B46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1F1-4CDA-886F-466A62F8B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463968"/>
        <c:axId val="510463608"/>
      </c:scatterChart>
      <c:catAx>
        <c:axId val="5104654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0464688"/>
        <c:crosses val="autoZero"/>
        <c:auto val="0"/>
        <c:lblAlgn val="ctr"/>
        <c:lblOffset val="100"/>
        <c:noMultiLvlLbl val="0"/>
      </c:catAx>
      <c:valAx>
        <c:axId val="510464688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0465408"/>
        <c:crosses val="autoZero"/>
        <c:crossBetween val="between"/>
      </c:valAx>
      <c:valAx>
        <c:axId val="510463608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0463968"/>
        <c:crosses val="max"/>
        <c:crossBetween val="midCat"/>
      </c:valAx>
      <c:valAx>
        <c:axId val="5104639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046360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42-48AA-94FD-6A9428047C02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42-48AA-94FD-6A9428047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0462888"/>
        <c:axId val="510461808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42-48AA-94FD-6A9428047C02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{76282F24-0E28-46B0-AAD1-2750F616CFBE}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642-48AA-94FD-6A9428047C02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{CAA15489-969C-45B6-95FC-FDAC9C116B6D}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642-48AA-94FD-6A9428047C02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{9B3390F7-C169-47C9-BD37-DD3216691361}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642-48AA-94FD-6A9428047C02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{7A99D8E1-29AA-4632-8EBA-2C9C68153D6D}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642-48AA-94FD-6A9428047C02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{22B208B2-B95A-4835-ADD3-F0D362C33AFB}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642-48AA-94FD-6A9428047C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42-48AA-94FD-6A9428047C02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{60E4298F-8E92-4687-9111-BD7CD86AD618}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642-48AA-94FD-6A9428047C02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{C9D752ED-DB97-4C73-97C0-4AFD27F02F42}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642-48AA-94FD-6A9428047C02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{BDF1EF30-87F6-429F-818C-E1FEFA3211FA}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642-48AA-94FD-6A9428047C02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{F4D19B4D-BE12-4662-B769-67209C65E981}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642-48AA-94FD-6A9428047C02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{4E00C9DD-E32D-4A06-B0D7-498573A95686}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642-48AA-94FD-6A9428047C02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{FC112C87-BC0F-4B0D-B2B9-39EF14DAACBF}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642-48AA-94FD-6A9428047C02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{68815BA9-926F-468F-B429-F4F8FBF230EE}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642-48AA-94FD-6A9428047C02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{A73EAC72-A3BE-45C0-9FC4-0FE809B1D014}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642-48AA-94FD-6A9428047C02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{322CF84D-0F05-4B73-A5BD-1D4C97124632}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642-48AA-94FD-6A9428047C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642-48AA-94FD-6A9428047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229592"/>
        <c:axId val="559224912"/>
      </c:scatterChart>
      <c:catAx>
        <c:axId val="51046288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0461808"/>
        <c:crosses val="autoZero"/>
        <c:auto val="0"/>
        <c:lblAlgn val="ctr"/>
        <c:lblOffset val="100"/>
        <c:noMultiLvlLbl val="0"/>
      </c:catAx>
      <c:valAx>
        <c:axId val="510461808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0462888"/>
        <c:crosses val="autoZero"/>
        <c:crossBetween val="between"/>
      </c:valAx>
      <c:valAx>
        <c:axId val="559224912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59229592"/>
        <c:crosses val="max"/>
        <c:crossBetween val="midCat"/>
      </c:valAx>
      <c:valAx>
        <c:axId val="5592295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224912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262-450D-BEAE-8DDCF2316708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262-450D-BEAE-8DDCF2316708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262-450D-BEAE-8DDCF2316708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262-450D-BEAE-8DDCF2316708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4262-450D-BEAE-8DDCF2316708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262-450D-BEAE-8DDCF2316708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262-450D-BEAE-8DDCF2316708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262-450D-BEAE-8DDCF2316708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262-450D-BEAE-8DDCF2316708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4262-450D-BEAE-8DDCF2316708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62-450D-BEAE-8DDCF2316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BECB-484F-ABDD-484065A3E4C0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BECB-484F-ABDD-484065A3E4C0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BECB-484F-ABDD-484065A3E4C0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BECB-484F-ABDD-484065A3E4C0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BECB-484F-ABDD-484065A3E4C0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BECB-484F-ABDD-484065A3E4C0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ECB-484F-ABDD-484065A3E4C0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BECB-484F-ABDD-484065A3E4C0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ECB-484F-ABDD-484065A3E4C0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BECB-484F-ABDD-484065A3E4C0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CB-484F-ABDD-484065A3E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EC-4862-83A0-6383BDCFE47E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EC-4862-83A0-6383BDCFE47E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EC-4862-83A0-6383BDCFE47E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EC-4862-83A0-6383BDCFE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0439848"/>
        <c:axId val="510440208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BEC-4862-83A0-6383BDCFE47E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{712F6804-395C-4D14-9E7B-7E417FF44C65}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BEC-4862-83A0-6383BDCFE47E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{5354716F-CFCE-4A2B-BD83-5C74B7AA985D}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BEC-4862-83A0-6383BDCFE47E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{3FC4E084-E3F1-48DA-915F-82ED25EF4081}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BEC-4862-83A0-6383BDCFE47E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{B3E8F16F-63B6-4227-932B-F5A550968900}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BEC-4862-83A0-6383BDCFE47E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{23084050-0922-49DB-BEAC-ABD8AFABA305}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BEC-4862-83A0-6383BDCFE47E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{C91B7B63-F9E7-44AE-B279-5E9E754A4B66}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BEC-4862-83A0-6383BDCFE47E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{0983ACBB-3703-4ACB-A85D-5AED86E698CA}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BEC-4862-83A0-6383BDCFE47E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{52A5EE89-2695-4502-873E-97C980B068D7}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BEC-4862-83A0-6383BDCFE47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BEC-4862-83A0-6383BDCFE47E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{C0E74232-2098-40F5-B61E-703BE94B1C5C}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BEC-4862-83A0-6383BDCFE47E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{3025D8A1-2C0D-4B22-81EC-11DBB426F562}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BEC-4862-83A0-6383BDCFE47E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{EA36F0FE-C233-4D95-B17B-518216A1BA30}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BEC-4862-83A0-6383BDCFE47E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{D8D6C345-393B-406B-852E-7CBA4D61AA92}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BEC-4862-83A0-6383BDCFE47E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{5CCF7A92-9B6D-4343-BE7A-2D0AD2167C11}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BEC-4862-83A0-6383BDCFE47E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{9DD01419-3226-49BB-A476-436255CF3788}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BEC-4862-83A0-6383BDCFE47E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{88B770D9-E12B-4931-AA0E-B783E7000792}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BEC-4862-83A0-6383BDCFE47E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{58FAD70F-22CC-411A-A983-70EBFA9293EF}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BEC-4862-83A0-6383BDCFE4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BEC-4862-83A0-6383BDCFE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458928"/>
        <c:axId val="510458208"/>
      </c:scatterChart>
      <c:catAx>
        <c:axId val="510439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10440208"/>
        <c:crosses val="autoZero"/>
        <c:auto val="0"/>
        <c:lblAlgn val="ctr"/>
        <c:lblOffset val="100"/>
        <c:noMultiLvlLbl val="0"/>
      </c:catAx>
      <c:valAx>
        <c:axId val="51044020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0439848"/>
        <c:crosses val="autoZero"/>
        <c:crossBetween val="between"/>
      </c:valAx>
      <c:valAx>
        <c:axId val="51045820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10458928"/>
        <c:crosses val="max"/>
        <c:crossBetween val="midCat"/>
      </c:valAx>
      <c:valAx>
        <c:axId val="5104589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045820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{445EAAF7-C769-4D93-9122-6E2B3A35545C}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432-4F8C-9726-0C1A764F609F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{994F6C8B-D340-41EA-BA11-CDC802C95B44}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432-4F8C-9726-0C1A764F609F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{C2FB4943-3B5F-47D0-BB44-CE79CFB88C69}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432-4F8C-9726-0C1A764F609F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{F580CE8D-CC7A-4D67-A541-F791AF8A5B30}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432-4F8C-9726-0C1A764F609F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{28B598EA-C5EE-4F6B-AE6D-E4ABFAD83EF1}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432-4F8C-9726-0C1A764F609F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{242833F9-7521-4549-B535-E0BD2EDA7CCC}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432-4F8C-9726-0C1A764F609F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{948A3D12-3612-494C-AF20-1EAEAF8DCA53}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432-4F8C-9726-0C1A764F609F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{98E78672-166F-4581-96C9-06C2FD15CA38}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432-4F8C-9726-0C1A764F609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0.312</c:v>
                </c:pt>
                <c:pt idx="1">
                  <c:v>0.33100000000000002</c:v>
                </c:pt>
                <c:pt idx="2">
                  <c:v>0.32</c:v>
                </c:pt>
                <c:pt idx="3">
                  <c:v>0.32600000000000001</c:v>
                </c:pt>
                <c:pt idx="4">
                  <c:v>0.33200000000000002</c:v>
                </c:pt>
                <c:pt idx="5">
                  <c:v>0.30099999999999999</c:v>
                </c:pt>
                <c:pt idx="6">
                  <c:v>0.31900000000000001</c:v>
                </c:pt>
                <c:pt idx="7">
                  <c:v>0.30599999999999999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32-4F8C-9726-0C1A764F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495920"/>
        <c:axId val="514493760"/>
      </c:scatterChart>
      <c:valAx>
        <c:axId val="514495920"/>
        <c:scaling>
          <c:orientation val="minMax"/>
          <c:max val="290"/>
          <c:min val="240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4493760"/>
        <c:crossesAt val="0.31837500000000002"/>
        <c:crossBetween val="midCat"/>
        <c:majorUnit val="10"/>
      </c:valAx>
      <c:valAx>
        <c:axId val="514493760"/>
        <c:scaling>
          <c:orientation val="minMax"/>
          <c:max val="0.33500000000000002"/>
          <c:min val="0.29499999999999998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14495920"/>
        <c:crossesAt val="265.5"/>
        <c:crossBetween val="midCat"/>
        <c:majorUnit val="5.0000000000000001E-3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{27E65D51-B8C9-4420-B347-A9533BDAF1A8}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36E-40B5-B2C5-281E02C0B50C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{452CF8AC-D9A3-4398-AAD3-BAD9346CFCA2}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36E-40B5-B2C5-281E02C0B50C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{C62A01F3-7FDF-4D80-9D8E-361E2440ED34}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36E-40B5-B2C5-281E02C0B50C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{93961DEF-222D-40EB-8B1D-D7799D8177BC}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36E-40B5-B2C5-281E02C0B50C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{C0CE8865-6599-4470-87D8-3774EE68599D}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36E-40B5-B2C5-281E02C0B50C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{7DF1B583-43EB-41A0-8E1B-B3DEAF726FF6}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36E-40B5-B2C5-281E02C0B50C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{0C0A644C-DE89-4553-8535-1BACDC912309}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36E-40B5-B2C5-281E02C0B50C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{38B18BB2-7327-4E3A-A335-B30E8201A7FE}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36E-40B5-B2C5-281E02C0B50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0.221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0.29099999999999998</c:v>
                </c:pt>
                <c:pt idx="6">
                  <c:v>#N/A</c:v>
                </c:pt>
                <c:pt idx="7">
                  <c:v>0.46100000000000002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236E-40B5-B2C5-281E02C0B50C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{2F442D97-7A8B-4F38-B68D-37EFADC5B736}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36E-40B5-B2C5-281E02C0B50C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{AAA553CE-BB1B-425A-8C83-87116E895901}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36E-40B5-B2C5-281E02C0B50C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{37F571AA-3D57-4DDA-806A-C9EE2C9C8F07}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36E-40B5-B2C5-281E02C0B50C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{BFFD11B3-68DA-4ED2-8549-79E7513D9A37}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36E-40B5-B2C5-281E02C0B50C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{F76A9EA5-A834-4409-A566-F55211B7B81C}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36E-40B5-B2C5-281E02C0B50C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{3CEE57AB-8E1B-4BFA-877F-6B6CB2CAD88A}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36E-40B5-B2C5-281E02C0B50C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{1C919C8E-BA38-42DF-B5C4-EC24C71B6C39}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36E-40B5-B2C5-281E02C0B50C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{1BF9AF26-F818-4419-885F-0EBF8B05A816}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36E-40B5-B2C5-281E02C0B50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0.33800000000000002</c:v>
                </c:pt>
                <c:pt idx="2">
                  <c:v>0.38100000000000001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236E-40B5-B2C5-281E02C0B50C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{8A000A7B-A1FF-4D88-9664-9867E52A48ED}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36E-40B5-B2C5-281E02C0B50C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{9D1EEB47-FEF8-45EA-814D-7CFC1BEC5EFF}</c15:txfldGUID>
                      <c15:f>_ThinQQ!$A$318</c15:f>
                      <c15:dlblFieldTableCache>
                        <c:ptCount val="1"/>
                        <c:pt idx="0">
                          <c:v>Pisos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36E-40B5-B2C5-281E02C0B50C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{5F718B0E-DEEE-4858-92AF-8F479AC6CE65}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36E-40B5-B2C5-281E02C0B50C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{344CE683-A079-47E5-BAA0-594E7F600E5C}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36E-40B5-B2C5-281E02C0B50C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{BA111726-5941-4E59-96DC-8829BCF1F29A}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36E-40B5-B2C5-281E02C0B50C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{AA4C4F48-4D19-46EC-A2E4-5A2B07AE565D}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36E-40B5-B2C5-281E02C0B50C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{FDFCDB1B-5AD4-42D2-B06A-DF6701220A5A}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36E-40B5-B2C5-281E02C0B50C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{2258DDA4-7F97-4201-B8BD-5900CAC9B1CB}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36E-40B5-B2C5-281E02C0B50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0.35799999999999998</c:v>
                </c:pt>
                <c:pt idx="4">
                  <c:v>0.4</c:v>
                </c:pt>
                <c:pt idx="5">
                  <c:v>#N/A</c:v>
                </c:pt>
                <c:pt idx="6">
                  <c:v>0.42899999999999999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236E-40B5-B2C5-281E02C0B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04941016"/>
        <c:axId val="504941736"/>
      </c:bubbleChart>
      <c:valAx>
        <c:axId val="504941016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04941736"/>
        <c:crosses val="autoZero"/>
        <c:crossBetween val="midCat"/>
      </c:valAx>
      <c:valAx>
        <c:axId val="504941736"/>
        <c:scaling>
          <c:orientation val="minMax"/>
          <c:max val="0.55000000000000004"/>
          <c:min val="0.15000000000000002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0.0%" sourceLinked="0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04941016"/>
        <c:crosses val="autoZero"/>
        <c:crossBetween val="midCat"/>
        <c:majorUnit val="0.0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41157137966449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E1-44B1-B53F-497209988749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E1-44B1-B53F-497209988749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E1-44B1-B53F-497209988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4894032"/>
        <c:axId val="56489655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{4217877C-C32F-446E-AEC2-E6B3109BF2B8}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4E1-44B1-B53F-497209988749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{2E00DB50-A704-43E0-A6D4-F3247754E65B}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4E1-44B1-B53F-497209988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E1-44B1-B53F-497209988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94032"/>
        <c:axId val="564896552"/>
      </c:lineChart>
      <c:catAx>
        <c:axId val="56489403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96552"/>
        <c:crosses val="autoZero"/>
        <c:auto val="0"/>
        <c:lblAlgn val="ctr"/>
        <c:lblOffset val="100"/>
        <c:noMultiLvlLbl val="0"/>
      </c:catAx>
      <c:valAx>
        <c:axId val="56489655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940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{A827EB17-C8FB-49D6-A6BD-FBC9A0A2EA8F}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8BF-4552-89DF-C274DF4E5A8E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{4D54139A-3E74-4E50-AD86-7C0A366C90AB}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8BF-4552-89DF-C274DF4E5A8E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{B98C8971-6B55-409F-A324-313AF84F7C47}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8BF-4552-89DF-C274DF4E5A8E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{84FCFA2E-91E0-43EF-BC4D-F6F34D7F0A64}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8BF-4552-89DF-C274DF4E5A8E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{F52A2F3B-24D7-4272-8E19-C251185C1028}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8BF-4552-89DF-C274DF4E5A8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BF-4552-89DF-C274DF4E5A8E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{27EE1C4E-EF9F-4A06-85A9-FA4FE4C73AEE}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8BF-4552-89DF-C274DF4E5A8E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{05F61922-70E8-41DE-B8CD-AA893E98672B}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8BF-4552-89DF-C274DF4E5A8E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{CA776FA7-8BC9-4E6E-A301-14FFC275F809}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8BF-4552-89DF-C274DF4E5A8E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{84E217FB-644E-4095-AB12-111129006FB8}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8BF-4552-89DF-C274DF4E5A8E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{9514EBD8-44AA-4349-98D7-545338762EEB}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8BF-4552-89DF-C274DF4E5A8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BF-4552-89DF-C274DF4E5A8E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{E1097341-E176-49C5-92DC-2FADA636E44C}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8BF-4552-89DF-C274DF4E5A8E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{BDF04A3D-9E7A-44ED-BAE9-3E0DDA3E3983}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8BF-4552-89DF-C274DF4E5A8E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{201930D8-23AB-4F6D-99D2-A3ABE3D76DBB}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8BF-4552-89DF-C274DF4E5A8E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{24BA03D2-04D9-4503-817E-9318613E05E9}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8BF-4552-89DF-C274DF4E5A8E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{6047F0B1-A209-469A-A8B1-B19A929CDD43}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8BF-4552-89DF-C274DF4E5A8E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8BF-4552-89DF-C274DF4E5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64914912"/>
        <c:axId val="56491527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{3561F3A0-55FE-4941-9CCD-8CA86FD8EAD2}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8BF-4552-89DF-C274DF4E5A8E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{00AF1C8E-AE56-40BB-817B-16AAAC9A21A5}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8BF-4552-89DF-C274DF4E5A8E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{044DB159-ECF5-4067-8117-3990061722E0}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8BF-4552-89DF-C274DF4E5A8E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{0A318560-3B0F-4697-9BBA-92240091E7A1}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8BF-4552-89DF-C274DF4E5A8E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{8C75D4A3-9D5B-4B83-9B49-FCA32E48AE6C}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8BF-4552-89DF-C274DF4E5A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8BF-4552-89DF-C274DF4E5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914912"/>
        <c:axId val="564915272"/>
      </c:lineChart>
      <c:catAx>
        <c:axId val="56491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915272"/>
        <c:crosses val="autoZero"/>
        <c:auto val="0"/>
        <c:lblAlgn val="ctr"/>
        <c:lblOffset val="100"/>
        <c:noMultiLvlLbl val="0"/>
      </c:catAx>
      <c:valAx>
        <c:axId val="56491527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9149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D8-46C4-A5C7-07E1D63A2E7C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ED8-46C4-A5C7-07E1D63A2E7C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D8-46C4-A5C7-07E1D63A2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602567016"/>
        <c:axId val="602563776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{EA23382A-7B7C-4FB5-BC5E-8BC34D0917C3}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ED8-46C4-A5C7-07E1D63A2E7C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{7ACF999F-533F-4BD9-9166-2FEEDE03FD15}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ED8-46C4-A5C7-07E1D63A2E7C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{E0C730C7-3C3B-416B-A20F-5027A92E604D}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ED8-46C4-A5C7-07E1D63A2E7C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{E78A5A6E-5288-4ABB-9B9B-5257F437C029}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ED8-46C4-A5C7-07E1D63A2E7C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{53FB57C4-A663-47FF-8128-7F9DEA2D3C91}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ED8-46C4-A5C7-07E1D63A2E7C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{9BD490C5-0DFE-4352-BED5-3054510DEE1A}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ED8-46C4-A5C7-07E1D63A2E7C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{6B52EEBB-F51B-41F3-A5B8-239792C49B14}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ED8-46C4-A5C7-07E1D63A2E7C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{0A608822-A0AE-414E-920D-274BE3E8AB49}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ED8-46C4-A5C7-07E1D63A2E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D8-46C4-A5C7-07E1D63A2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567016"/>
        <c:axId val="602563776"/>
      </c:lineChart>
      <c:catAx>
        <c:axId val="602567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02563776"/>
        <c:crosses val="autoZero"/>
        <c:auto val="0"/>
        <c:lblAlgn val="ctr"/>
        <c:lblOffset val="100"/>
        <c:noMultiLvlLbl val="0"/>
      </c:catAx>
      <c:valAx>
        <c:axId val="602563776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025670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3F-4C23-B377-B777D34811C3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3F-4C23-B377-B777D3481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02582136"/>
        <c:axId val="602582496"/>
      </c:barChart>
      <c:catAx>
        <c:axId val="6025821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02582496"/>
        <c:crosses val="autoZero"/>
        <c:auto val="0"/>
        <c:lblAlgn val="ctr"/>
        <c:lblOffset val="100"/>
        <c:noMultiLvlLbl val="0"/>
      </c:catAx>
      <c:valAx>
        <c:axId val="602582496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0258213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C-4ADA-924C-DB12A7EFC267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C-4ADA-924C-DB12A7EFC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02601216"/>
        <c:axId val="602599776"/>
      </c:barChart>
      <c:catAx>
        <c:axId val="60260121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602599776"/>
        <c:crosses val="autoZero"/>
        <c:auto val="0"/>
        <c:lblAlgn val="ctr"/>
        <c:lblOffset val="100"/>
        <c:noMultiLvlLbl val="0"/>
      </c:catAx>
      <c:valAx>
        <c:axId val="602599776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6026012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EB-40F1-9A6B-C5669E91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916712"/>
        <c:axId val="564918872"/>
      </c:lineChart>
      <c:catAx>
        <c:axId val="5649167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918872"/>
        <c:crosses val="autoZero"/>
        <c:auto val="0"/>
        <c:lblAlgn val="ctr"/>
        <c:lblOffset val="100"/>
        <c:noMultiLvlLbl val="0"/>
      </c:catAx>
      <c:valAx>
        <c:axId val="5649188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91671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_ThinQQ!$AE$377:$AE$396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37.299999999999997</c:v>
                </c:pt>
                <c:pt idx="4">
                  <c:v>41.399999999999991</c:v>
                </c:pt>
                <c:pt idx="5">
                  <c:v>0</c:v>
                </c:pt>
                <c:pt idx="6">
                  <c:v>12.699999999999996</c:v>
                </c:pt>
                <c:pt idx="7">
                  <c:v>14.199999999999992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9.7999999999999954</c:v>
                </c:pt>
                <c:pt idx="13">
                  <c:v>10.999999999999993</c:v>
                </c:pt>
                <c:pt idx="14">
                  <c:v>0</c:v>
                </c:pt>
                <c:pt idx="15">
                  <c:v>6.4999999999999956</c:v>
                </c:pt>
                <c:pt idx="16">
                  <c:v>7.2999999999999927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75-4CD3-939C-0265EE56428A}"/>
            </c:ext>
          </c:extLst>
        </c:ser>
        <c:ser>
          <c:idx val="1"/>
          <c:order val="1"/>
          <c:tx>
            <c:strRef>
              <c:f>'E27'!$B$6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_ThinQQ!$AF$377:$AF$396</c:f>
              <c:numCache>
                <c:formatCode>General</c:formatCode>
                <c:ptCount val="20"/>
                <c:pt idx="0">
                  <c:v>117.2</c:v>
                </c:pt>
                <c:pt idx="1">
                  <c:v>0</c:v>
                </c:pt>
                <c:pt idx="2">
                  <c:v>0</c:v>
                </c:pt>
                <c:pt idx="3">
                  <c:v>79.900000000000006</c:v>
                </c:pt>
                <c:pt idx="4">
                  <c:v>0</c:v>
                </c:pt>
                <c:pt idx="5">
                  <c:v>0</c:v>
                </c:pt>
                <c:pt idx="6">
                  <c:v>24.6</c:v>
                </c:pt>
                <c:pt idx="7">
                  <c:v>0</c:v>
                </c:pt>
                <c:pt idx="8">
                  <c:v>0</c:v>
                </c:pt>
                <c:pt idx="9">
                  <c:v>12.699999999999996</c:v>
                </c:pt>
                <c:pt idx="10">
                  <c:v>0</c:v>
                </c:pt>
                <c:pt idx="11">
                  <c:v>0</c:v>
                </c:pt>
                <c:pt idx="12">
                  <c:v>2.9000000000000004</c:v>
                </c:pt>
                <c:pt idx="13">
                  <c:v>0</c:v>
                </c:pt>
                <c:pt idx="14">
                  <c:v>0</c:v>
                </c:pt>
                <c:pt idx="15">
                  <c:v>3.3</c:v>
                </c:pt>
                <c:pt idx="16">
                  <c:v>0</c:v>
                </c:pt>
                <c:pt idx="17">
                  <c:v>0</c:v>
                </c:pt>
                <c:pt idx="18">
                  <c:v>6.4999999999999956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75-4CD3-939C-0265EE56428A}"/>
            </c:ext>
          </c:extLst>
        </c:ser>
        <c:ser>
          <c:idx val="2"/>
          <c:order val="2"/>
          <c:tx>
            <c:v>tqq_aneg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_ThinQQ!$AG$377:$AG$396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75-4CD3-939C-0265EE56428A}"/>
            </c:ext>
          </c:extLst>
        </c:ser>
        <c:ser>
          <c:idx val="3"/>
          <c:order val="3"/>
          <c:tx>
            <c:strRef>
              <c:f>'E27'!$C$6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_ThinQQ!$AH$377:$AH$396</c:f>
              <c:numCache>
                <c:formatCode>General</c:formatCode>
                <c:ptCount val="20"/>
                <c:pt idx="0">
                  <c:v>0</c:v>
                </c:pt>
                <c:pt idx="1">
                  <c:v>129.69999999999999</c:v>
                </c:pt>
                <c:pt idx="2">
                  <c:v>0</c:v>
                </c:pt>
                <c:pt idx="3">
                  <c:v>0</c:v>
                </c:pt>
                <c:pt idx="4">
                  <c:v>88.3</c:v>
                </c:pt>
                <c:pt idx="5">
                  <c:v>0</c:v>
                </c:pt>
                <c:pt idx="6">
                  <c:v>0</c:v>
                </c:pt>
                <c:pt idx="7">
                  <c:v>27.2</c:v>
                </c:pt>
                <c:pt idx="8">
                  <c:v>0</c:v>
                </c:pt>
                <c:pt idx="9">
                  <c:v>0</c:v>
                </c:pt>
                <c:pt idx="10">
                  <c:v>14.199999999999992</c:v>
                </c:pt>
                <c:pt idx="11">
                  <c:v>0</c:v>
                </c:pt>
                <c:pt idx="12">
                  <c:v>0</c:v>
                </c:pt>
                <c:pt idx="13">
                  <c:v>3.1999999999999993</c:v>
                </c:pt>
                <c:pt idx="14">
                  <c:v>0</c:v>
                </c:pt>
                <c:pt idx="15">
                  <c:v>0</c:v>
                </c:pt>
                <c:pt idx="16">
                  <c:v>3.7</c:v>
                </c:pt>
                <c:pt idx="17">
                  <c:v>0</c:v>
                </c:pt>
                <c:pt idx="18">
                  <c:v>0</c:v>
                </c:pt>
                <c:pt idx="19">
                  <c:v>7.2999999999999927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75-4CD3-939C-0265EE56428A}"/>
            </c:ext>
          </c:extLst>
        </c:ser>
        <c:ser>
          <c:idx val="4"/>
          <c:order val="4"/>
          <c:tx>
            <c:v>tqq_bneg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_ThinQQ!$AC$377:$AD$396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_ThinQQ!$AI$377:$AI$396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75-4CD3-939C-0265EE564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564897632"/>
        <c:axId val="564897992"/>
      </c:barChart>
      <c:lineChart>
        <c:grouping val="standard"/>
        <c:varyColors val="0"/>
        <c:ser>
          <c:idx val="7"/>
          <c:order val="7"/>
          <c:tx>
            <c:v>tqq_lbl_a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_ThinQQ!$AK$377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{B7DC8AD1-156C-4B5C-B640-979C3A3C38DC}</c15:txfldGUID>
                      <c15:f>_ThinQQ!$AK$377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275-4CD3-939C-0265EE56428A}"/>
                </c:ext>
              </c:extLst>
            </c:dLbl>
            <c:dLbl>
              <c:idx val="1"/>
              <c:tx>
                <c:strRef>
                  <c:f>_ThinQQ!$AK$378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{68AD8F07-BCCC-464D-BD5A-683324C1BB97}</c15:txfldGUID>
                      <c15:f>_ThinQQ!$AK$378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275-4CD3-939C-0265EE56428A}"/>
                </c:ext>
              </c:extLst>
            </c:dLbl>
            <c:dLbl>
              <c:idx val="2"/>
              <c:tx>
                <c:strRef>
                  <c:f>_ThinQQ!$AK$379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{F4D62057-E926-425F-8328-ADE0D7DA8FA7}</c15:txfldGUID>
                      <c15:f>_ThinQQ!$AK$379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275-4CD3-939C-0265EE56428A}"/>
                </c:ext>
              </c:extLst>
            </c:dLbl>
            <c:dLbl>
              <c:idx val="3"/>
              <c:tx>
                <c:strRef>
                  <c:f>_ThinQQ!$AK$380</c:f>
                  <c:strCache>
                    <c:ptCount val="1"/>
                    <c:pt idx="0">
                      <c:v>-79,9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{C53F8D1C-B5D3-484B-8F67-82271C4183F6}</c15:txfldGUID>
                      <c15:f>_ThinQQ!$AK$380</c15:f>
                      <c15:dlblFieldTableCache>
                        <c:ptCount val="1"/>
                        <c:pt idx="0">
                          <c:v>-79,9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275-4CD3-939C-0265EE56428A}"/>
                </c:ext>
              </c:extLst>
            </c:dLbl>
            <c:dLbl>
              <c:idx val="4"/>
              <c:tx>
                <c:strRef>
                  <c:f>_ThinQQ!$AK$381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{7A87A16A-D763-4CC2-924E-23E9E9A0656E}</c15:txfldGUID>
                      <c15:f>_ThinQQ!$AK$381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275-4CD3-939C-0265EE56428A}"/>
                </c:ext>
              </c:extLst>
            </c:dLbl>
            <c:dLbl>
              <c:idx val="5"/>
              <c:tx>
                <c:strRef>
                  <c:f>_ThinQQ!$AK$382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{CD018749-C7CC-4C70-990B-375782499C7C}</c15:txfldGUID>
                      <c15:f>_ThinQQ!$AK$382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275-4CD3-939C-0265EE56428A}"/>
                </c:ext>
              </c:extLst>
            </c:dLbl>
            <c:dLbl>
              <c:idx val="6"/>
              <c:tx>
                <c:strRef>
                  <c:f>_ThinQQ!$AK$383</c:f>
                  <c:strCache>
                    <c:ptCount val="1"/>
                    <c:pt idx="0">
                      <c:v>-24,6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{FA0A5A00-598E-47BE-B7B6-E18651C278F9}</c15:txfldGUID>
                      <c15:f>_ThinQQ!$AK$383</c15:f>
                      <c15:dlblFieldTableCache>
                        <c:ptCount val="1"/>
                        <c:pt idx="0">
                          <c:v>-24,6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275-4CD3-939C-0265EE56428A}"/>
                </c:ext>
              </c:extLst>
            </c:dLbl>
            <c:dLbl>
              <c:idx val="7"/>
              <c:tx>
                <c:strRef>
                  <c:f>_ThinQQ!$AK$384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{63520779-5D0A-469F-88A3-38B4908EE83E}</c15:txfldGUID>
                      <c15:f>_ThinQQ!$AK$384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275-4CD3-939C-0265EE56428A}"/>
                </c:ext>
              </c:extLst>
            </c:dLbl>
            <c:dLbl>
              <c:idx val="8"/>
              <c:tx>
                <c:strRef>
                  <c:f>_ThinQQ!$AK$385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{4D44FE76-40F8-449B-B71D-A1C70BADE06D}</c15:txfldGUID>
                      <c15:f>_ThinQQ!$AK$385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275-4CD3-939C-0265EE56428A}"/>
                </c:ext>
              </c:extLst>
            </c:dLbl>
            <c:dLbl>
              <c:idx val="9"/>
              <c:tx>
                <c:strRef>
                  <c:f>_ThinQQ!$AK$386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{997DB95C-EF91-4F87-809C-B5FAE4A1E4BA}</c15:txfldGUID>
                      <c15:f>_ThinQQ!$AK$386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275-4CD3-939C-0265EE56428A}"/>
                </c:ext>
              </c:extLst>
            </c:dLbl>
            <c:dLbl>
              <c:idx val="10"/>
              <c:tx>
                <c:strRef>
                  <c:f>_ThinQQ!$AK$387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{B66E75C2-9481-45BB-BB2A-3B26EFD9AA40}</c15:txfldGUID>
                      <c15:f>_ThinQQ!$AK$387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275-4CD3-939C-0265EE56428A}"/>
                </c:ext>
              </c:extLst>
            </c:dLbl>
            <c:dLbl>
              <c:idx val="11"/>
              <c:tx>
                <c:strRef>
                  <c:f>_ThinQQ!$AK$388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{CAA7DBB5-9ACB-4AE0-90F6-0C411E0649D3}</c15:txfldGUID>
                      <c15:f>_ThinQQ!$AK$388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275-4CD3-939C-0265EE56428A}"/>
                </c:ext>
              </c:extLst>
            </c:dLbl>
            <c:dLbl>
              <c:idx val="12"/>
              <c:tx>
                <c:strRef>
                  <c:f>_ThinQQ!$AK$389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{689A2865-1691-4F4E-8DC6-2F1A08F8D586}</c15:txfldGUID>
                      <c15:f>_ThinQQ!$AK$389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275-4CD3-939C-0265EE56428A}"/>
                </c:ext>
              </c:extLst>
            </c:dLbl>
            <c:dLbl>
              <c:idx val="13"/>
              <c:tx>
                <c:strRef>
                  <c:f>_ThinQQ!$AK$390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{8BCB7393-9480-449A-AC99-DC8289EB711A}</c15:txfldGUID>
                      <c15:f>_ThinQQ!$AK$390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275-4CD3-939C-0265EE56428A}"/>
                </c:ext>
              </c:extLst>
            </c:dLbl>
            <c:dLbl>
              <c:idx val="14"/>
              <c:tx>
                <c:strRef>
                  <c:f>_ThinQQ!$AK$391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{DEB9C74C-1D18-4510-B998-44B9A836C3FE}</c15:txfldGUID>
                      <c15:f>_ThinQQ!$AK$391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275-4CD3-939C-0265EE56428A}"/>
                </c:ext>
              </c:extLst>
            </c:dLbl>
            <c:dLbl>
              <c:idx val="15"/>
              <c:tx>
                <c:strRef>
                  <c:f>_ThinQQ!$AK$392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{0B745096-597D-4D14-8FB1-2DBBFD1F6FE8}</c15:txfldGUID>
                      <c15:f>_ThinQQ!$AK$392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275-4CD3-939C-0265EE56428A}"/>
                </c:ext>
              </c:extLst>
            </c:dLbl>
            <c:dLbl>
              <c:idx val="16"/>
              <c:tx>
                <c:strRef>
                  <c:f>_ThinQQ!$AK$393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{11B1269A-6081-4923-B088-EA9DAF6CF9A7}</c15:txfldGUID>
                      <c15:f>_ThinQQ!$AK$393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275-4CD3-939C-0265EE56428A}"/>
                </c:ext>
              </c:extLst>
            </c:dLbl>
            <c:dLbl>
              <c:idx val="17"/>
              <c:tx>
                <c:strRef>
                  <c:f>_ThinQQ!$AK$394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{09AC1062-29FB-483E-933E-6BA6B6AB0B17}</c15:txfldGUID>
                      <c15:f>_ThinQQ!$AK$394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275-4CD3-939C-0265EE56428A}"/>
                </c:ext>
              </c:extLst>
            </c:dLbl>
            <c:dLbl>
              <c:idx val="18"/>
              <c:tx>
                <c:strRef>
                  <c:f>_ThinQQ!$AK$395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{36104E65-E8DF-431D-A35A-DA96EE25AFB9}</c15:txfldGUID>
                      <c15:f>_ThinQQ!$AK$395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275-4CD3-939C-0265EE56428A}"/>
                </c:ext>
              </c:extLst>
            </c:dLbl>
            <c:dLbl>
              <c:idx val="19"/>
              <c:tx>
                <c:strRef>
                  <c:f>_ThinQQ!$AK$396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{20A5EA7C-4BA1-4306-AD62-1510B3472680}</c15:txfldGUID>
                      <c15:f>_ThinQQ!$AK$396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275-4CD3-939C-0265EE56428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_ThinQQ!$AJ$377:$AJ$396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77.25</c:v>
                </c:pt>
                <c:pt idx="4">
                  <c:v>#N/A</c:v>
                </c:pt>
                <c:pt idx="5">
                  <c:v>#N/A</c:v>
                </c:pt>
                <c:pt idx="6">
                  <c:v>24.999999999999996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11.249999999999996</c:v>
                </c:pt>
                <c:pt idx="13">
                  <c:v>#N/A</c:v>
                </c:pt>
                <c:pt idx="14">
                  <c:v>#N/A</c:v>
                </c:pt>
                <c:pt idx="15">
                  <c:v>8.149999999999995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275-4CD3-939C-0265EE56428A}"/>
            </c:ext>
          </c:extLst>
        </c:ser>
        <c:ser>
          <c:idx val="8"/>
          <c:order val="8"/>
          <c:tx>
            <c:v>tqq_lbl_b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_ThinQQ!$AM$377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{E380479D-FC53-40FD-B075-8A466C7898DF}</c15:txfldGUID>
                      <c15:f>_ThinQQ!$AM$377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275-4CD3-939C-0265EE56428A}"/>
                </c:ext>
              </c:extLst>
            </c:dLbl>
            <c:dLbl>
              <c:idx val="1"/>
              <c:tx>
                <c:strRef>
                  <c:f>_ThinQQ!$AM$378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{A5C46A61-C654-42F3-AC62-0AD967883687}</c15:txfldGUID>
                      <c15:f>_ThinQQ!$AM$378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275-4CD3-939C-0265EE56428A}"/>
                </c:ext>
              </c:extLst>
            </c:dLbl>
            <c:dLbl>
              <c:idx val="2"/>
              <c:tx>
                <c:strRef>
                  <c:f>_ThinQQ!$AM$379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{8504CBFE-3CD1-4632-8011-A8FE9C18E848}</c15:txfldGUID>
                      <c15:f>_ThinQQ!$AM$379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275-4CD3-939C-0265EE56428A}"/>
                </c:ext>
              </c:extLst>
            </c:dLbl>
            <c:dLbl>
              <c:idx val="3"/>
              <c:tx>
                <c:strRef>
                  <c:f>_ThinQQ!$AM$380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{8868BE5F-8DD9-49F3-930C-9545383E167D}</c15:txfldGUID>
                      <c15:f>_ThinQQ!$AM$380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275-4CD3-939C-0265EE56428A}"/>
                </c:ext>
              </c:extLst>
            </c:dLbl>
            <c:dLbl>
              <c:idx val="4"/>
              <c:tx>
                <c:strRef>
                  <c:f>_ThinQQ!$AM$381</c:f>
                  <c:strCache>
                    <c:ptCount val="1"/>
                    <c:pt idx="0">
                      <c:v>-88,3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{F26016ED-6E07-45BB-B758-93AB4BD6DC76}</c15:txfldGUID>
                      <c15:f>_ThinQQ!$AM$381</c15:f>
                      <c15:dlblFieldTableCache>
                        <c:ptCount val="1"/>
                        <c:pt idx="0">
                          <c:v>-88,3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C275-4CD3-939C-0265EE56428A}"/>
                </c:ext>
              </c:extLst>
            </c:dLbl>
            <c:dLbl>
              <c:idx val="5"/>
              <c:tx>
                <c:strRef>
                  <c:f>_ThinQQ!$AM$382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{7BC46C9F-B706-4830-A0A7-5ED571815FF4}</c15:txfldGUID>
                      <c15:f>_ThinQQ!$AM$382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C275-4CD3-939C-0265EE56428A}"/>
                </c:ext>
              </c:extLst>
            </c:dLbl>
            <c:dLbl>
              <c:idx val="6"/>
              <c:tx>
                <c:strRef>
                  <c:f>_ThinQQ!$AM$383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{4AB1B326-731E-4D10-9640-8C0FD62DB054}</c15:txfldGUID>
                      <c15:f>_ThinQQ!$AM$383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C275-4CD3-939C-0265EE56428A}"/>
                </c:ext>
              </c:extLst>
            </c:dLbl>
            <c:dLbl>
              <c:idx val="7"/>
              <c:tx>
                <c:strRef>
                  <c:f>_ThinQQ!$AM$384</c:f>
                  <c:strCache>
                    <c:ptCount val="1"/>
                    <c:pt idx="0">
                      <c:v>-27,2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{5C287D32-C441-4EAA-A0FC-B2B8BE1AEB0E}</c15:txfldGUID>
                      <c15:f>_ThinQQ!$AM$384</c15:f>
                      <c15:dlblFieldTableCache>
                        <c:ptCount val="1"/>
                        <c:pt idx="0">
                          <c:v>-27,2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C275-4CD3-939C-0265EE56428A}"/>
                </c:ext>
              </c:extLst>
            </c:dLbl>
            <c:dLbl>
              <c:idx val="8"/>
              <c:tx>
                <c:strRef>
                  <c:f>_ThinQQ!$AM$385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{FB1AB65B-CC2B-446A-9AD0-82566CB880C4}</c15:txfldGUID>
                      <c15:f>_ThinQQ!$AM$385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C275-4CD3-939C-0265EE56428A}"/>
                </c:ext>
              </c:extLst>
            </c:dLbl>
            <c:dLbl>
              <c:idx val="9"/>
              <c:tx>
                <c:strRef>
                  <c:f>_ThinQQ!$AM$386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{4C9B13FF-6BCD-48E1-9414-3FF8B1E604EB}</c15:txfldGUID>
                      <c15:f>_ThinQQ!$AM$386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C275-4CD3-939C-0265EE56428A}"/>
                </c:ext>
              </c:extLst>
            </c:dLbl>
            <c:dLbl>
              <c:idx val="10"/>
              <c:tx>
                <c:strRef>
                  <c:f>_ThinQQ!$AM$387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{822A093C-42AC-45EB-B014-6A41F06CEB99}</c15:txfldGUID>
                      <c15:f>_ThinQQ!$AM$387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C275-4CD3-939C-0265EE56428A}"/>
                </c:ext>
              </c:extLst>
            </c:dLbl>
            <c:dLbl>
              <c:idx val="11"/>
              <c:tx>
                <c:strRef>
                  <c:f>_ThinQQ!$AM$388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{83436FCC-0461-4C96-ABF3-40FA852F7000}</c15:txfldGUID>
                      <c15:f>_ThinQQ!$AM$388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C275-4CD3-939C-0265EE56428A}"/>
                </c:ext>
              </c:extLst>
            </c:dLbl>
            <c:dLbl>
              <c:idx val="12"/>
              <c:tx>
                <c:strRef>
                  <c:f>_ThinQQ!$AM$389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{7AC4122B-0ED8-4A91-B209-5F53560F412E}</c15:txfldGUID>
                      <c15:f>_ThinQQ!$AM$389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C275-4CD3-939C-0265EE56428A}"/>
                </c:ext>
              </c:extLst>
            </c:dLbl>
            <c:dLbl>
              <c:idx val="13"/>
              <c:tx>
                <c:strRef>
                  <c:f>_ThinQQ!$AM$390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{952C14BC-7D99-4FA3-96E2-3A6011862025}</c15:txfldGUID>
                      <c15:f>_ThinQQ!$AM$390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C275-4CD3-939C-0265EE56428A}"/>
                </c:ext>
              </c:extLst>
            </c:dLbl>
            <c:dLbl>
              <c:idx val="14"/>
              <c:tx>
                <c:strRef>
                  <c:f>_ThinQQ!$AM$391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{FD96B64B-94CC-4449-8768-0C1C30708596}</c15:txfldGUID>
                      <c15:f>_ThinQQ!$AM$391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C275-4CD3-939C-0265EE56428A}"/>
                </c:ext>
              </c:extLst>
            </c:dLbl>
            <c:dLbl>
              <c:idx val="15"/>
              <c:tx>
                <c:strRef>
                  <c:f>_ThinQQ!$AM$392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{104943DE-DD6A-4AE3-BB53-933252885545}</c15:txfldGUID>
                      <c15:f>_ThinQQ!$AM$392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C275-4CD3-939C-0265EE56428A}"/>
                </c:ext>
              </c:extLst>
            </c:dLbl>
            <c:dLbl>
              <c:idx val="16"/>
              <c:tx>
                <c:strRef>
                  <c:f>_ThinQQ!$AM$393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{B5AF94CC-2664-4A59-83F1-D47BE3808BB1}</c15:txfldGUID>
                      <c15:f>_ThinQQ!$AM$393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C275-4CD3-939C-0265EE56428A}"/>
                </c:ext>
              </c:extLst>
            </c:dLbl>
            <c:dLbl>
              <c:idx val="17"/>
              <c:tx>
                <c:strRef>
                  <c:f>_ThinQQ!$AM$394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{7165AAC4-560D-4BC0-BDF6-ED27B5849796}</c15:txfldGUID>
                      <c15:f>_ThinQQ!$AM$394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C275-4CD3-939C-0265EE56428A}"/>
                </c:ext>
              </c:extLst>
            </c:dLbl>
            <c:dLbl>
              <c:idx val="18"/>
              <c:tx>
                <c:strRef>
                  <c:f>_ThinQQ!$AM$395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{561B397F-23F1-43C8-879E-C9833BA12E3E}</c15:txfldGUID>
                      <c15:f>_ThinQQ!$AM$395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C275-4CD3-939C-0265EE56428A}"/>
                </c:ext>
              </c:extLst>
            </c:dLbl>
            <c:dLbl>
              <c:idx val="19"/>
              <c:tx>
                <c:strRef>
                  <c:f>_ThinQQ!$AM$396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{3E2DF9AC-B30A-4B13-8399-2EDE78E97354}</c15:txfldGUID>
                      <c15:f>_ThinQQ!$AM$396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C275-4CD3-939C-0265EE56428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_ThinQQ!$AL$377:$AL$396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85.549999999999983</c:v>
                </c:pt>
                <c:pt idx="5">
                  <c:v>#N/A</c:v>
                </c:pt>
                <c:pt idx="6">
                  <c:v>#N/A</c:v>
                </c:pt>
                <c:pt idx="7">
                  <c:v>27.79999999999999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12.599999999999993</c:v>
                </c:pt>
                <c:pt idx="14">
                  <c:v>#N/A</c:v>
                </c:pt>
                <c:pt idx="15">
                  <c:v>#N/A</c:v>
                </c:pt>
                <c:pt idx="16">
                  <c:v>9.1499999999999932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C275-4CD3-939C-0265EE56428A}"/>
            </c:ext>
          </c:extLst>
        </c:ser>
        <c:ser>
          <c:idx val="9"/>
          <c:order val="9"/>
          <c:tx>
            <c:v>tqq_lbltot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_ThinQQ!$AO$377</c:f>
                  <c:strCache>
                    <c:ptCount val="1"/>
                    <c:pt idx="0">
                      <c:v>117,2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{603A68CB-6A0A-44D6-8A2C-978808E462F2}</c15:txfldGUID>
                      <c15:f>_ThinQQ!$AO$377</c15:f>
                      <c15:dlblFieldTableCache>
                        <c:ptCount val="1"/>
                        <c:pt idx="0">
                          <c:v>117,2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C275-4CD3-939C-0265EE56428A}"/>
                </c:ext>
              </c:extLst>
            </c:dLbl>
            <c:dLbl>
              <c:idx val="1"/>
              <c:tx>
                <c:strRef>
                  <c:f>_ThinQQ!$AO$378</c:f>
                  <c:strCache>
                    <c:ptCount val="1"/>
                    <c:pt idx="0">
                      <c:v>129,7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{3946120C-B950-467D-BC47-440D696EC68F}</c15:txfldGUID>
                      <c15:f>_ThinQQ!$AO$378</c15:f>
                      <c15:dlblFieldTableCache>
                        <c:ptCount val="1"/>
                        <c:pt idx="0">
                          <c:v>129,7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C275-4CD3-939C-0265EE56428A}"/>
                </c:ext>
              </c:extLst>
            </c:dLbl>
            <c:dLbl>
              <c:idx val="2"/>
              <c:tx>
                <c:strRef>
                  <c:f>_ThinQQ!$AO$379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{5AF81479-94E4-4641-B0B4-8C0AC2DAD8BF}</c15:txfldGUID>
                      <c15:f>_ThinQQ!$AO$379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C275-4CD3-939C-0265EE56428A}"/>
                </c:ext>
              </c:extLst>
            </c:dLbl>
            <c:dLbl>
              <c:idx val="3"/>
              <c:tx>
                <c:strRef>
                  <c:f>_ThinQQ!$AO$380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{DFC7606F-34E3-4664-8E8A-E00225F24612}</c15:txfldGUID>
                      <c15:f>_ThinQQ!$AO$380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C275-4CD3-939C-0265EE56428A}"/>
                </c:ext>
              </c:extLst>
            </c:dLbl>
            <c:dLbl>
              <c:idx val="4"/>
              <c:tx>
                <c:strRef>
                  <c:f>_ThinQQ!$AO$381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{B8CA2778-2EFD-469A-A922-0B6581DC7B57}</c15:txfldGUID>
                      <c15:f>_ThinQQ!$AO$381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C275-4CD3-939C-0265EE56428A}"/>
                </c:ext>
              </c:extLst>
            </c:dLbl>
            <c:dLbl>
              <c:idx val="5"/>
              <c:tx>
                <c:strRef>
                  <c:f>_ThinQQ!$AO$382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{DCE3D097-0E3D-48F7-B892-B135C9909286}</c15:txfldGUID>
                      <c15:f>_ThinQQ!$AO$382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C275-4CD3-939C-0265EE56428A}"/>
                </c:ext>
              </c:extLst>
            </c:dLbl>
            <c:dLbl>
              <c:idx val="6"/>
              <c:tx>
                <c:strRef>
                  <c:f>_ThinQQ!$AO$383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{BF7BFA53-0B29-44FC-A732-5FB4B501A13E}</c15:txfldGUID>
                      <c15:f>_ThinQQ!$AO$383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C275-4CD3-939C-0265EE56428A}"/>
                </c:ext>
              </c:extLst>
            </c:dLbl>
            <c:dLbl>
              <c:idx val="7"/>
              <c:tx>
                <c:strRef>
                  <c:f>_ThinQQ!$AO$384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{A9446FAA-AAB7-43C8-811E-4581512C33A4}</c15:txfldGUID>
                      <c15:f>_ThinQQ!$AO$384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C275-4CD3-939C-0265EE56428A}"/>
                </c:ext>
              </c:extLst>
            </c:dLbl>
            <c:dLbl>
              <c:idx val="8"/>
              <c:tx>
                <c:strRef>
                  <c:f>_ThinQQ!$AO$385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{94334159-3ADC-45F5-A1B0-B8CC59454A6A}</c15:txfldGUID>
                      <c15:f>_ThinQQ!$AO$385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C275-4CD3-939C-0265EE56428A}"/>
                </c:ext>
              </c:extLst>
            </c:dLbl>
            <c:dLbl>
              <c:idx val="9"/>
              <c:tx>
                <c:strRef>
                  <c:f>_ThinQQ!$AO$386</c:f>
                  <c:strCache>
                    <c:ptCount val="1"/>
                    <c:pt idx="0">
                      <c:v>12,7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{8AC69F95-0623-406B-B047-1EB4744229C6}</c15:txfldGUID>
                      <c15:f>_ThinQQ!$AO$386</c15:f>
                      <c15:dlblFieldTableCache>
                        <c:ptCount val="1"/>
                        <c:pt idx="0">
                          <c:v>12,7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C275-4CD3-939C-0265EE56428A}"/>
                </c:ext>
              </c:extLst>
            </c:dLbl>
            <c:dLbl>
              <c:idx val="10"/>
              <c:tx>
                <c:strRef>
                  <c:f>_ThinQQ!$AO$387</c:f>
                  <c:strCache>
                    <c:ptCount val="1"/>
                    <c:pt idx="0">
                      <c:v>14,2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{DB354251-CB0E-4E62-8358-7672DCBFBE1F}</c15:txfldGUID>
                      <c15:f>_ThinQQ!$AO$387</c15:f>
                      <c15:dlblFieldTableCache>
                        <c:ptCount val="1"/>
                        <c:pt idx="0">
                          <c:v>14,2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C275-4CD3-939C-0265EE56428A}"/>
                </c:ext>
              </c:extLst>
            </c:dLbl>
            <c:dLbl>
              <c:idx val="11"/>
              <c:tx>
                <c:strRef>
                  <c:f>_ThinQQ!$AO$388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{16C28F51-0C1D-4DC1-8C8D-11C5A95BA652}</c15:txfldGUID>
                      <c15:f>_ThinQQ!$AO$388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C275-4CD3-939C-0265EE56428A}"/>
                </c:ext>
              </c:extLst>
            </c:dLbl>
            <c:dLbl>
              <c:idx val="12"/>
              <c:tx>
                <c:strRef>
                  <c:f>_ThinQQ!$AO$389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{375CADD0-6BC9-4F00-8FC8-D988D74471CA}</c15:txfldGUID>
                      <c15:f>_ThinQQ!$AO$389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C275-4CD3-939C-0265EE56428A}"/>
                </c:ext>
              </c:extLst>
            </c:dLbl>
            <c:dLbl>
              <c:idx val="13"/>
              <c:tx>
                <c:strRef>
                  <c:f>_ThinQQ!$AO$390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{294BDB35-B09B-42C2-9957-0D2EECA3F218}</c15:txfldGUID>
                      <c15:f>_ThinQQ!$AO$390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C275-4CD3-939C-0265EE56428A}"/>
                </c:ext>
              </c:extLst>
            </c:dLbl>
            <c:dLbl>
              <c:idx val="14"/>
              <c:tx>
                <c:strRef>
                  <c:f>_ThinQQ!$AO$391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{B9CFFD9D-4300-4CBC-932E-516BC32FA714}</c15:txfldGUID>
                      <c15:f>_ThinQQ!$AO$391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C275-4CD3-939C-0265EE56428A}"/>
                </c:ext>
              </c:extLst>
            </c:dLbl>
            <c:dLbl>
              <c:idx val="15"/>
              <c:tx>
                <c:strRef>
                  <c:f>_ThinQQ!$AO$392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{A3DACD91-ECB0-4537-87F6-BF34C8AE7243}</c15:txfldGUID>
                      <c15:f>_ThinQQ!$AO$392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C275-4CD3-939C-0265EE56428A}"/>
                </c:ext>
              </c:extLst>
            </c:dLbl>
            <c:dLbl>
              <c:idx val="16"/>
              <c:tx>
                <c:strRef>
                  <c:f>_ThinQQ!$AO$393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{5502721D-D1B0-4A5A-8848-A8E08FD70B60}</c15:txfldGUID>
                      <c15:f>_ThinQQ!$AO$393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C275-4CD3-939C-0265EE56428A}"/>
                </c:ext>
              </c:extLst>
            </c:dLbl>
            <c:dLbl>
              <c:idx val="17"/>
              <c:tx>
                <c:strRef>
                  <c:f>_ThinQQ!$AO$394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{F9AA3C0F-118B-487C-99D4-3976B12D14DC}</c15:txfldGUID>
                      <c15:f>_ThinQQ!$AO$394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C275-4CD3-939C-0265EE56428A}"/>
                </c:ext>
              </c:extLst>
            </c:dLbl>
            <c:dLbl>
              <c:idx val="18"/>
              <c:tx>
                <c:strRef>
                  <c:f>_ThinQQ!$AO$395</c:f>
                  <c:strCache>
                    <c:ptCount val="1"/>
                    <c:pt idx="0">
                      <c:v>6,5 (6%)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{1DD0B9E3-98C2-47CB-94E3-C9B7C9775B94}</c15:txfldGUID>
                      <c15:f>_ThinQQ!$AO$395</c15:f>
                      <c15:dlblFieldTableCache>
                        <c:ptCount val="1"/>
                        <c:pt idx="0">
                          <c:v>6,5 (6%)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C275-4CD3-939C-0265EE56428A}"/>
                </c:ext>
              </c:extLst>
            </c:dLbl>
            <c:dLbl>
              <c:idx val="19"/>
              <c:tx>
                <c:strRef>
                  <c:f>_ThinQQ!$AO$396</c:f>
                  <c:strCache>
                    <c:ptCount val="1"/>
                    <c:pt idx="0">
                      <c:v>7,3 (6%)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{4F5A4B40-5EBD-43AE-A133-07F4DA004A5D}</c15:txfldGUID>
                      <c15:f>_ThinQQ!$AO$396</c15:f>
                      <c15:dlblFieldTableCache>
                        <c:ptCount val="1"/>
                        <c:pt idx="0">
                          <c:v>7,3 (6%)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C275-4CD3-939C-0265EE564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_ThinQQ!$AN$377:$AN$396</c:f>
              <c:numCache>
                <c:formatCode>General</c:formatCode>
                <c:ptCount val="20"/>
                <c:pt idx="0">
                  <c:v>117.2</c:v>
                </c:pt>
                <c:pt idx="1">
                  <c:v>129.69999999999999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12.699999999999996</c:v>
                </c:pt>
                <c:pt idx="10">
                  <c:v>14.199999999999992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6.4999999999999956</c:v>
                </c:pt>
                <c:pt idx="19">
                  <c:v>7.2999999999999927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C275-4CD3-939C-0265EE564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4897632"/>
        <c:axId val="564897992"/>
      </c:lineChart>
      <c:scatterChart>
        <c:scatterStyle val="lineMarker"/>
        <c:varyColors val="0"/>
        <c:ser>
          <c:idx val="5"/>
          <c:order val="5"/>
          <c:tx>
            <c:v>tqq_zero</c:v>
          </c:tx>
          <c:spPr>
            <a:ln w="952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_ThinQQ!$BE$377:$BE$378</c:f>
              <c:numCache>
                <c:formatCode>General</c:formatCode>
                <c:ptCount val="2"/>
                <c:pt idx="0">
                  <c:v>0.5</c:v>
                </c:pt>
                <c:pt idx="1">
                  <c:v>20.5</c:v>
                </c:pt>
              </c:numCache>
            </c:numRef>
          </c:xVal>
          <c:yVal>
            <c:numRef>
              <c:f>_ThinQQ!$BF$377:$BF$378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75-4CD3-939C-0265EE56428A}"/>
            </c:ext>
          </c:extLst>
        </c:ser>
        <c:ser>
          <c:idx val="6"/>
          <c:order val="6"/>
          <c:tx>
            <c:v>tqq_names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_ThinQQ!$BD$377</c:f>
                  <c:strCache>
                    <c:ptCount val="1"/>
                    <c:pt idx="0">
                      <c:v>2024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{3905C715-6D8B-4687-B46C-3F442A55F4FD}</c15:txfldGUID>
                      <c15:f>_ThinQQ!$BD$377</c15:f>
                      <c15:dlblFieldTableCache>
                        <c:ptCount val="1"/>
                        <c:pt idx="0">
                          <c:v>2024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275-4CD3-939C-0265EE56428A}"/>
                </c:ext>
              </c:extLst>
            </c:dLbl>
            <c:dLbl>
              <c:idx val="1"/>
              <c:tx>
                <c:strRef>
                  <c:f>_ThinQQ!$BD$378</c:f>
                  <c:strCache>
                    <c:ptCount val="1"/>
                    <c:pt idx="0">
                      <c:v>2025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{8EAB4EB7-A80B-4CEF-A1AD-CA2CBDD19AEA}</c15:txfldGUID>
                      <c15:f>_ThinQQ!$BD$378</c15:f>
                      <c15:dlblFieldTableCache>
                        <c:ptCount val="1"/>
                        <c:pt idx="0">
                          <c:v>2025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275-4CD3-939C-0265EE56428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_ThinQQ!$BB$377:$BB$378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xVal>
          <c:yVal>
            <c:numRef>
              <c:f>_ThinQQ!$BC$377:$BC$378</c:f>
              <c:numCache>
                <c:formatCode>General</c:formatCode>
                <c:ptCount val="2"/>
                <c:pt idx="0">
                  <c:v>58.6</c:v>
                </c:pt>
                <c:pt idx="1">
                  <c:v>64.849999999999994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275-4CD3-939C-0265EE56428A}"/>
            </c:ext>
          </c:extLst>
        </c:ser>
        <c:ser>
          <c:idx val="10"/>
          <c:order val="10"/>
          <c:tx>
            <c:v>tqq_conn_a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_ThinQQ!$AT$377:$AT$382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_ThinQQ!$AR$377:$AR$382</c:f>
              <c:numCache>
                <c:formatCode>General</c:formatCode>
                <c:ptCount val="6"/>
                <c:pt idx="0">
                  <c:v>1.3846153846153846</c:v>
                </c:pt>
                <c:pt idx="1">
                  <c:v>4.384615384615385</c:v>
                </c:pt>
                <c:pt idx="2">
                  <c:v>7.384615384615385</c:v>
                </c:pt>
                <c:pt idx="3">
                  <c:v>10.384615384615385</c:v>
                </c:pt>
                <c:pt idx="4">
                  <c:v>13.384615384615385</c:v>
                </c:pt>
                <c:pt idx="5">
                  <c:v>16.384615384615383</c:v>
                </c:pt>
              </c:numCache>
            </c:numRef>
          </c:xVal>
          <c:yVal>
            <c:numRef>
              <c:f>_ThinQQ!$AS$377:$AS$382</c:f>
              <c:numCache>
                <c:formatCode>General</c:formatCode>
                <c:ptCount val="6"/>
                <c:pt idx="0">
                  <c:v>117.2</c:v>
                </c:pt>
                <c:pt idx="1">
                  <c:v>37.299999999999997</c:v>
                </c:pt>
                <c:pt idx="2">
                  <c:v>12.699999999999996</c:v>
                </c:pt>
                <c:pt idx="3">
                  <c:v>12.699999999999996</c:v>
                </c:pt>
                <c:pt idx="4">
                  <c:v>9.7999999999999954</c:v>
                </c:pt>
                <c:pt idx="5">
                  <c:v>6.4999999999999956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C275-4CD3-939C-0265EE56428A}"/>
            </c:ext>
          </c:extLst>
        </c:ser>
        <c:ser>
          <c:idx val="11"/>
          <c:order val="11"/>
          <c:tx>
            <c:v>tqq_conn_b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_ThinQQ!$AT$377:$AT$382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_ThinQQ!$AU$377:$AU$382</c:f>
              <c:numCache>
                <c:formatCode>General</c:formatCode>
                <c:ptCount val="6"/>
                <c:pt idx="0">
                  <c:v>2.3846153846153846</c:v>
                </c:pt>
                <c:pt idx="1">
                  <c:v>5.384615384615385</c:v>
                </c:pt>
                <c:pt idx="2">
                  <c:v>8.384615384615385</c:v>
                </c:pt>
                <c:pt idx="3">
                  <c:v>11.384615384615385</c:v>
                </c:pt>
                <c:pt idx="4">
                  <c:v>14.384615384615385</c:v>
                </c:pt>
                <c:pt idx="5">
                  <c:v>17.384615384615383</c:v>
                </c:pt>
              </c:numCache>
            </c:numRef>
          </c:xVal>
          <c:yVal>
            <c:numRef>
              <c:f>_ThinQQ!$AV$377:$AV$382</c:f>
              <c:numCache>
                <c:formatCode>General</c:formatCode>
                <c:ptCount val="6"/>
                <c:pt idx="0">
                  <c:v>129.69999999999999</c:v>
                </c:pt>
                <c:pt idx="1">
                  <c:v>41.399999999999991</c:v>
                </c:pt>
                <c:pt idx="2">
                  <c:v>14.199999999999992</c:v>
                </c:pt>
                <c:pt idx="3">
                  <c:v>14.199999999999992</c:v>
                </c:pt>
                <c:pt idx="4">
                  <c:v>10.999999999999993</c:v>
                </c:pt>
                <c:pt idx="5">
                  <c:v>7.2999999999999927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C275-4CD3-939C-0265EE56428A}"/>
            </c:ext>
          </c:extLst>
        </c:ser>
        <c:ser>
          <c:idx val="12"/>
          <c:order val="12"/>
          <c:tx>
            <c:v>tqq_pd</c:v>
          </c:tx>
          <c:spPr>
            <a:ln w="12700">
              <a:solidFill>
                <a:srgbClr val="595959"/>
              </a:solidFill>
              <a:tailEnd type="triangle" w="sm" len="sm"/>
            </a:ln>
          </c:spPr>
          <c:marker>
            <c:symbol val="none"/>
          </c:marker>
          <c:dLbls>
            <c:dLbl>
              <c:idx val="2"/>
              <c:tx>
                <c:strRef>
                  <c:f>_ThinQQ!$AY$379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{8535F57D-10DD-46BF-9E9C-12B9D0E031AF}</c15:txfldGUID>
                      <c15:f>_ThinQQ!$AY$379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C275-4CD3-939C-0265EE56428A}"/>
                </c:ext>
              </c:extLst>
            </c:dLbl>
            <c:dLbl>
              <c:idx val="8"/>
              <c:tx>
                <c:strRef>
                  <c:f>_ThinQQ!$AY$385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{F01C45AD-ACE9-4CEF-8414-7553A5953179}</c15:txfldGUID>
                      <c15:f>_ThinQQ!$AY$385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C275-4CD3-939C-0265EE56428A}"/>
                </c:ext>
              </c:extLst>
            </c:dLbl>
            <c:dLbl>
              <c:idx val="14"/>
              <c:tx>
                <c:strRef>
                  <c:f>_ThinQQ!$AY$391</c:f>
                  <c:strCache>
                    <c:ptCount val="1"/>
                    <c:pt idx="0">
                      <c:v>+11%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{BCE45A01-D437-40C3-BDB9-AD53B87B8FD7}</c15:txfldGUID>
                      <c15:f>_ThinQQ!$AY$391</c15:f>
                      <c15:dlblFieldTableCache>
                        <c:ptCount val="1"/>
                        <c:pt idx="0">
                          <c:v>+11%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C275-4CD3-939C-0265EE56428A}"/>
                </c:ext>
              </c:extLst>
            </c:dLbl>
            <c:dLbl>
              <c:idx val="20"/>
              <c:tx>
                <c:strRef>
                  <c:f>_ThinQQ!$AY$397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{31986706-A2C2-4E4C-A132-A73998581C16}</c15:txfldGUID>
                      <c15:f>_ThinQQ!$AY$397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C275-4CD3-939C-0265EE56428A}"/>
                </c:ext>
              </c:extLst>
            </c:dLbl>
            <c:dLbl>
              <c:idx val="26"/>
              <c:tx>
                <c:strRef>
                  <c:f>_ThinQQ!$AY$403</c:f>
                  <c:strCache>
                    <c:ptCount val="1"/>
                    <c:pt idx="0">
                      <c:v>+10%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{61AA2DCA-6570-4F07-B211-A940CB36A502}</c15:txfldGUID>
                      <c15:f>_ThinQQ!$AY$403</c15:f>
                      <c15:dlblFieldTableCache>
                        <c:ptCount val="1"/>
                        <c:pt idx="0">
                          <c:v>+10%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C275-4CD3-939C-0265EE56428A}"/>
                </c:ext>
              </c:extLst>
            </c:dLbl>
            <c:dLbl>
              <c:idx val="32"/>
              <c:tx>
                <c:strRef>
                  <c:f>_ThinQQ!$AY$409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{2D41F910-4F70-4C64-97F4-29B213A9BF2D}</c15:txfldGUID>
                      <c15:f>_ThinQQ!$AY$409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C275-4CD3-939C-0265EE56428A}"/>
                </c:ext>
              </c:extLst>
            </c:dLbl>
            <c:dLbl>
              <c:idx val="38"/>
              <c:tx>
                <c:strRef>
                  <c:f>_ThinQQ!$AY$415</c:f>
                  <c:strCache>
                    <c:ptCount val="1"/>
                    <c:pt idx="0">
                      <c:v>+12%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{369E1DE7-9644-44F3-BA66-E0A97FE0C2BE}</c15:txfldGUID>
                      <c15:f>_ThinQQ!$AY$415</c15:f>
                      <c15:dlblFieldTableCache>
                        <c:ptCount val="1"/>
                        <c:pt idx="0">
                          <c:v>+12%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C275-4CD3-939C-0265EE56428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_ThinQQ!$AW$377:$AW$417</c:f>
              <c:numCache>
                <c:formatCode>General</c:formatCode>
                <c:ptCount val="4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</c:v>
                </c:pt>
                <c:pt idx="12">
                  <c:v>7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</c:v>
                </c:pt>
                <c:pt idx="18">
                  <c:v>10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</c:v>
                </c:pt>
              </c:numCache>
            </c:numRef>
          </c:xVal>
          <c:yVal>
            <c:numRef>
              <c:f>_ThinQQ!$AX$377:$AX$417</c:f>
              <c:numCache>
                <c:formatCode>General</c:formatCode>
                <c:ptCount val="41"/>
                <c:pt idx="0">
                  <c:v>131.43853884257089</c:v>
                </c:pt>
                <c:pt idx="1">
                  <c:v>151.70501457488226</c:v>
                </c:pt>
                <c:pt idx="2">
                  <c:v>151.70501457488226</c:v>
                </c:pt>
                <c:pt idx="3">
                  <c:v>151.70501457488226</c:v>
                </c:pt>
                <c:pt idx="4">
                  <c:v>143.93853884257086</c:v>
                </c:pt>
                <c:pt idx="6">
                  <c:v>119.14161893307785</c:v>
                </c:pt>
                <c:pt idx="7">
                  <c:v>139.40809466538923</c:v>
                </c:pt>
                <c:pt idx="8">
                  <c:v>139.40809466538923</c:v>
                </c:pt>
                <c:pt idx="9">
                  <c:v>139.40809466538923</c:v>
                </c:pt>
                <c:pt idx="10">
                  <c:v>131.64161893307784</c:v>
                </c:pt>
                <c:pt idx="12">
                  <c:v>39.241618933077845</c:v>
                </c:pt>
                <c:pt idx="13">
                  <c:v>51.108094665389231</c:v>
                </c:pt>
                <c:pt idx="14">
                  <c:v>51.108094665389231</c:v>
                </c:pt>
                <c:pt idx="15">
                  <c:v>51.108094665389231</c:v>
                </c:pt>
                <c:pt idx="16">
                  <c:v>43.341618933077839</c:v>
                </c:pt>
                <c:pt idx="18">
                  <c:v>26.938538842570882</c:v>
                </c:pt>
                <c:pt idx="19">
                  <c:v>36.20501457488227</c:v>
                </c:pt>
                <c:pt idx="20">
                  <c:v>36.20501457488227</c:v>
                </c:pt>
                <c:pt idx="21">
                  <c:v>36.20501457488227</c:v>
                </c:pt>
                <c:pt idx="22">
                  <c:v>28.438538842570878</c:v>
                </c:pt>
                <c:pt idx="24">
                  <c:v>14.641618933077844</c:v>
                </c:pt>
                <c:pt idx="25">
                  <c:v>23.908094665389232</c:v>
                </c:pt>
                <c:pt idx="26">
                  <c:v>23.908094665389232</c:v>
                </c:pt>
                <c:pt idx="27">
                  <c:v>23.908094665389232</c:v>
                </c:pt>
                <c:pt idx="28">
                  <c:v>16.14161893307784</c:v>
                </c:pt>
                <c:pt idx="30">
                  <c:v>11.741618933077843</c:v>
                </c:pt>
                <c:pt idx="31">
                  <c:v>20.708094665389233</c:v>
                </c:pt>
                <c:pt idx="32">
                  <c:v>20.708094665389233</c:v>
                </c:pt>
                <c:pt idx="33">
                  <c:v>20.708094665389233</c:v>
                </c:pt>
                <c:pt idx="34">
                  <c:v>12.941618933077841</c:v>
                </c:pt>
                <c:pt idx="36">
                  <c:v>20.738538842570883</c:v>
                </c:pt>
                <c:pt idx="37">
                  <c:v>29.305014574882271</c:v>
                </c:pt>
                <c:pt idx="38">
                  <c:v>29.305014574882271</c:v>
                </c:pt>
                <c:pt idx="39">
                  <c:v>29.305014574882271</c:v>
                </c:pt>
                <c:pt idx="40">
                  <c:v>21.53853884257088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C275-4CD3-939C-0265EE56428A}"/>
            </c:ext>
          </c:extLst>
        </c:ser>
        <c:ser>
          <c:idx val="13"/>
          <c:order val="13"/>
          <c:tx>
            <c:v>tqq_pdroom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_ThinQQ!$AZ$377:$AZ$383</c:f>
              <c:numCache>
                <c:formatCode>General</c:formatCode>
                <c:ptCount val="7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</c:numCache>
            </c:numRef>
          </c:xVal>
          <c:yVal>
            <c:numRef>
              <c:f>_ThinQQ!$BA$377:$BA$383</c:f>
              <c:numCache>
                <c:formatCode>General</c:formatCode>
                <c:ptCount val="7"/>
                <c:pt idx="0">
                  <c:v>159.47149030719365</c:v>
                </c:pt>
                <c:pt idx="1">
                  <c:v>147.17457039770062</c:v>
                </c:pt>
                <c:pt idx="2">
                  <c:v>58.874570397700623</c:v>
                </c:pt>
                <c:pt idx="3">
                  <c:v>43.971490307193662</c:v>
                </c:pt>
                <c:pt idx="4">
                  <c:v>31.674570397700624</c:v>
                </c:pt>
                <c:pt idx="5">
                  <c:v>28.474570397700624</c:v>
                </c:pt>
                <c:pt idx="6">
                  <c:v>37.071490307193663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C275-4CD3-939C-0265EE564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897632"/>
        <c:axId val="564897992"/>
      </c:scatterChart>
      <c:catAx>
        <c:axId val="56489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 rot="0" vert="horz"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64897992"/>
        <c:crosses val="autoZero"/>
        <c:auto val="0"/>
        <c:lblAlgn val="ctr"/>
        <c:lblOffset val="100"/>
        <c:noMultiLvlLbl val="0"/>
      </c:catAx>
      <c:valAx>
        <c:axId val="564897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6489763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_ThinQQ!$AE$422:$AE$441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8.1999999999999993</c:v>
                </c:pt>
                <c:pt idx="4">
                  <c:v>7.0000000000000018</c:v>
                </c:pt>
                <c:pt idx="5">
                  <c:v>0</c:v>
                </c:pt>
                <c:pt idx="6">
                  <c:v>2.6999999999999993</c:v>
                </c:pt>
                <c:pt idx="7">
                  <c:v>2.6000000000000014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1.9999999999999993</c:v>
                </c:pt>
                <c:pt idx="13">
                  <c:v>2.1000000000000014</c:v>
                </c:pt>
                <c:pt idx="14">
                  <c:v>0</c:v>
                </c:pt>
                <c:pt idx="15">
                  <c:v>1.2999999999999994</c:v>
                </c:pt>
                <c:pt idx="16">
                  <c:v>1.4000000000000015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6-4A34-BB81-FD50959D43E6}"/>
            </c:ext>
          </c:extLst>
        </c:ser>
        <c:ser>
          <c:idx val="1"/>
          <c:order val="1"/>
          <c:tx>
            <c:strRef>
              <c:f>'E28'!$B$6</c:f>
              <c:strCache>
                <c:ptCount val="1"/>
                <c:pt idx="0">
                  <c:v>Aurora Centro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_ThinQQ!$AF$422:$AF$441</c:f>
              <c:numCache>
                <c:formatCode>General</c:formatCode>
                <c:ptCount val="20"/>
                <c:pt idx="0">
                  <c:v>26.2</c:v>
                </c:pt>
                <c:pt idx="1">
                  <c:v>0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0</c:v>
                </c:pt>
                <c:pt idx="6">
                  <c:v>5.5</c:v>
                </c:pt>
                <c:pt idx="7">
                  <c:v>0</c:v>
                </c:pt>
                <c:pt idx="8">
                  <c:v>0</c:v>
                </c:pt>
                <c:pt idx="9">
                  <c:v>2.6999999999999993</c:v>
                </c:pt>
                <c:pt idx="10">
                  <c:v>0</c:v>
                </c:pt>
                <c:pt idx="11">
                  <c:v>0</c:v>
                </c:pt>
                <c:pt idx="12">
                  <c:v>0.7</c:v>
                </c:pt>
                <c:pt idx="13">
                  <c:v>0</c:v>
                </c:pt>
                <c:pt idx="14">
                  <c:v>0</c:v>
                </c:pt>
                <c:pt idx="15">
                  <c:v>0.7</c:v>
                </c:pt>
                <c:pt idx="16">
                  <c:v>0</c:v>
                </c:pt>
                <c:pt idx="17">
                  <c:v>0</c:v>
                </c:pt>
                <c:pt idx="18">
                  <c:v>1.2999999999999994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36-4A34-BB81-FD50959D43E6}"/>
            </c:ext>
          </c:extLst>
        </c:ser>
        <c:ser>
          <c:idx val="2"/>
          <c:order val="2"/>
          <c:tx>
            <c:v>tqq_aneg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_ThinQQ!$AG$422:$AG$441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36-4A34-BB81-FD50959D43E6}"/>
            </c:ext>
          </c:extLst>
        </c:ser>
        <c:ser>
          <c:idx val="3"/>
          <c:order val="3"/>
          <c:tx>
            <c:strRef>
              <c:f>'E28'!$C$6</c:f>
              <c:strCache>
                <c:ptCount val="1"/>
                <c:pt idx="0">
                  <c:v>Porto Sereno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_ThinQQ!$AH$422:$AH$441</c:f>
              <c:numCache>
                <c:formatCode>General</c:formatCode>
                <c:ptCount val="20"/>
                <c:pt idx="0">
                  <c:v>0</c:v>
                </c:pt>
                <c:pt idx="1">
                  <c:v>21.1</c:v>
                </c:pt>
                <c:pt idx="2">
                  <c:v>0</c:v>
                </c:pt>
                <c:pt idx="3">
                  <c:v>0</c:v>
                </c:pt>
                <c:pt idx="4">
                  <c:v>14.1</c:v>
                </c:pt>
                <c:pt idx="5">
                  <c:v>0</c:v>
                </c:pt>
                <c:pt idx="6">
                  <c:v>0</c:v>
                </c:pt>
                <c:pt idx="7">
                  <c:v>4.4000000000000004</c:v>
                </c:pt>
                <c:pt idx="8">
                  <c:v>0</c:v>
                </c:pt>
                <c:pt idx="9">
                  <c:v>0</c:v>
                </c:pt>
                <c:pt idx="10">
                  <c:v>2.6000000000000014</c:v>
                </c:pt>
                <c:pt idx="11">
                  <c:v>0</c:v>
                </c:pt>
                <c:pt idx="12">
                  <c:v>0</c:v>
                </c:pt>
                <c:pt idx="13">
                  <c:v>0.5</c:v>
                </c:pt>
                <c:pt idx="14">
                  <c:v>0</c:v>
                </c:pt>
                <c:pt idx="15">
                  <c:v>0</c:v>
                </c:pt>
                <c:pt idx="16">
                  <c:v>0.7</c:v>
                </c:pt>
                <c:pt idx="17">
                  <c:v>0</c:v>
                </c:pt>
                <c:pt idx="18">
                  <c:v>0</c:v>
                </c:pt>
                <c:pt idx="19">
                  <c:v>1.4000000000000015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36-4A34-BB81-FD50959D43E6}"/>
            </c:ext>
          </c:extLst>
        </c:ser>
        <c:ser>
          <c:idx val="4"/>
          <c:order val="4"/>
          <c:tx>
            <c:v>tqq_bneg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multiLvlStrRef>
              <c:f>_ThinQQ!$AC$422:$AD$441</c:f>
              <c:multiLvlStrCache>
                <c:ptCount val="20"/>
                <c:lvl>
                  <c:pt idx="0">
                    <c:v> </c:v>
                  </c:pt>
                  <c:pt idx="1">
                    <c:v> </c:v>
                  </c:pt>
                  <c:pt idx="2">
                    <c:v> </c:v>
                  </c:pt>
                  <c:pt idx="3">
                    <c:v> </c:v>
                  </c:pt>
                  <c:pt idx="4">
                    <c:v> </c:v>
                  </c:pt>
                  <c:pt idx="5">
                    <c:v> </c:v>
                  </c:pt>
                  <c:pt idx="6">
                    <c:v> </c:v>
                  </c:pt>
                  <c:pt idx="7">
                    <c:v> </c:v>
                  </c:pt>
                  <c:pt idx="8">
                    <c:v> </c:v>
                  </c:pt>
                  <c:pt idx="9">
                    <c:v> </c:v>
                  </c:pt>
                  <c:pt idx="10">
                    <c:v> </c:v>
                  </c:pt>
                  <c:pt idx="11">
                    <c:v> </c:v>
                  </c:pt>
                  <c:pt idx="12">
                    <c:v> </c:v>
                  </c:pt>
                  <c:pt idx="13">
                    <c:v> </c:v>
                  </c:pt>
                  <c:pt idx="14">
                    <c:v> </c:v>
                  </c:pt>
                  <c:pt idx="15">
                    <c:v> </c:v>
                  </c:pt>
                  <c:pt idx="16">
                    <c:v> </c:v>
                  </c:pt>
                  <c:pt idx="17">
                    <c:v> </c:v>
                  </c:pt>
                  <c:pt idx="18">
                    <c:v> </c:v>
                  </c:pt>
                  <c:pt idx="19">
                    <c:v> </c:v>
                  </c:pt>
                </c:lvl>
                <c:lvl>
                  <c:pt idx="0">
                    <c:v>Receita bruta</c:v>
                  </c:pt>
                  <c:pt idx="2">
                    <c:v> </c:v>
                  </c:pt>
                  <c:pt idx="3">
                    <c:v>Custo das mercadorias</c:v>
                  </c:pt>
                  <c:pt idx="5">
                    <c:v> </c:v>
                  </c:pt>
                  <c:pt idx="6">
                    <c:v>Despesas operacionais</c:v>
                  </c:pt>
                  <c:pt idx="8">
                    <c:v> </c:v>
                  </c:pt>
                  <c:pt idx="9">
                    <c:v>EBITDA</c:v>
                  </c:pt>
                  <c:pt idx="11">
                    <c:v> </c:v>
                  </c:pt>
                  <c:pt idx="12">
                    <c:v>Depreciação e juros</c:v>
                  </c:pt>
                  <c:pt idx="14">
                    <c:v> </c:v>
                  </c:pt>
                  <c:pt idx="15">
                    <c:v>Impostos</c:v>
                  </c:pt>
                  <c:pt idx="17">
                    <c:v> </c:v>
                  </c:pt>
                  <c:pt idx="18">
                    <c:v>Lucro líquido</c:v>
                  </c:pt>
                </c:lvl>
              </c:multiLvlStrCache>
            </c:multiLvlStrRef>
          </c:cat>
          <c:val>
            <c:numRef>
              <c:f>_ThinQQ!$AI$422:$AI$441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36-4A34-BB81-FD50959D4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559226352"/>
        <c:axId val="559226712"/>
      </c:barChart>
      <c:lineChart>
        <c:grouping val="standard"/>
        <c:varyColors val="0"/>
        <c:ser>
          <c:idx val="7"/>
          <c:order val="7"/>
          <c:tx>
            <c:v>tqq_lbl_a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_ThinQQ!$AK$422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{C3757DD9-23E4-491C-BFE0-D0BC0F854836}</c15:txfldGUID>
                      <c15:f>_ThinQQ!$AK$422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036-4A34-BB81-FD50959D43E6}"/>
                </c:ext>
              </c:extLst>
            </c:dLbl>
            <c:dLbl>
              <c:idx val="1"/>
              <c:tx>
                <c:strRef>
                  <c:f>_ThinQQ!$AK$423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{81CBCA63-5365-4CC9-982B-3AE29A1A05EB}</c15:txfldGUID>
                      <c15:f>_ThinQQ!$AK$423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036-4A34-BB81-FD50959D43E6}"/>
                </c:ext>
              </c:extLst>
            </c:dLbl>
            <c:dLbl>
              <c:idx val="2"/>
              <c:tx>
                <c:strRef>
                  <c:f>_ThinQQ!$AK$424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{CE81CDE6-BF59-4EF4-969A-04801CAA058C}</c15:txfldGUID>
                      <c15:f>_ThinQQ!$AK$424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036-4A34-BB81-FD50959D43E6}"/>
                </c:ext>
              </c:extLst>
            </c:dLbl>
            <c:dLbl>
              <c:idx val="3"/>
              <c:tx>
                <c:strRef>
                  <c:f>_ThinQQ!$AK$425</c:f>
                  <c:strCache>
                    <c:ptCount val="1"/>
                    <c:pt idx="0">
                      <c:v>-18,0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{025B74F2-880D-4A2D-BB59-2D402B9FCAC9}</c15:txfldGUID>
                      <c15:f>_ThinQQ!$AK$425</c15:f>
                      <c15:dlblFieldTableCache>
                        <c:ptCount val="1"/>
                        <c:pt idx="0">
                          <c:v>-18,0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036-4A34-BB81-FD50959D43E6}"/>
                </c:ext>
              </c:extLst>
            </c:dLbl>
            <c:dLbl>
              <c:idx val="4"/>
              <c:tx>
                <c:strRef>
                  <c:f>_ThinQQ!$AK$426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{3FE06E69-7A6B-496A-AC3E-53A25640AC37}</c15:txfldGUID>
                      <c15:f>_ThinQQ!$AK$426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036-4A34-BB81-FD50959D43E6}"/>
                </c:ext>
              </c:extLst>
            </c:dLbl>
            <c:dLbl>
              <c:idx val="5"/>
              <c:tx>
                <c:strRef>
                  <c:f>_ThinQQ!$AK$427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{6BFA658D-FEF3-4D2C-B48A-0817E6B55EB5}</c15:txfldGUID>
                      <c15:f>_ThinQQ!$AK$427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036-4A34-BB81-FD50959D43E6}"/>
                </c:ext>
              </c:extLst>
            </c:dLbl>
            <c:dLbl>
              <c:idx val="6"/>
              <c:tx>
                <c:strRef>
                  <c:f>_ThinQQ!$AK$428</c:f>
                  <c:strCache>
                    <c:ptCount val="1"/>
                    <c:pt idx="0">
                      <c:v>-5,5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{33439A74-8F94-4F56-96CE-3E72FFA5456E}</c15:txfldGUID>
                      <c15:f>_ThinQQ!$AK$428</c15:f>
                      <c15:dlblFieldTableCache>
                        <c:ptCount val="1"/>
                        <c:pt idx="0">
                          <c:v>-5,5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036-4A34-BB81-FD50959D43E6}"/>
                </c:ext>
              </c:extLst>
            </c:dLbl>
            <c:dLbl>
              <c:idx val="7"/>
              <c:tx>
                <c:strRef>
                  <c:f>_ThinQQ!$AK$429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{DC8AD378-7159-48FE-AE7C-034CD25DF83E}</c15:txfldGUID>
                      <c15:f>_ThinQQ!$AK$429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036-4A34-BB81-FD50959D43E6}"/>
                </c:ext>
              </c:extLst>
            </c:dLbl>
            <c:dLbl>
              <c:idx val="8"/>
              <c:tx>
                <c:strRef>
                  <c:f>_ThinQQ!$AK$430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{3B5D4F79-2E7D-439E-92D0-CA720AA97896}</c15:txfldGUID>
                      <c15:f>_ThinQQ!$AK$430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036-4A34-BB81-FD50959D43E6}"/>
                </c:ext>
              </c:extLst>
            </c:dLbl>
            <c:dLbl>
              <c:idx val="9"/>
              <c:tx>
                <c:strRef>
                  <c:f>_ThinQQ!$AK$431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{35EDA50C-7122-41C4-904E-778A1CECD91F}</c15:txfldGUID>
                      <c15:f>_ThinQQ!$AK$431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036-4A34-BB81-FD50959D43E6}"/>
                </c:ext>
              </c:extLst>
            </c:dLbl>
            <c:dLbl>
              <c:idx val="10"/>
              <c:tx>
                <c:strRef>
                  <c:f>_ThinQQ!$AK$432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{416059BE-E770-421E-A9FD-C806EB989DA6}</c15:txfldGUID>
                      <c15:f>_ThinQQ!$AK$432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036-4A34-BB81-FD50959D43E6}"/>
                </c:ext>
              </c:extLst>
            </c:dLbl>
            <c:dLbl>
              <c:idx val="11"/>
              <c:tx>
                <c:strRef>
                  <c:f>_ThinQQ!$AK$433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{B11AC806-C124-4208-813C-E219625C5434}</c15:txfldGUID>
                      <c15:f>_ThinQQ!$AK$433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036-4A34-BB81-FD50959D43E6}"/>
                </c:ext>
              </c:extLst>
            </c:dLbl>
            <c:dLbl>
              <c:idx val="12"/>
              <c:tx>
                <c:strRef>
                  <c:f>_ThinQQ!$AK$434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{C8494F99-F6F1-4407-BF5E-2B083E1C554B}</c15:txfldGUID>
                      <c15:f>_ThinQQ!$AK$434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036-4A34-BB81-FD50959D43E6}"/>
                </c:ext>
              </c:extLst>
            </c:dLbl>
            <c:dLbl>
              <c:idx val="13"/>
              <c:tx>
                <c:strRef>
                  <c:f>_ThinQQ!$AK$435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{E921A30B-BE1F-4151-8F8C-C0F37AA96F71}</c15:txfldGUID>
                      <c15:f>_ThinQQ!$AK$435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036-4A34-BB81-FD50959D43E6}"/>
                </c:ext>
              </c:extLst>
            </c:dLbl>
            <c:dLbl>
              <c:idx val="14"/>
              <c:tx>
                <c:strRef>
                  <c:f>_ThinQQ!$AK$436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{45E833D2-7FED-4D89-BDB5-8FF98D0E1BD3}</c15:txfldGUID>
                      <c15:f>_ThinQQ!$AK$436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036-4A34-BB81-FD50959D43E6}"/>
                </c:ext>
              </c:extLst>
            </c:dLbl>
            <c:dLbl>
              <c:idx val="15"/>
              <c:tx>
                <c:strRef>
                  <c:f>_ThinQQ!$AK$437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{780EFA9B-4A73-4518-8166-BFB59B62D2D1}</c15:txfldGUID>
                      <c15:f>_ThinQQ!$AK$437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036-4A34-BB81-FD50959D43E6}"/>
                </c:ext>
              </c:extLst>
            </c:dLbl>
            <c:dLbl>
              <c:idx val="16"/>
              <c:tx>
                <c:strRef>
                  <c:f>_ThinQQ!$AK$438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{2B7F9A92-C39E-4AB6-8FE6-65EE484C7884}</c15:txfldGUID>
                      <c15:f>_ThinQQ!$AK$438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036-4A34-BB81-FD50959D43E6}"/>
                </c:ext>
              </c:extLst>
            </c:dLbl>
            <c:dLbl>
              <c:idx val="17"/>
              <c:tx>
                <c:strRef>
                  <c:f>_ThinQQ!$AK$439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{AA749947-8460-4CD5-98FA-93D0BE5E7E6C}</c15:txfldGUID>
                      <c15:f>_ThinQQ!$AK$439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036-4A34-BB81-FD50959D43E6}"/>
                </c:ext>
              </c:extLst>
            </c:dLbl>
            <c:dLbl>
              <c:idx val="18"/>
              <c:tx>
                <c:strRef>
                  <c:f>_ThinQQ!$AK$440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{769B46D4-613E-44C7-BCCB-FB2E644A6BCB}</c15:txfldGUID>
                      <c15:f>_ThinQQ!$AK$440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F036-4A34-BB81-FD50959D43E6}"/>
                </c:ext>
              </c:extLst>
            </c:dLbl>
            <c:dLbl>
              <c:idx val="19"/>
              <c:tx>
                <c:strRef>
                  <c:f>_ThinQQ!$AK$441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{5C62EFF1-2C33-47DC-A801-428ACEE6FA3E}</c15:txfldGUID>
                      <c15:f>_ThinQQ!$AK$441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F036-4A34-BB81-FD50959D43E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_ThinQQ!$AJ$422:$AJ$441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17.2</c:v>
                </c:pt>
                <c:pt idx="4">
                  <c:v>#N/A</c:v>
                </c:pt>
                <c:pt idx="5">
                  <c:v>#N/A</c:v>
                </c:pt>
                <c:pt idx="6">
                  <c:v>5.4499999999999993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2.3499999999999992</c:v>
                </c:pt>
                <c:pt idx="13">
                  <c:v>#N/A</c:v>
                </c:pt>
                <c:pt idx="14">
                  <c:v>#N/A</c:v>
                </c:pt>
                <c:pt idx="15">
                  <c:v>1.6499999999999995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036-4A34-BB81-FD50959D43E6}"/>
            </c:ext>
          </c:extLst>
        </c:ser>
        <c:ser>
          <c:idx val="8"/>
          <c:order val="8"/>
          <c:tx>
            <c:v>tqq_lbl_b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_ThinQQ!$AM$422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{D57310B0-916E-4E94-BD36-7A787E932468}</c15:txfldGUID>
                      <c15:f>_ThinQQ!$AM$422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F036-4A34-BB81-FD50959D43E6}"/>
                </c:ext>
              </c:extLst>
            </c:dLbl>
            <c:dLbl>
              <c:idx val="1"/>
              <c:tx>
                <c:strRef>
                  <c:f>_ThinQQ!$AM$423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{7935EDB1-415D-4766-A43A-202225EC7FB4}</c15:txfldGUID>
                      <c15:f>_ThinQQ!$AM$423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F036-4A34-BB81-FD50959D43E6}"/>
                </c:ext>
              </c:extLst>
            </c:dLbl>
            <c:dLbl>
              <c:idx val="2"/>
              <c:tx>
                <c:strRef>
                  <c:f>_ThinQQ!$AM$424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{2815E69D-1BED-4140-A45B-9104B33E60DF}</c15:txfldGUID>
                      <c15:f>_ThinQQ!$AM$424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F036-4A34-BB81-FD50959D43E6}"/>
                </c:ext>
              </c:extLst>
            </c:dLbl>
            <c:dLbl>
              <c:idx val="3"/>
              <c:tx>
                <c:strRef>
                  <c:f>_ThinQQ!$AM$425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{7FDDBCF0-8AFA-420D-B9BA-49E264094BCF}</c15:txfldGUID>
                      <c15:f>_ThinQQ!$AM$425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F036-4A34-BB81-FD50959D43E6}"/>
                </c:ext>
              </c:extLst>
            </c:dLbl>
            <c:dLbl>
              <c:idx val="4"/>
              <c:tx>
                <c:strRef>
                  <c:f>_ThinQQ!$AM$426</c:f>
                  <c:strCache>
                    <c:ptCount val="1"/>
                    <c:pt idx="0">
                      <c:v>-14,1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{F01C310B-A2B3-4900-827B-5B2A75BFAE19}</c15:txfldGUID>
                      <c15:f>_ThinQQ!$AM$426</c15:f>
                      <c15:dlblFieldTableCache>
                        <c:ptCount val="1"/>
                        <c:pt idx="0">
                          <c:v>-14,1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F036-4A34-BB81-FD50959D43E6}"/>
                </c:ext>
              </c:extLst>
            </c:dLbl>
            <c:dLbl>
              <c:idx val="5"/>
              <c:tx>
                <c:strRef>
                  <c:f>_ThinQQ!$AM$427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{54DFC136-5444-4253-82D1-DBF5E09C1E90}</c15:txfldGUID>
                      <c15:f>_ThinQQ!$AM$427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F036-4A34-BB81-FD50959D43E6}"/>
                </c:ext>
              </c:extLst>
            </c:dLbl>
            <c:dLbl>
              <c:idx val="6"/>
              <c:tx>
                <c:strRef>
                  <c:f>_ThinQQ!$AM$428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{B4D5A37A-8960-40F0-B6B4-F05DFE1C8DFB}</c15:txfldGUID>
                      <c15:f>_ThinQQ!$AM$428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F036-4A34-BB81-FD50959D43E6}"/>
                </c:ext>
              </c:extLst>
            </c:dLbl>
            <c:dLbl>
              <c:idx val="7"/>
              <c:tx>
                <c:strRef>
                  <c:f>_ThinQQ!$AM$429</c:f>
                  <c:strCache>
                    <c:ptCount val="1"/>
                    <c:pt idx="0">
                      <c:v>-4,4</c:v>
                    </c:pt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{308F3B03-3D5D-4CC5-859E-7342CF64EFFE}</c15:txfldGUID>
                      <c15:f>_ThinQQ!$AM$429</c15:f>
                      <c15:dlblFieldTableCache>
                        <c:ptCount val="1"/>
                        <c:pt idx="0">
                          <c:v>-4,4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F036-4A34-BB81-FD50959D43E6}"/>
                </c:ext>
              </c:extLst>
            </c:dLbl>
            <c:dLbl>
              <c:idx val="8"/>
              <c:tx>
                <c:strRef>
                  <c:f>_ThinQQ!$AM$430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{8C4A5721-8ED1-4C9A-A21A-CBDACA559186}</c15:txfldGUID>
                      <c15:f>_ThinQQ!$AM$430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F036-4A34-BB81-FD50959D43E6}"/>
                </c:ext>
              </c:extLst>
            </c:dLbl>
            <c:dLbl>
              <c:idx val="9"/>
              <c:tx>
                <c:strRef>
                  <c:f>_ThinQQ!$AM$431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{B334CED6-F1F6-4931-8D54-3D0BA4A1153F}</c15:txfldGUID>
                      <c15:f>_ThinQQ!$AM$431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F036-4A34-BB81-FD50959D43E6}"/>
                </c:ext>
              </c:extLst>
            </c:dLbl>
            <c:dLbl>
              <c:idx val="10"/>
              <c:tx>
                <c:strRef>
                  <c:f>_ThinQQ!$AM$432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{744D28D1-42ED-45D1-9781-84CCCEBDC6A9}</c15:txfldGUID>
                      <c15:f>_ThinQQ!$AM$432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F036-4A34-BB81-FD50959D43E6}"/>
                </c:ext>
              </c:extLst>
            </c:dLbl>
            <c:dLbl>
              <c:idx val="11"/>
              <c:tx>
                <c:strRef>
                  <c:f>_ThinQQ!$AM$433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{23F0DB2A-E04F-41A6-9A81-65B4ECAA564D}</c15:txfldGUID>
                      <c15:f>_ThinQQ!$AM$433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F036-4A34-BB81-FD50959D43E6}"/>
                </c:ext>
              </c:extLst>
            </c:dLbl>
            <c:dLbl>
              <c:idx val="12"/>
              <c:tx>
                <c:strRef>
                  <c:f>_ThinQQ!$AM$434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{409F86DC-B61D-44B3-B8ED-1B2838E4D57F}</c15:txfldGUID>
                      <c15:f>_ThinQQ!$AM$434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F036-4A34-BB81-FD50959D43E6}"/>
                </c:ext>
              </c:extLst>
            </c:dLbl>
            <c:dLbl>
              <c:idx val="13"/>
              <c:tx>
                <c:strRef>
                  <c:f>_ThinQQ!$AM$435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{5003012A-95FF-4AFA-BF40-A64D1A0E2A08}</c15:txfldGUID>
                      <c15:f>_ThinQQ!$AM$435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F036-4A34-BB81-FD50959D43E6}"/>
                </c:ext>
              </c:extLst>
            </c:dLbl>
            <c:dLbl>
              <c:idx val="14"/>
              <c:tx>
                <c:strRef>
                  <c:f>_ThinQQ!$AM$436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{BFE9753F-6680-410C-BE8E-E6AF7F91F9CB}</c15:txfldGUID>
                      <c15:f>_ThinQQ!$AM$436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036-4A34-BB81-FD50959D43E6}"/>
                </c:ext>
              </c:extLst>
            </c:dLbl>
            <c:dLbl>
              <c:idx val="15"/>
              <c:tx>
                <c:strRef>
                  <c:f>_ThinQQ!$AM$437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{71F0ECDE-3379-43E6-99C4-BC635CC67068}</c15:txfldGUID>
                      <c15:f>_ThinQQ!$AM$437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036-4A34-BB81-FD50959D43E6}"/>
                </c:ext>
              </c:extLst>
            </c:dLbl>
            <c:dLbl>
              <c:idx val="16"/>
              <c:tx>
                <c:strRef>
                  <c:f>_ThinQQ!$AM$438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{980F2D6C-1B23-4DDF-82C7-9C17232BB066}</c15:txfldGUID>
                      <c15:f>_ThinQQ!$AM$438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036-4A34-BB81-FD50959D43E6}"/>
                </c:ext>
              </c:extLst>
            </c:dLbl>
            <c:dLbl>
              <c:idx val="17"/>
              <c:tx>
                <c:strRef>
                  <c:f>_ThinQQ!$AM$439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{6A86E432-E4D0-48CE-98BE-EFAA01D08793}</c15:txfldGUID>
                      <c15:f>_ThinQQ!$AM$439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036-4A34-BB81-FD50959D43E6}"/>
                </c:ext>
              </c:extLst>
            </c:dLbl>
            <c:dLbl>
              <c:idx val="18"/>
              <c:tx>
                <c:strRef>
                  <c:f>_ThinQQ!$AM$440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{8C134767-55A1-4F06-9718-6BA0FA3C5361}</c15:txfldGUID>
                      <c15:f>_ThinQQ!$AM$440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F036-4A34-BB81-FD50959D43E6}"/>
                </c:ext>
              </c:extLst>
            </c:dLbl>
            <c:dLbl>
              <c:idx val="19"/>
              <c:tx>
                <c:strRef>
                  <c:f>_ThinQQ!$AM$441</c:f>
                  <c:strCache>
                    <c:ptCount val="1"/>
                  </c:strCache>
                </c:strRef>
              </c:tx>
              <c:numFmt formatCode="#,##0.0;\-#,##0.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{5E72287E-33C8-4462-B662-C4CB8304C24C}</c15:txfldGUID>
                      <c15:f>_ThinQQ!$AM$441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F036-4A34-BB81-FD50959D43E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_ThinQQ!$AL$422:$AL$441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14.05</c:v>
                </c:pt>
                <c:pt idx="5">
                  <c:v>#N/A</c:v>
                </c:pt>
                <c:pt idx="6">
                  <c:v>#N/A</c:v>
                </c:pt>
                <c:pt idx="7">
                  <c:v>4.8000000000000016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2.3500000000000014</c:v>
                </c:pt>
                <c:pt idx="14">
                  <c:v>#N/A</c:v>
                </c:pt>
                <c:pt idx="15">
                  <c:v>#N/A</c:v>
                </c:pt>
                <c:pt idx="16">
                  <c:v>1.7500000000000013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036-4A34-BB81-FD50959D43E6}"/>
            </c:ext>
          </c:extLst>
        </c:ser>
        <c:ser>
          <c:idx val="9"/>
          <c:order val="9"/>
          <c:tx>
            <c:v>tqq_lbltot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_ThinQQ!$AO$422</c:f>
                  <c:strCache>
                    <c:ptCount val="1"/>
                    <c:pt idx="0">
                      <c:v>26,2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{810F470F-27DD-4666-801D-F09D094E7D7B}</c15:txfldGUID>
                      <c15:f>_ThinQQ!$AO$422</c15:f>
                      <c15:dlblFieldTableCache>
                        <c:ptCount val="1"/>
                        <c:pt idx="0">
                          <c:v>26,2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F036-4A34-BB81-FD50959D43E6}"/>
                </c:ext>
              </c:extLst>
            </c:dLbl>
            <c:dLbl>
              <c:idx val="1"/>
              <c:tx>
                <c:strRef>
                  <c:f>_ThinQQ!$AO$423</c:f>
                  <c:strCache>
                    <c:ptCount val="1"/>
                    <c:pt idx="0">
                      <c:v>21,1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{55D1D65C-B227-46A6-B838-98A5571D7B6D}</c15:txfldGUID>
                      <c15:f>_ThinQQ!$AO$423</c15:f>
                      <c15:dlblFieldTableCache>
                        <c:ptCount val="1"/>
                        <c:pt idx="0">
                          <c:v>21,1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F036-4A34-BB81-FD50959D43E6}"/>
                </c:ext>
              </c:extLst>
            </c:dLbl>
            <c:dLbl>
              <c:idx val="2"/>
              <c:tx>
                <c:strRef>
                  <c:f>_ThinQQ!$AO$424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{EAAF78F4-382C-467F-80A3-EC1977EC9DBE}</c15:txfldGUID>
                      <c15:f>_ThinQQ!$AO$424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F036-4A34-BB81-FD50959D43E6}"/>
                </c:ext>
              </c:extLst>
            </c:dLbl>
            <c:dLbl>
              <c:idx val="3"/>
              <c:tx>
                <c:strRef>
                  <c:f>_ThinQQ!$AO$425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{E7AD9447-22FA-48A1-B90A-C087450FF819}</c15:txfldGUID>
                      <c15:f>_ThinQQ!$AO$425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F036-4A34-BB81-FD50959D43E6}"/>
                </c:ext>
              </c:extLst>
            </c:dLbl>
            <c:dLbl>
              <c:idx val="4"/>
              <c:tx>
                <c:strRef>
                  <c:f>_ThinQQ!$AO$426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{ECCB8331-7485-4DA1-A523-9D2756B7727D}</c15:txfldGUID>
                      <c15:f>_ThinQQ!$AO$426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F036-4A34-BB81-FD50959D43E6}"/>
                </c:ext>
              </c:extLst>
            </c:dLbl>
            <c:dLbl>
              <c:idx val="5"/>
              <c:tx>
                <c:strRef>
                  <c:f>_ThinQQ!$AO$427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{26ED5D56-CD4D-4AB1-AD96-AC090A45938B}</c15:txfldGUID>
                      <c15:f>_ThinQQ!$AO$427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F036-4A34-BB81-FD50959D43E6}"/>
                </c:ext>
              </c:extLst>
            </c:dLbl>
            <c:dLbl>
              <c:idx val="6"/>
              <c:tx>
                <c:strRef>
                  <c:f>_ThinQQ!$AO$428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{4D72EC50-BCA0-4EDF-BFA8-C5A2FB80C337}</c15:txfldGUID>
                      <c15:f>_ThinQQ!$AO$428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F036-4A34-BB81-FD50959D43E6}"/>
                </c:ext>
              </c:extLst>
            </c:dLbl>
            <c:dLbl>
              <c:idx val="7"/>
              <c:tx>
                <c:strRef>
                  <c:f>_ThinQQ!$AO$429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{8A9BEA5D-49DE-4CAD-A5FB-F35B9D071473}</c15:txfldGUID>
                      <c15:f>_ThinQQ!$AO$429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F036-4A34-BB81-FD50959D43E6}"/>
                </c:ext>
              </c:extLst>
            </c:dLbl>
            <c:dLbl>
              <c:idx val="8"/>
              <c:tx>
                <c:strRef>
                  <c:f>_ThinQQ!$AO$430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{24F66B95-1740-45DF-B7A3-5ACDBC21B46F}</c15:txfldGUID>
                      <c15:f>_ThinQQ!$AO$430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F036-4A34-BB81-FD50959D43E6}"/>
                </c:ext>
              </c:extLst>
            </c:dLbl>
            <c:dLbl>
              <c:idx val="9"/>
              <c:tx>
                <c:strRef>
                  <c:f>_ThinQQ!$AO$431</c:f>
                  <c:strCache>
                    <c:ptCount val="1"/>
                    <c:pt idx="0">
                      <c:v>2,7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{F8EAE002-8B7A-483B-9937-7B4FCEDBB934}</c15:txfldGUID>
                      <c15:f>_ThinQQ!$AO$431</c15:f>
                      <c15:dlblFieldTableCache>
                        <c:ptCount val="1"/>
                        <c:pt idx="0">
                          <c:v>2,7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F036-4A34-BB81-FD50959D43E6}"/>
                </c:ext>
              </c:extLst>
            </c:dLbl>
            <c:dLbl>
              <c:idx val="10"/>
              <c:tx>
                <c:strRef>
                  <c:f>_ThinQQ!$AO$432</c:f>
                  <c:strCache>
                    <c:ptCount val="1"/>
                    <c:pt idx="0">
                      <c:v>2,6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{5AABE4B8-B0EC-43D0-AF3D-C1F2C5EEDB56}</c15:txfldGUID>
                      <c15:f>_ThinQQ!$AO$432</c15:f>
                      <c15:dlblFieldTableCache>
                        <c:ptCount val="1"/>
                        <c:pt idx="0">
                          <c:v>2,6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F036-4A34-BB81-FD50959D43E6}"/>
                </c:ext>
              </c:extLst>
            </c:dLbl>
            <c:dLbl>
              <c:idx val="11"/>
              <c:tx>
                <c:strRef>
                  <c:f>_ThinQQ!$AO$433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{3950504B-945A-4BB4-A11A-8AA0A1AC7A34}</c15:txfldGUID>
                      <c15:f>_ThinQQ!$AO$433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F036-4A34-BB81-FD50959D43E6}"/>
                </c:ext>
              </c:extLst>
            </c:dLbl>
            <c:dLbl>
              <c:idx val="12"/>
              <c:tx>
                <c:strRef>
                  <c:f>_ThinQQ!$AO$434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{835A3F78-CD86-4F17-9BAE-D68B9B991709}</c15:txfldGUID>
                      <c15:f>_ThinQQ!$AO$434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F036-4A34-BB81-FD50959D43E6}"/>
                </c:ext>
              </c:extLst>
            </c:dLbl>
            <c:dLbl>
              <c:idx val="13"/>
              <c:tx>
                <c:strRef>
                  <c:f>_ThinQQ!$AO$435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{7ECD6739-1F89-4DB0-9B9F-06030AF33195}</c15:txfldGUID>
                      <c15:f>_ThinQQ!$AO$435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F036-4A34-BB81-FD50959D43E6}"/>
                </c:ext>
              </c:extLst>
            </c:dLbl>
            <c:dLbl>
              <c:idx val="14"/>
              <c:tx>
                <c:strRef>
                  <c:f>_ThinQQ!$AO$436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{3FF2C210-6458-41A6-9F28-4E9FF770DA15}</c15:txfldGUID>
                      <c15:f>_ThinQQ!$AO$436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F036-4A34-BB81-FD50959D43E6}"/>
                </c:ext>
              </c:extLst>
            </c:dLbl>
            <c:dLbl>
              <c:idx val="15"/>
              <c:tx>
                <c:strRef>
                  <c:f>_ThinQQ!$AO$437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{A0AF9750-BEC3-4368-A701-0358D19009AA}</c15:txfldGUID>
                      <c15:f>_ThinQQ!$AO$437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F036-4A34-BB81-FD50959D43E6}"/>
                </c:ext>
              </c:extLst>
            </c:dLbl>
            <c:dLbl>
              <c:idx val="16"/>
              <c:tx>
                <c:strRef>
                  <c:f>_ThinQQ!$AO$438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{2B808494-C4B6-465A-B274-203D47D60D2F}</c15:txfldGUID>
                      <c15:f>_ThinQQ!$AO$438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F036-4A34-BB81-FD50959D43E6}"/>
                </c:ext>
              </c:extLst>
            </c:dLbl>
            <c:dLbl>
              <c:idx val="17"/>
              <c:tx>
                <c:strRef>
                  <c:f>_ThinQQ!$AO$439</c:f>
                  <c:strCache>
                    <c:ptCount val="1"/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{C2770257-FF83-4E43-9200-1E792ED6C175}</c15:txfldGUID>
                      <c15:f>_ThinQQ!$AO$439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F036-4A34-BB81-FD50959D43E6}"/>
                </c:ext>
              </c:extLst>
            </c:dLbl>
            <c:dLbl>
              <c:idx val="18"/>
              <c:tx>
                <c:strRef>
                  <c:f>_ThinQQ!$AO$440</c:f>
                  <c:strCache>
                    <c:ptCount val="1"/>
                    <c:pt idx="0">
                      <c:v>1,3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{5AD0664A-0A70-48FC-B030-B29F18D0C0FF}</c15:txfldGUID>
                      <c15:f>_ThinQQ!$AO$440</c15:f>
                      <c15:dlblFieldTableCache>
                        <c:ptCount val="1"/>
                        <c:pt idx="0">
                          <c:v>1,3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F036-4A34-BB81-FD50959D43E6}"/>
                </c:ext>
              </c:extLst>
            </c:dLbl>
            <c:dLbl>
              <c:idx val="19"/>
              <c:tx>
                <c:strRef>
                  <c:f>_ThinQQ!$AO$441</c:f>
                  <c:strCache>
                    <c:ptCount val="1"/>
                    <c:pt idx="0">
                      <c:v>1,4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{F5864CBB-8BE5-4B9A-AB78-C05B53EBE0F7}</c15:txfldGUID>
                      <c15:f>_ThinQQ!$AO$441</c15:f>
                      <c15:dlblFieldTableCache>
                        <c:ptCount val="1"/>
                        <c:pt idx="0">
                          <c:v>1,4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F036-4A34-BB81-FD50959D43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_ThinQQ!$AN$422:$AN$441</c:f>
              <c:numCache>
                <c:formatCode>General</c:formatCode>
                <c:ptCount val="20"/>
                <c:pt idx="0">
                  <c:v>26.2</c:v>
                </c:pt>
                <c:pt idx="1">
                  <c:v>21.1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2.6999999999999993</c:v>
                </c:pt>
                <c:pt idx="10">
                  <c:v>2.6000000000000014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1.2999999999999994</c:v>
                </c:pt>
                <c:pt idx="19">
                  <c:v>1.4000000000000015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F036-4A34-BB81-FD50959D4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226352"/>
        <c:axId val="559226712"/>
      </c:lineChart>
      <c:scatterChart>
        <c:scatterStyle val="lineMarker"/>
        <c:varyColors val="0"/>
        <c:ser>
          <c:idx val="5"/>
          <c:order val="5"/>
          <c:tx>
            <c:v>tqq_zero</c:v>
          </c:tx>
          <c:spPr>
            <a:ln w="952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_ThinQQ!$BE$422:$BE$423</c:f>
              <c:numCache>
                <c:formatCode>General</c:formatCode>
                <c:ptCount val="2"/>
                <c:pt idx="0">
                  <c:v>0.5</c:v>
                </c:pt>
                <c:pt idx="1">
                  <c:v>20.5</c:v>
                </c:pt>
              </c:numCache>
            </c:numRef>
          </c:xVal>
          <c:yVal>
            <c:numRef>
              <c:f>_ThinQQ!$BF$422:$BF$423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036-4A34-BB81-FD50959D43E6}"/>
            </c:ext>
          </c:extLst>
        </c:ser>
        <c:ser>
          <c:idx val="6"/>
          <c:order val="6"/>
          <c:tx>
            <c:v>tqq_names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_ThinQQ!$BD$422</c:f>
                  <c:strCache>
                    <c:ptCount val="1"/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{A5B59782-9160-4BAE-9F69-416BC9588114}</c15:txfldGUID>
                      <c15:f>_ThinQQ!$BD$422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036-4A34-BB81-FD50959D43E6}"/>
                </c:ext>
              </c:extLst>
            </c:dLbl>
            <c:dLbl>
              <c:idx val="1"/>
              <c:tx>
                <c:strRef>
                  <c:f>_ThinQQ!$BD$423</c:f>
                  <c:strCache>
                    <c:ptCount val="1"/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rot="-5400000" vert="horz"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{B229B04E-1202-44D7-BF44-7987FB7FB27E}</c15:txfldGUID>
                      <c15:f>_ThinQQ!$BD$423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036-4A34-BB81-FD50959D43E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_ThinQQ!$BB$422:$BB$423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xVal>
          <c:yVal>
            <c:numRef>
              <c:f>_ThinQQ!$BC$422:$BC$423</c:f>
              <c:numCache>
                <c:formatCode>General</c:formatCode>
                <c:ptCount val="2"/>
                <c:pt idx="0">
                  <c:v>13.1</c:v>
                </c:pt>
                <c:pt idx="1">
                  <c:v>10.55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036-4A34-BB81-FD50959D43E6}"/>
            </c:ext>
          </c:extLst>
        </c:ser>
        <c:ser>
          <c:idx val="10"/>
          <c:order val="10"/>
          <c:tx>
            <c:v>tqq_conn_a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_ThinQQ!$AT$422:$AT$427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_ThinQQ!$AR$422:$AR$427</c:f>
              <c:numCache>
                <c:formatCode>General</c:formatCode>
                <c:ptCount val="6"/>
                <c:pt idx="0">
                  <c:v>1.3846153846153846</c:v>
                </c:pt>
                <c:pt idx="1">
                  <c:v>4.384615384615385</c:v>
                </c:pt>
                <c:pt idx="2">
                  <c:v>7.384615384615385</c:v>
                </c:pt>
                <c:pt idx="3">
                  <c:v>10.384615384615385</c:v>
                </c:pt>
                <c:pt idx="4">
                  <c:v>13.384615384615385</c:v>
                </c:pt>
                <c:pt idx="5">
                  <c:v>16.384615384615383</c:v>
                </c:pt>
              </c:numCache>
            </c:numRef>
          </c:xVal>
          <c:yVal>
            <c:numRef>
              <c:f>_ThinQQ!$AS$422:$AS$427</c:f>
              <c:numCache>
                <c:formatCode>General</c:formatCode>
                <c:ptCount val="6"/>
                <c:pt idx="0">
                  <c:v>26.2</c:v>
                </c:pt>
                <c:pt idx="1">
                  <c:v>8.1999999999999993</c:v>
                </c:pt>
                <c:pt idx="2">
                  <c:v>2.6999999999999993</c:v>
                </c:pt>
                <c:pt idx="3">
                  <c:v>2.6999999999999993</c:v>
                </c:pt>
                <c:pt idx="4">
                  <c:v>1.9999999999999993</c:v>
                </c:pt>
                <c:pt idx="5">
                  <c:v>1.2999999999999994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F036-4A34-BB81-FD50959D43E6}"/>
            </c:ext>
          </c:extLst>
        </c:ser>
        <c:ser>
          <c:idx val="11"/>
          <c:order val="11"/>
          <c:tx>
            <c:v>tqq_conn_b</c:v>
          </c:tx>
          <c:spPr>
            <a:ln w="19050">
              <a:noFill/>
            </a:ln>
          </c:spPr>
          <c:marker>
            <c:symbol val="none"/>
          </c:marker>
          <c:errBars>
            <c:errDir val="x"/>
            <c:errBarType val="plus"/>
            <c:errValType val="cust"/>
            <c:noEndCap val="1"/>
            <c:plus>
              <c:numRef>
                <c:f>_ThinQQ!$AT$422:$AT$427</c:f>
                <c:numCache>
                  <c:formatCode>General</c:formatCode>
                  <c:ptCount val="6"/>
                  <c:pt idx="0">
                    <c:v>2.2307692307692308</c:v>
                  </c:pt>
                  <c:pt idx="1">
                    <c:v>2.2307692307692308</c:v>
                  </c:pt>
                  <c:pt idx="2">
                    <c:v>2.2307692307692308</c:v>
                  </c:pt>
                  <c:pt idx="3">
                    <c:v>2.2307692307692308</c:v>
                  </c:pt>
                  <c:pt idx="4">
                    <c:v>2.2307692307692308</c:v>
                  </c:pt>
                  <c:pt idx="5">
                    <c:v>2.2307692307692308</c:v>
                  </c:pt>
                </c:numCache>
              </c:numRef>
            </c:plus>
            <c:spPr>
              <a:ln w="9525">
                <a:solidFill>
                  <a:srgbClr val="737373"/>
                </a:solidFill>
                <a:prstDash val="dash"/>
              </a:ln>
            </c:spPr>
          </c:errBars>
          <c:xVal>
            <c:numRef>
              <c:f>_ThinQQ!$AU$422:$AU$427</c:f>
              <c:numCache>
                <c:formatCode>General</c:formatCode>
                <c:ptCount val="6"/>
                <c:pt idx="0">
                  <c:v>2.3846153846153846</c:v>
                </c:pt>
                <c:pt idx="1">
                  <c:v>5.384615384615385</c:v>
                </c:pt>
                <c:pt idx="2">
                  <c:v>8.384615384615385</c:v>
                </c:pt>
                <c:pt idx="3">
                  <c:v>11.384615384615385</c:v>
                </c:pt>
                <c:pt idx="4">
                  <c:v>14.384615384615385</c:v>
                </c:pt>
                <c:pt idx="5">
                  <c:v>17.384615384615383</c:v>
                </c:pt>
              </c:numCache>
            </c:numRef>
          </c:xVal>
          <c:yVal>
            <c:numRef>
              <c:f>_ThinQQ!$AV$422:$AV$427</c:f>
              <c:numCache>
                <c:formatCode>General</c:formatCode>
                <c:ptCount val="6"/>
                <c:pt idx="0">
                  <c:v>21.1</c:v>
                </c:pt>
                <c:pt idx="1">
                  <c:v>7.0000000000000018</c:v>
                </c:pt>
                <c:pt idx="2">
                  <c:v>2.6000000000000014</c:v>
                </c:pt>
                <c:pt idx="3">
                  <c:v>2.6000000000000014</c:v>
                </c:pt>
                <c:pt idx="4">
                  <c:v>2.1000000000000014</c:v>
                </c:pt>
                <c:pt idx="5">
                  <c:v>1.4000000000000015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F036-4A34-BB81-FD50959D43E6}"/>
            </c:ext>
          </c:extLst>
        </c:ser>
        <c:ser>
          <c:idx val="12"/>
          <c:order val="12"/>
          <c:tx>
            <c:v>tqq_pd</c:v>
          </c:tx>
          <c:spPr>
            <a:ln w="12700">
              <a:solidFill>
                <a:srgbClr val="595959"/>
              </a:solidFill>
              <a:tailEnd type="triangle" w="sm" len="sm"/>
            </a:ln>
          </c:spPr>
          <c:marker>
            <c:symbol val="none"/>
          </c:marker>
          <c:dLbls>
            <c:dLbl>
              <c:idx val="2"/>
              <c:tx>
                <c:strRef>
                  <c:f>_ThinQQ!$AY$424</c:f>
                  <c:strCache>
                    <c:ptCount val="1"/>
                    <c:pt idx="0">
                      <c:v>-5,1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{6DDBF4BE-A902-4890-A5F6-F9F3FDF3D04B}</c15:txfldGUID>
                      <c15:f>_ThinQQ!$AY$424</c15:f>
                      <c15:dlblFieldTableCache>
                        <c:ptCount val="1"/>
                        <c:pt idx="0">
                          <c:v>-5,1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F036-4A34-BB81-FD50959D43E6}"/>
                </c:ext>
              </c:extLst>
            </c:dLbl>
            <c:dLbl>
              <c:idx val="8"/>
              <c:tx>
                <c:strRef>
                  <c:f>_ThinQQ!$AY$430</c:f>
                  <c:strCache>
                    <c:ptCount val="1"/>
                    <c:pt idx="0">
                      <c:v>+3,9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{C9CAF920-7F8E-47CD-BE5C-D92FC68640D0}</c15:txfldGUID>
                      <c15:f>_ThinQQ!$AY$430</c15:f>
                      <c15:dlblFieldTableCache>
                        <c:ptCount val="1"/>
                        <c:pt idx="0">
                          <c:v>+3,9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F036-4A34-BB81-FD50959D43E6}"/>
                </c:ext>
              </c:extLst>
            </c:dLbl>
            <c:dLbl>
              <c:idx val="14"/>
              <c:tx>
                <c:strRef>
                  <c:f>_ThinQQ!$AY$436</c:f>
                  <c:strCache>
                    <c:ptCount val="1"/>
                    <c:pt idx="0">
                      <c:v>+1,1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{AFF48DC7-C437-4B4D-BBAC-8DE032EFF8FA}</c15:txfldGUID>
                      <c15:f>_ThinQQ!$AY$436</c15:f>
                      <c15:dlblFieldTableCache>
                        <c:ptCount val="1"/>
                        <c:pt idx="0">
                          <c:v>+1,1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F036-4A34-BB81-FD50959D43E6}"/>
                </c:ext>
              </c:extLst>
            </c:dLbl>
            <c:dLbl>
              <c:idx val="20"/>
              <c:tx>
                <c:strRef>
                  <c:f>_ThinQQ!$AY$442</c:f>
                  <c:strCache>
                    <c:ptCount val="1"/>
                    <c:pt idx="0">
                      <c:v>-0,1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{827DCB67-6479-4003-A0D6-E6F9A9F12C6A}</c15:txfldGUID>
                      <c15:f>_ThinQQ!$AY$442</c15:f>
                      <c15:dlblFieldTableCache>
                        <c:ptCount val="1"/>
                        <c:pt idx="0">
                          <c:v>-0,1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F036-4A34-BB81-FD50959D43E6}"/>
                </c:ext>
              </c:extLst>
            </c:dLbl>
            <c:dLbl>
              <c:idx val="26"/>
              <c:tx>
                <c:strRef>
                  <c:f>_ThinQQ!$AY$448</c:f>
                  <c:strCache>
                    <c:ptCount val="1"/>
                    <c:pt idx="0">
                      <c:v>+0,2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{0A2B7E95-ACBC-4B4E-83B6-A7DD958A69D9}</c15:txfldGUID>
                      <c15:f>_ThinQQ!$AY$448</c15:f>
                      <c15:dlblFieldTableCache>
                        <c:ptCount val="1"/>
                        <c:pt idx="0">
                          <c:v>+0,2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F036-4A34-BB81-FD50959D43E6}"/>
                </c:ext>
              </c:extLst>
            </c:dLbl>
            <c:dLbl>
              <c:idx val="32"/>
              <c:tx>
                <c:strRef>
                  <c:f>_ThinQQ!$AY$454</c:f>
                  <c:strCache>
                    <c:ptCount val="1"/>
                    <c:pt idx="0">
                      <c:v>0,0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{E2C1E5C5-4E2E-4F7C-BC15-6AF521E1FED1}</c15:txfldGUID>
                      <c15:f>_ThinQQ!$AY$454</c15:f>
                      <c15:dlblFieldTableCache>
                        <c:ptCount val="1"/>
                        <c:pt idx="0">
                          <c:v>0,0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F036-4A34-BB81-FD50959D43E6}"/>
                </c:ext>
              </c:extLst>
            </c:dLbl>
            <c:dLbl>
              <c:idx val="38"/>
              <c:tx>
                <c:strRef>
                  <c:f>_ThinQQ!$AY$460</c:f>
                  <c:strCache>
                    <c:ptCount val="1"/>
                    <c:pt idx="0">
                      <c:v>+0,1</c:v>
                    </c:pt>
                  </c:strCache>
                </c:strRef>
              </c:tx>
              <c:spPr>
                <a:solidFill>
                  <a:srgbClr val="FFFFFF"/>
                </a:solidFill>
                <a:ln w="9525">
                  <a:solidFill>
                    <a:srgbClr val="A6A6A6"/>
                  </a:solidFill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ellipse">
                      <a:avLst/>
                    </a:prstGeom>
                  </c15:spPr>
                  <c15:dlblFieldTable>
                    <c15:dlblFTEntry>
                      <c15:txfldGUID>{4C096E26-E01A-45D1-A7A3-DDE1FEEB10FE}</c15:txfldGUID>
                      <c15:f>_ThinQQ!$AY$460</c15:f>
                      <c15:dlblFieldTableCache>
                        <c:ptCount val="1"/>
                        <c:pt idx="0">
                          <c:v>+0,1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F036-4A34-BB81-FD50959D43E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_ThinQQ!$AW$422:$AW$462</c:f>
              <c:numCache>
                <c:formatCode>General</c:formatCode>
                <c:ptCount val="4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</c:v>
                </c:pt>
                <c:pt idx="12">
                  <c:v>7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</c:v>
                </c:pt>
                <c:pt idx="18">
                  <c:v>10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</c:v>
                </c:pt>
              </c:numCache>
            </c:numRef>
          </c:xVal>
          <c:yVal>
            <c:numRef>
              <c:f>_ThinQQ!$AX$422:$AX$462</c:f>
              <c:numCache>
                <c:formatCode>General</c:formatCode>
                <c:ptCount val="41"/>
                <c:pt idx="0">
                  <c:v>28.968604774944339</c:v>
                </c:pt>
                <c:pt idx="1">
                  <c:v>30.478752834004887</c:v>
                </c:pt>
                <c:pt idx="2">
                  <c:v>30.478752834004887</c:v>
                </c:pt>
                <c:pt idx="3">
                  <c:v>30.478752834004887</c:v>
                </c:pt>
                <c:pt idx="4">
                  <c:v>23.868604774944341</c:v>
                </c:pt>
                <c:pt idx="6">
                  <c:v>26.577537014765138</c:v>
                </c:pt>
                <c:pt idx="7">
                  <c:v>28.087685073825686</c:v>
                </c:pt>
                <c:pt idx="8">
                  <c:v>28.087685073825686</c:v>
                </c:pt>
                <c:pt idx="9">
                  <c:v>28.087685073825686</c:v>
                </c:pt>
                <c:pt idx="10">
                  <c:v>21.47753701476514</c:v>
                </c:pt>
                <c:pt idx="12">
                  <c:v>8.5775370147651362</c:v>
                </c:pt>
                <c:pt idx="13">
                  <c:v>10.087685073825686</c:v>
                </c:pt>
                <c:pt idx="14">
                  <c:v>10.087685073825686</c:v>
                </c:pt>
                <c:pt idx="15">
                  <c:v>10.087685073825686</c:v>
                </c:pt>
                <c:pt idx="16">
                  <c:v>7.3775370147651387</c:v>
                </c:pt>
                <c:pt idx="18">
                  <c:v>5.4686047749443381</c:v>
                </c:pt>
                <c:pt idx="19">
                  <c:v>6.9787528340048866</c:v>
                </c:pt>
                <c:pt idx="20">
                  <c:v>6.9787528340048866</c:v>
                </c:pt>
                <c:pt idx="21">
                  <c:v>6.9787528340048866</c:v>
                </c:pt>
                <c:pt idx="22">
                  <c:v>5.3686047749443402</c:v>
                </c:pt>
                <c:pt idx="24">
                  <c:v>3.0775370147651362</c:v>
                </c:pt>
                <c:pt idx="25">
                  <c:v>4.5876850738256847</c:v>
                </c:pt>
                <c:pt idx="26">
                  <c:v>4.5876850738256847</c:v>
                </c:pt>
                <c:pt idx="27">
                  <c:v>4.5876850738256847</c:v>
                </c:pt>
                <c:pt idx="28">
                  <c:v>2.9775370147651383</c:v>
                </c:pt>
                <c:pt idx="30">
                  <c:v>2.3775370147651365</c:v>
                </c:pt>
                <c:pt idx="31">
                  <c:v>3.9876850738256868</c:v>
                </c:pt>
                <c:pt idx="32">
                  <c:v>3.9876850738256868</c:v>
                </c:pt>
                <c:pt idx="33">
                  <c:v>3.9876850738256868</c:v>
                </c:pt>
                <c:pt idx="34">
                  <c:v>2.4775370147651383</c:v>
                </c:pt>
                <c:pt idx="36">
                  <c:v>4.0686047749443386</c:v>
                </c:pt>
                <c:pt idx="37">
                  <c:v>5.6787528340048885</c:v>
                </c:pt>
                <c:pt idx="38">
                  <c:v>5.6787528340048885</c:v>
                </c:pt>
                <c:pt idx="39">
                  <c:v>5.6787528340048885</c:v>
                </c:pt>
                <c:pt idx="40">
                  <c:v>4.16860477494434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F036-4A34-BB81-FD50959D43E6}"/>
            </c:ext>
          </c:extLst>
        </c:ser>
        <c:ser>
          <c:idx val="13"/>
          <c:order val="13"/>
          <c:tx>
            <c:v>tqq_pdroom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_ThinQQ!$AZ$422:$AZ$428</c:f>
              <c:numCache>
                <c:formatCode>General</c:formatCode>
                <c:ptCount val="7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</c:numCache>
            </c:numRef>
          </c:xVal>
          <c:yVal>
            <c:numRef>
              <c:f>_ThinQQ!$BA$422:$BA$428</c:f>
              <c:numCache>
                <c:formatCode>General</c:formatCode>
                <c:ptCount val="7"/>
                <c:pt idx="0">
                  <c:v>31.988900893065434</c:v>
                </c:pt>
                <c:pt idx="1">
                  <c:v>29.597833132886233</c:v>
                </c:pt>
                <c:pt idx="2">
                  <c:v>11.597833132886233</c:v>
                </c:pt>
                <c:pt idx="3">
                  <c:v>8.4889008930654342</c:v>
                </c:pt>
                <c:pt idx="4">
                  <c:v>6.0978331328862332</c:v>
                </c:pt>
                <c:pt idx="5">
                  <c:v>5.4978331328862353</c:v>
                </c:pt>
                <c:pt idx="6">
                  <c:v>7.188900893065437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F036-4A34-BB81-FD50959D4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226352"/>
        <c:axId val="559226712"/>
      </c:scatterChart>
      <c:catAx>
        <c:axId val="55922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 rot="0" vert="horz"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59226712"/>
        <c:crosses val="autoZero"/>
        <c:auto val="0"/>
        <c:lblAlgn val="ctr"/>
        <c:lblOffset val="100"/>
        <c:noMultiLvlLbl val="0"/>
      </c:catAx>
      <c:valAx>
        <c:axId val="559226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592263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l7xktj">
          <a:extLst>
            <a:ext uri="{FF2B5EF4-FFF2-40B4-BE49-F238E27FC236}">
              <a16:creationId xmlns:a16="http://schemas.microsoft.com/office/drawing/2014/main" id="{B2B7619D-179D-ED36-0EC6-0B3D395AF7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12anja">
          <a:extLst>
            <a:ext uri="{FF2B5EF4-FFF2-40B4-BE49-F238E27FC236}">
              <a16:creationId xmlns:a16="http://schemas.microsoft.com/office/drawing/2014/main" id="{B36D7CEC-A096-D1BB-9941-4BC7E578A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lz5z5j">
          <a:extLst>
            <a:ext uri="{FF2B5EF4-FFF2-40B4-BE49-F238E27FC236}">
              <a16:creationId xmlns:a16="http://schemas.microsoft.com/office/drawing/2014/main" id="{59A0853F-3AD6-877E-9D54-E037B78EC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F714AB91-40A1-89CD-B17B-37FB4AAE00D4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039CC5CB-0266-0269-92A8-E759DB132DA4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t3omul">
          <a:extLst>
            <a:ext uri="{FF2B5EF4-FFF2-40B4-BE49-F238E27FC236}">
              <a16:creationId xmlns:a16="http://schemas.microsoft.com/office/drawing/2014/main" id="{D0592990-3FCE-EC0C-566A-605111D79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tk4h41">
          <a:extLst>
            <a:ext uri="{FF2B5EF4-FFF2-40B4-BE49-F238E27FC236}">
              <a16:creationId xmlns:a16="http://schemas.microsoft.com/office/drawing/2014/main" id="{2B39014C-1E9F-3122-9281-706C496CA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0.11701</cdr:x>
      <cdr:y>0.09763</cdr:y>
    </cdr:from>
    <cdr:to>
      <cdr:x>0.15595</cdr:x>
      <cdr:y>0.09763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E7C64CB1-CC52-B5A1-6734-BE1214C03237}"/>
            </a:ext>
          </a:extLst>
        </cdr:cNvPr>
        <cdr:cNvCxnSpPr/>
      </cdr:nvCxnSpPr>
      <cdr:spPr>
        <a:xfrm xmlns:a="http://schemas.openxmlformats.org/drawingml/2006/main">
          <a:off x="832153" y="371958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0.23384</cdr:x>
      <cdr:y>0.62069</cdr:y>
    </cdr:from>
    <cdr:to>
      <cdr:x>0.27279</cdr:x>
      <cdr:y>0.62069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C5A72481-D3F9-F985-7656-2287D806455F}"/>
            </a:ext>
          </a:extLst>
        </cdr:cNvPr>
        <cdr:cNvCxnSpPr/>
      </cdr:nvCxnSpPr>
      <cdr:spPr>
        <a:xfrm xmlns:a="http://schemas.openxmlformats.org/drawingml/2006/main">
          <a:off x="1663096" y="2364839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0.35068</cdr:x>
      <cdr:y>0.78206</cdr:y>
    </cdr:from>
    <cdr:to>
      <cdr:x>0.38963</cdr:x>
      <cdr:y>0.78206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1203DCC8-0550-CB1E-2A51-2BCF4783FF65}"/>
            </a:ext>
          </a:extLst>
        </cdr:cNvPr>
        <cdr:cNvCxnSpPr/>
      </cdr:nvCxnSpPr>
      <cdr:spPr>
        <a:xfrm xmlns:a="http://schemas.openxmlformats.org/drawingml/2006/main">
          <a:off x="2494039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0.46752</cdr:x>
      <cdr:y>0.78206</cdr:y>
    </cdr:from>
    <cdr:to>
      <cdr:x>0.50646</cdr:x>
      <cdr:y>0.78206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CB5C20EC-B76C-4015-EEDE-ABB6C6F4EE89}"/>
            </a:ext>
          </a:extLst>
        </cdr:cNvPr>
        <cdr:cNvCxnSpPr/>
      </cdr:nvCxnSpPr>
      <cdr:spPr>
        <a:xfrm xmlns:a="http://schemas.openxmlformats.org/drawingml/2006/main">
          <a:off x="3324982" y="2979657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0.58435</cdr:x>
      <cdr:y>0.80127</cdr:y>
    </cdr:from>
    <cdr:to>
      <cdr:x>0.6233</cdr:x>
      <cdr:y>0.80127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906641F7-51CF-E547-FC6B-C80CCEBE694A}"/>
            </a:ext>
          </a:extLst>
        </cdr:cNvPr>
        <cdr:cNvCxnSpPr/>
      </cdr:nvCxnSpPr>
      <cdr:spPr>
        <a:xfrm xmlns:a="http://schemas.openxmlformats.org/drawingml/2006/main">
          <a:off x="4155925" y="3052856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0.70119</cdr:x>
      <cdr:y>0.8233</cdr:y>
    </cdr:from>
    <cdr:to>
      <cdr:x>0.74014</cdr:x>
      <cdr:y>0.8233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D1F5486A-A7BB-028B-2F56-49DB29EA0C7E}"/>
            </a:ext>
          </a:extLst>
        </cdr:cNvPr>
        <cdr:cNvCxnSpPr/>
      </cdr:nvCxnSpPr>
      <cdr:spPr>
        <a:xfrm xmlns:a="http://schemas.openxmlformats.org/drawingml/2006/main">
          <a:off x="4986868" y="3136775"/>
          <a:ext cx="276981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0.83588</cdr:x>
      <cdr:y>0.09763</cdr:y>
    </cdr:from>
    <cdr:to>
      <cdr:x>0.83588</cdr:x>
      <cdr:y>0.8233</cdr:y>
    </cdr:to>
    <cdr:cxnSp macro="">
      <cdr:nvCxnSpPr>
        <cdr:cNvPr id="8" name="tqq_ann_diff_1" descr="kind=diff;from=1;to=7">
          <a:extLst xmlns:a="http://schemas.openxmlformats.org/drawingml/2006/main">
            <a:ext uri="{FF2B5EF4-FFF2-40B4-BE49-F238E27FC236}">
              <a16:creationId xmlns:a16="http://schemas.microsoft.com/office/drawing/2014/main" id="{BA3AB90A-A236-EB3E-26FB-0FA4E60FBCED}"/>
            </a:ext>
          </a:extLst>
        </cdr:cNvPr>
        <cdr:cNvCxnSpPr/>
      </cdr:nvCxnSpPr>
      <cdr:spPr>
        <a:xfrm xmlns:a="http://schemas.openxmlformats.org/drawingml/2006/main">
          <a:off x="5944810" y="371958"/>
          <a:ext cx="0" cy="2764817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0.11701</cdr:x>
      <cdr:y>0.09763</cdr:y>
    </cdr:from>
    <cdr:to>
      <cdr:x>0.84303</cdr:x>
      <cdr:y>0.09763</cdr:y>
    </cdr:to>
    <cdr:cxnSp macro="">
      <cdr:nvCxnSpPr>
        <cdr:cNvPr id="9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5DC0B87B-66B0-9304-072E-720607AE4F92}"/>
            </a:ext>
          </a:extLst>
        </cdr:cNvPr>
        <cdr:cNvCxnSpPr/>
      </cdr:nvCxnSpPr>
      <cdr:spPr>
        <a:xfrm xmlns:a="http://schemas.openxmlformats.org/drawingml/2006/main">
          <a:off x="832152" y="371958"/>
          <a:ext cx="5163457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0.8466</cdr:x>
      <cdr:y>0.43861</cdr:y>
    </cdr:from>
    <cdr:to>
      <cdr:x>0.96308</cdr:x>
      <cdr:y>0.48232</cdr:y>
    </cdr:to>
    <cdr:sp macro="" textlink="">
      <cdr:nvSpPr>
        <cdr:cNvPr id="10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5001509D-1EC8-3ECF-4E8C-3F85C7DE6FF8}"/>
            </a:ext>
          </a:extLst>
        </cdr:cNvPr>
        <cdr:cNvSpPr txBox="1"/>
      </cdr:nvSpPr>
      <cdr:spPr>
        <a:xfrm xmlns:a="http://schemas.openxmlformats.org/drawingml/2006/main">
          <a:off x="6021010" y="1671107"/>
          <a:ext cx="828433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-122.493 (-94%)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v19bae">
          <a:extLst>
            <a:ext uri="{FF2B5EF4-FFF2-40B4-BE49-F238E27FC236}">
              <a16:creationId xmlns:a16="http://schemas.microsoft.com/office/drawing/2014/main" id="{009186B0-5FAD-AA25-AA7E-F0CDBBAEC0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516D6851-B687-0A4B-912A-D3D385FD0CD4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58A40A32-CB22-CE83-C9C5-D9421EF3C214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B76358C4-9AA2-C84D-643C-768CFD186DDB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iws8cm">
          <a:extLst>
            <a:ext uri="{FF2B5EF4-FFF2-40B4-BE49-F238E27FC236}">
              <a16:creationId xmlns:a16="http://schemas.microsoft.com/office/drawing/2014/main" id="{319A6FF8-1874-E265-D3C8-320623C51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7skge8">
          <a:extLst>
            <a:ext uri="{FF2B5EF4-FFF2-40B4-BE49-F238E27FC236}">
              <a16:creationId xmlns:a16="http://schemas.microsoft.com/office/drawing/2014/main" id="{6969EDBD-4C5E-CCB7-20F5-E9B73C9B6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BE682816-6256-9E64-914E-1043F791F4ED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521EFAAA-3D40-9059-8B0C-E41304AB0DFB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c770qy">
          <a:extLst>
            <a:ext uri="{FF2B5EF4-FFF2-40B4-BE49-F238E27FC236}">
              <a16:creationId xmlns:a16="http://schemas.microsoft.com/office/drawing/2014/main" id="{2027F26F-0E8A-E893-DF8F-BA6A8C534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8A0CFA7E-FD5F-8F92-8AD1-9C16756DA9CD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AB895701-1ABD-46F4-D2D3-C23C7697A42B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E4D3F330-8733-5104-ACC6-3D60E4A80019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6056BDE7-D6C7-FD82-4182-96CF8040F69D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FC6779A8-0DE7-E650-9767-04E6BA5FF2D7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3D4A4C57-5035-1C7D-7C96-2A598756736D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19</xdr:col>
      <xdr:colOff>355600</xdr:colOff>
      <xdr:row>25</xdr:row>
      <xdr:rowOff>0</xdr:rowOff>
    </xdr:to>
    <xdr:graphicFrame macro="">
      <xdr:nvGraphicFramePr>
        <xdr:cNvPr id="2" name="tqq_atf3pd">
          <a:extLst>
            <a:ext uri="{FF2B5EF4-FFF2-40B4-BE49-F238E27FC236}">
              <a16:creationId xmlns:a16="http://schemas.microsoft.com/office/drawing/2014/main" id="{1E4206F2-AE82-1D0C-FF4E-B1954736A9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jcay36">
          <a:extLst>
            <a:ext uri="{FF2B5EF4-FFF2-40B4-BE49-F238E27FC236}">
              <a16:creationId xmlns:a16="http://schemas.microsoft.com/office/drawing/2014/main" id="{D24ECDD0-E2E2-367D-6FAD-6A38F932A4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0FD36B21-B19F-BF53-0563-0843733E9488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667B5FDB-D7F8-B22D-527B-8D9BD0617B56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lo6jzd">
          <a:extLst>
            <a:ext uri="{FF2B5EF4-FFF2-40B4-BE49-F238E27FC236}">
              <a16:creationId xmlns:a16="http://schemas.microsoft.com/office/drawing/2014/main" id="{0F9E8F46-EB31-9D72-91CC-86EA9F9B8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tnumw4">
          <a:extLst>
            <a:ext uri="{FF2B5EF4-FFF2-40B4-BE49-F238E27FC236}">
              <a16:creationId xmlns:a16="http://schemas.microsoft.com/office/drawing/2014/main" id="{AF0E9126-05FE-10BD-B0E4-CA692C0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93B6BF2F-7649-9474-9663-4440749B756C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954215F0-8803-23CD-A445-72C358DD99E5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9xeiud">
          <a:extLst>
            <a:ext uri="{FF2B5EF4-FFF2-40B4-BE49-F238E27FC236}">
              <a16:creationId xmlns:a16="http://schemas.microsoft.com/office/drawing/2014/main" id="{124794C4-60EE-99F8-C3F7-A0A1CAF0E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rpr8l3">
          <a:extLst>
            <a:ext uri="{FF2B5EF4-FFF2-40B4-BE49-F238E27FC236}">
              <a16:creationId xmlns:a16="http://schemas.microsoft.com/office/drawing/2014/main" id="{C2E492D1-7B2A-5E0A-A063-F5E51B7AB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E59761E1-7B28-8E94-C8BC-E5324A80CD2F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B6D85328-4EAD-F278-B4CF-A0D1AFC9C4DD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A59220E7-2D4A-5E3A-F8EC-5B5AB9CCD340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BAF57E8D-D13A-BA95-149F-80EC6AB33F21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33shd3">
          <a:extLst>
            <a:ext uri="{FF2B5EF4-FFF2-40B4-BE49-F238E27FC236}">
              <a16:creationId xmlns:a16="http://schemas.microsoft.com/office/drawing/2014/main" id="{BFEBE1D9-A380-B7C5-B59E-376195AB4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hmidqq">
          <a:extLst>
            <a:ext uri="{FF2B5EF4-FFF2-40B4-BE49-F238E27FC236}">
              <a16:creationId xmlns:a16="http://schemas.microsoft.com/office/drawing/2014/main" id="{E0CDB7F1-8F35-FEE5-87FC-6A160DF9A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rz2j4r">
          <a:extLst>
            <a:ext uri="{FF2B5EF4-FFF2-40B4-BE49-F238E27FC236}">
              <a16:creationId xmlns:a16="http://schemas.microsoft.com/office/drawing/2014/main" id="{EB016673-31F6-BC77-736E-84CE46A2B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ibvmq8">
          <a:extLst>
            <a:ext uri="{FF2B5EF4-FFF2-40B4-BE49-F238E27FC236}">
              <a16:creationId xmlns:a16="http://schemas.microsoft.com/office/drawing/2014/main" id="{87FEE8C2-DD68-DA5A-3812-69C3922D6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f7l5ef">
          <a:extLst>
            <a:ext uri="{FF2B5EF4-FFF2-40B4-BE49-F238E27FC236}">
              <a16:creationId xmlns:a16="http://schemas.microsoft.com/office/drawing/2014/main" id="{257E791C-85BB-E46E-8E52-86C328577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rcxopr">
          <a:extLst>
            <a:ext uri="{FF2B5EF4-FFF2-40B4-BE49-F238E27FC236}">
              <a16:creationId xmlns:a16="http://schemas.microsoft.com/office/drawing/2014/main" id="{81A2C022-F059-4B24-4EDD-9219445D5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azudok">
          <a:extLst>
            <a:ext uri="{FF2B5EF4-FFF2-40B4-BE49-F238E27FC236}">
              <a16:creationId xmlns:a16="http://schemas.microsoft.com/office/drawing/2014/main" id="{966C9C2B-78F7-E0EF-4556-ED7A29DF5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0.20744</cdr:x>
      <cdr:y>0.15569</cdr:y>
    </cdr:from>
    <cdr:to>
      <cdr:x>0.5745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DA55547D-0F60-FC4E-F80F-6853647284F8}"/>
            </a:ext>
          </a:extLst>
        </cdr:cNvPr>
        <cdr:cNvCxnSpPr/>
      </cdr:nvCxnSpPr>
      <cdr:spPr>
        <a:xfrm xmlns:a="http://schemas.openxmlformats.org/drawingml/2006/main" flipV="1">
          <a:off x="1211876" y="553629"/>
          <a:ext cx="2144352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0.3294</cdr:x>
      <cdr:y>0.09458</cdr:y>
    </cdr:from>
    <cdr:to>
      <cdr:x>0.45254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88F9BD34-41FA-99E9-46FD-C8B492611BE7}"/>
            </a:ext>
          </a:extLst>
        </cdr:cNvPr>
        <cdr:cNvSpPr txBox="1"/>
      </cdr:nvSpPr>
      <cdr:spPr>
        <a:xfrm xmlns:a="http://schemas.openxmlformats.org/drawingml/2006/main">
          <a:off x="1924370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3rami3">
          <a:extLst>
            <a:ext uri="{FF2B5EF4-FFF2-40B4-BE49-F238E27FC236}">
              <a16:creationId xmlns:a16="http://schemas.microsoft.com/office/drawing/2014/main" id="{EC777816-5279-7CEC-4181-4249BD5570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E321515D-81A2-BA45-D68A-4A756F11DAFD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16BD125D-1575-DC3E-11BC-5F5A1554D1C6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p98aeu">
          <a:extLst>
            <a:ext uri="{FF2B5EF4-FFF2-40B4-BE49-F238E27FC236}">
              <a16:creationId xmlns:a16="http://schemas.microsoft.com/office/drawing/2014/main" id="{0E025CBD-BD03-0265-1C6E-8EE1719F5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133E91F7-AD22-E7EF-3A21-B2000C88E420}"/>
            </a:ext>
          </a:extLst>
        </cdr:cNvPr>
        <cdr:cNvCxnSpPr/>
      </cdr:nvCxnSpPr>
      <cdr:spPr>
        <a:xfrm xmlns:a="http://schemas.openxmlformats.org/drawingml/2006/main" flipV="1">
          <a:off x="293466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C566DF38-2399-C76D-7828-19D55036A03F}"/>
            </a:ext>
          </a:extLst>
        </cdr:cNvPr>
        <cdr:cNvCxnSpPr/>
      </cdr:nvCxnSpPr>
      <cdr:spPr>
        <a:xfrm xmlns:a="http://schemas.openxmlformats.org/drawingml/2006/main" flipV="1">
          <a:off x="293466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A65F68A5-BE6F-CE40-F804-7FDF92E8B1E5}"/>
            </a:ext>
          </a:extLst>
        </cdr:cNvPr>
        <cdr:cNvCxnSpPr/>
      </cdr:nvCxnSpPr>
      <cdr:spPr>
        <a:xfrm xmlns:a="http://schemas.openxmlformats.org/drawingml/2006/main" flipV="1">
          <a:off x="293466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q7li7k">
          <a:extLst>
            <a:ext uri="{FF2B5EF4-FFF2-40B4-BE49-F238E27FC236}">
              <a16:creationId xmlns:a16="http://schemas.microsoft.com/office/drawing/2014/main" id="{FF9A4ECA-CC90-D733-F26A-6F74EE03B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cwcnw4">
          <a:extLst>
            <a:ext uri="{FF2B5EF4-FFF2-40B4-BE49-F238E27FC236}">
              <a16:creationId xmlns:a16="http://schemas.microsoft.com/office/drawing/2014/main" id="{9A9C7E0A-77B6-C2FC-218D-04AB5117E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8h76l8">
          <a:extLst>
            <a:ext uri="{FF2B5EF4-FFF2-40B4-BE49-F238E27FC236}">
              <a16:creationId xmlns:a16="http://schemas.microsoft.com/office/drawing/2014/main" id="{535E5E95-6A31-C7D2-23D8-5BC973F9F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21</xdr:col>
      <xdr:colOff>50800</xdr:colOff>
      <xdr:row>27</xdr:row>
      <xdr:rowOff>127000</xdr:rowOff>
    </xdr:to>
    <xdr:graphicFrame macro="">
      <xdr:nvGraphicFramePr>
        <xdr:cNvPr id="2" name="tqq_ra6wqt">
          <a:extLst>
            <a:ext uri="{FF2B5EF4-FFF2-40B4-BE49-F238E27FC236}">
              <a16:creationId xmlns:a16="http://schemas.microsoft.com/office/drawing/2014/main" id="{E7EBB19B-431D-9B63-AC15-8B89F70D3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18</xdr:col>
      <xdr:colOff>355600</xdr:colOff>
      <xdr:row>27</xdr:row>
      <xdr:rowOff>127000</xdr:rowOff>
    </xdr:to>
    <xdr:graphicFrame macro="">
      <xdr:nvGraphicFramePr>
        <xdr:cNvPr id="2" name="tqq_k3852b">
          <a:extLst>
            <a:ext uri="{FF2B5EF4-FFF2-40B4-BE49-F238E27FC236}">
              <a16:creationId xmlns:a16="http://schemas.microsoft.com/office/drawing/2014/main" id="{A7AE63BD-180B-879F-FF47-824CF6759E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1F18C-BF28-4790-A8CE-C7A0EB572A78}">
  <sheetPr>
    <tabColor rgb="FF1F5379"/>
  </sheetPr>
  <dimension ref="A1:E34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29" t="s">
        <v>398</v>
      </c>
    </row>
    <row r="2" spans="1:5" x14ac:dyDescent="0.25">
      <c r="A2" s="30" t="s">
        <v>399</v>
      </c>
      <c r="B2" s="30"/>
      <c r="C2" s="30"/>
      <c r="D2" s="30"/>
      <c r="E2" s="30"/>
    </row>
    <row r="3" spans="1:5" x14ac:dyDescent="0.25">
      <c r="A3" s="30" t="s">
        <v>400</v>
      </c>
      <c r="B3" s="30"/>
      <c r="C3" s="30"/>
      <c r="D3" s="30"/>
      <c r="E3" s="30"/>
    </row>
    <row r="4" spans="1:5" ht="30" customHeight="1" x14ac:dyDescent="0.25">
      <c r="A4" s="30" t="s">
        <v>401</v>
      </c>
      <c r="B4" s="30"/>
      <c r="C4" s="30"/>
      <c r="D4" s="30"/>
      <c r="E4" s="30"/>
    </row>
    <row r="6" spans="1:5" x14ac:dyDescent="0.25">
      <c r="A6" s="31" t="s">
        <v>402</v>
      </c>
      <c r="B6" s="32" t="s">
        <v>403</v>
      </c>
      <c r="C6" s="32" t="s">
        <v>404</v>
      </c>
      <c r="D6" s="32" t="s">
        <v>405</v>
      </c>
      <c r="E6" s="32" t="s">
        <v>406</v>
      </c>
    </row>
    <row r="7" spans="1:5" ht="30" x14ac:dyDescent="0.25">
      <c r="A7" s="33">
        <v>1</v>
      </c>
      <c r="B7" s="34" t="s">
        <v>407</v>
      </c>
      <c r="C7" s="35" t="s">
        <v>408</v>
      </c>
      <c r="D7" s="35" t="s">
        <v>409</v>
      </c>
      <c r="E7" s="35" t="s">
        <v>410</v>
      </c>
    </row>
    <row r="8" spans="1:5" ht="30" x14ac:dyDescent="0.25">
      <c r="A8" s="36">
        <v>2</v>
      </c>
      <c r="B8" s="37" t="s">
        <v>411</v>
      </c>
      <c r="C8" s="38" t="s">
        <v>412</v>
      </c>
      <c r="D8" s="38" t="s">
        <v>413</v>
      </c>
      <c r="E8" s="38" t="s">
        <v>414</v>
      </c>
    </row>
    <row r="9" spans="1:5" ht="30" x14ac:dyDescent="0.25">
      <c r="A9" s="33">
        <v>3</v>
      </c>
      <c r="B9" s="34" t="s">
        <v>415</v>
      </c>
      <c r="C9" s="35" t="s">
        <v>416</v>
      </c>
      <c r="D9" s="35" t="s">
        <v>417</v>
      </c>
      <c r="E9" s="35" t="s">
        <v>418</v>
      </c>
    </row>
    <row r="10" spans="1:5" ht="30" x14ac:dyDescent="0.25">
      <c r="A10" s="36">
        <v>4</v>
      </c>
      <c r="B10" s="37" t="s">
        <v>419</v>
      </c>
      <c r="C10" s="38" t="s">
        <v>420</v>
      </c>
      <c r="D10" s="38" t="s">
        <v>421</v>
      </c>
      <c r="E10" s="38" t="s">
        <v>422</v>
      </c>
    </row>
    <row r="11" spans="1:5" ht="30" x14ac:dyDescent="0.25">
      <c r="A11" s="33">
        <v>5</v>
      </c>
      <c r="B11" s="34" t="s">
        <v>423</v>
      </c>
      <c r="C11" s="35" t="s">
        <v>424</v>
      </c>
      <c r="D11" s="35" t="s">
        <v>425</v>
      </c>
      <c r="E11" s="35" t="s">
        <v>426</v>
      </c>
    </row>
    <row r="12" spans="1:5" ht="30" x14ac:dyDescent="0.25">
      <c r="A12" s="36">
        <v>6</v>
      </c>
      <c r="B12" s="37" t="s">
        <v>427</v>
      </c>
      <c r="C12" s="38" t="s">
        <v>428</v>
      </c>
      <c r="D12" s="38" t="s">
        <v>429</v>
      </c>
      <c r="E12" s="38" t="s">
        <v>430</v>
      </c>
    </row>
    <row r="13" spans="1:5" ht="30" x14ac:dyDescent="0.25">
      <c r="A13" s="33">
        <v>7</v>
      </c>
      <c r="B13" s="34" t="s">
        <v>431</v>
      </c>
      <c r="C13" s="35" t="s">
        <v>432</v>
      </c>
      <c r="D13" s="35" t="s">
        <v>433</v>
      </c>
      <c r="E13" s="35" t="s">
        <v>434</v>
      </c>
    </row>
    <row r="14" spans="1:5" x14ac:dyDescent="0.25">
      <c r="A14" s="36">
        <v>8</v>
      </c>
      <c r="B14" s="37" t="s">
        <v>435</v>
      </c>
      <c r="C14" s="38" t="s">
        <v>436</v>
      </c>
      <c r="D14" s="38" t="s">
        <v>437</v>
      </c>
      <c r="E14" s="38" t="s">
        <v>438</v>
      </c>
    </row>
    <row r="15" spans="1:5" x14ac:dyDescent="0.25">
      <c r="A15" s="33">
        <v>9</v>
      </c>
      <c r="B15" s="34" t="s">
        <v>439</v>
      </c>
      <c r="C15" s="35" t="s">
        <v>440</v>
      </c>
      <c r="D15" s="35" t="s">
        <v>437</v>
      </c>
      <c r="E15" s="35" t="s">
        <v>441</v>
      </c>
    </row>
    <row r="16" spans="1:5" ht="30" x14ac:dyDescent="0.25">
      <c r="A16" s="36">
        <v>10</v>
      </c>
      <c r="B16" s="37" t="s">
        <v>442</v>
      </c>
      <c r="C16" s="38" t="s">
        <v>443</v>
      </c>
      <c r="D16" s="38" t="s">
        <v>444</v>
      </c>
      <c r="E16" s="38" t="s">
        <v>445</v>
      </c>
    </row>
    <row r="17" spans="1:5" ht="30" x14ac:dyDescent="0.25">
      <c r="A17" s="33">
        <v>11</v>
      </c>
      <c r="B17" s="34" t="s">
        <v>446</v>
      </c>
      <c r="C17" s="35" t="s">
        <v>447</v>
      </c>
      <c r="D17" s="35" t="s">
        <v>437</v>
      </c>
      <c r="E17" s="35" t="s">
        <v>448</v>
      </c>
    </row>
    <row r="18" spans="1:5" ht="30" x14ac:dyDescent="0.25">
      <c r="A18" s="36">
        <v>12</v>
      </c>
      <c r="B18" s="37" t="s">
        <v>449</v>
      </c>
      <c r="C18" s="38" t="s">
        <v>450</v>
      </c>
      <c r="D18" s="38" t="s">
        <v>451</v>
      </c>
      <c r="E18" s="38" t="s">
        <v>452</v>
      </c>
    </row>
    <row r="19" spans="1:5" x14ac:dyDescent="0.25">
      <c r="A19" s="33">
        <v>13</v>
      </c>
      <c r="B19" s="34" t="s">
        <v>453</v>
      </c>
      <c r="C19" s="35" t="s">
        <v>454</v>
      </c>
      <c r="D19" s="35" t="s">
        <v>437</v>
      </c>
      <c r="E19" s="35" t="s">
        <v>455</v>
      </c>
    </row>
    <row r="20" spans="1:5" x14ac:dyDescent="0.25">
      <c r="A20" s="36">
        <v>14</v>
      </c>
      <c r="B20" s="37" t="s">
        <v>456</v>
      </c>
      <c r="C20" s="38" t="s">
        <v>457</v>
      </c>
      <c r="D20" s="38" t="s">
        <v>437</v>
      </c>
      <c r="E20" s="38" t="s">
        <v>458</v>
      </c>
    </row>
    <row r="21" spans="1:5" x14ac:dyDescent="0.25">
      <c r="A21" s="33">
        <v>15</v>
      </c>
      <c r="B21" s="34" t="s">
        <v>459</v>
      </c>
      <c r="C21" s="35" t="s">
        <v>460</v>
      </c>
      <c r="D21" s="35" t="s">
        <v>461</v>
      </c>
      <c r="E21" s="35" t="s">
        <v>462</v>
      </c>
    </row>
    <row r="22" spans="1:5" x14ac:dyDescent="0.25">
      <c r="A22" s="36">
        <v>16</v>
      </c>
      <c r="B22" s="37" t="s">
        <v>463</v>
      </c>
      <c r="C22" s="38" t="s">
        <v>460</v>
      </c>
      <c r="D22" s="38" t="s">
        <v>464</v>
      </c>
      <c r="E22" s="38" t="s">
        <v>465</v>
      </c>
    </row>
    <row r="23" spans="1:5" ht="30" x14ac:dyDescent="0.25">
      <c r="A23" s="33">
        <v>17</v>
      </c>
      <c r="B23" s="34" t="s">
        <v>466</v>
      </c>
      <c r="C23" s="35" t="s">
        <v>467</v>
      </c>
      <c r="D23" s="35" t="s">
        <v>468</v>
      </c>
      <c r="E23" s="35" t="s">
        <v>469</v>
      </c>
    </row>
    <row r="24" spans="1:5" x14ac:dyDescent="0.25">
      <c r="A24" s="36">
        <v>18</v>
      </c>
      <c r="B24" s="37" t="s">
        <v>470</v>
      </c>
      <c r="C24" s="38" t="s">
        <v>471</v>
      </c>
      <c r="D24" s="38" t="s">
        <v>472</v>
      </c>
      <c r="E24" s="38" t="s">
        <v>473</v>
      </c>
    </row>
    <row r="25" spans="1:5" x14ac:dyDescent="0.25">
      <c r="A25" s="33">
        <v>19</v>
      </c>
      <c r="B25" s="34" t="s">
        <v>474</v>
      </c>
      <c r="C25" s="35" t="s">
        <v>475</v>
      </c>
      <c r="D25" s="35" t="s">
        <v>437</v>
      </c>
      <c r="E25" s="35" t="s">
        <v>476</v>
      </c>
    </row>
    <row r="26" spans="1:5" ht="30" x14ac:dyDescent="0.25">
      <c r="A26" s="36">
        <v>20</v>
      </c>
      <c r="B26" s="37" t="s">
        <v>477</v>
      </c>
      <c r="C26" s="38" t="s">
        <v>478</v>
      </c>
      <c r="D26" s="38" t="s">
        <v>479</v>
      </c>
      <c r="E26" s="38" t="s">
        <v>480</v>
      </c>
    </row>
    <row r="27" spans="1:5" x14ac:dyDescent="0.25">
      <c r="A27" s="33">
        <v>21</v>
      </c>
      <c r="B27" s="34" t="s">
        <v>481</v>
      </c>
      <c r="C27" s="35" t="s">
        <v>482</v>
      </c>
      <c r="D27" s="35" t="s">
        <v>437</v>
      </c>
      <c r="E27" s="35" t="s">
        <v>483</v>
      </c>
    </row>
    <row r="28" spans="1:5" ht="30" x14ac:dyDescent="0.25">
      <c r="A28" s="36">
        <v>22</v>
      </c>
      <c r="B28" s="37" t="s">
        <v>484</v>
      </c>
      <c r="C28" s="38" t="s">
        <v>408</v>
      </c>
      <c r="D28" s="38" t="s">
        <v>485</v>
      </c>
      <c r="E28" s="38" t="s">
        <v>486</v>
      </c>
    </row>
    <row r="29" spans="1:5" ht="30" x14ac:dyDescent="0.25">
      <c r="A29" s="33">
        <v>23</v>
      </c>
      <c r="B29" s="34" t="s">
        <v>487</v>
      </c>
      <c r="C29" s="35" t="s">
        <v>416</v>
      </c>
      <c r="D29" s="35" t="s">
        <v>488</v>
      </c>
      <c r="E29" s="35" t="s">
        <v>489</v>
      </c>
    </row>
    <row r="30" spans="1:5" ht="30" x14ac:dyDescent="0.25">
      <c r="A30" s="36">
        <v>24</v>
      </c>
      <c r="B30" s="37" t="s">
        <v>490</v>
      </c>
      <c r="C30" s="38" t="s">
        <v>408</v>
      </c>
      <c r="D30" s="38" t="s">
        <v>491</v>
      </c>
      <c r="E30" s="38" t="s">
        <v>492</v>
      </c>
    </row>
    <row r="31" spans="1:5" ht="30" x14ac:dyDescent="0.25">
      <c r="A31" s="33">
        <v>25</v>
      </c>
      <c r="B31" s="34" t="s">
        <v>493</v>
      </c>
      <c r="C31" s="35" t="s">
        <v>412</v>
      </c>
      <c r="D31" s="35" t="s">
        <v>494</v>
      </c>
      <c r="E31" s="35" t="s">
        <v>495</v>
      </c>
    </row>
    <row r="32" spans="1:5" x14ac:dyDescent="0.25">
      <c r="A32" s="36">
        <v>26</v>
      </c>
      <c r="B32" s="37" t="s">
        <v>496</v>
      </c>
      <c r="C32" s="38" t="s">
        <v>420</v>
      </c>
      <c r="D32" s="38" t="s">
        <v>497</v>
      </c>
      <c r="E32" s="38" t="s">
        <v>498</v>
      </c>
    </row>
    <row r="33" spans="1:5" ht="30" x14ac:dyDescent="0.25">
      <c r="A33" s="33">
        <v>27</v>
      </c>
      <c r="B33" s="34" t="s">
        <v>499</v>
      </c>
      <c r="C33" s="35" t="s">
        <v>500</v>
      </c>
      <c r="D33" s="35" t="s">
        <v>501</v>
      </c>
      <c r="E33" s="35" t="s">
        <v>502</v>
      </c>
    </row>
    <row r="34" spans="1:5" ht="30" x14ac:dyDescent="0.25">
      <c r="A34" s="36">
        <v>28</v>
      </c>
      <c r="B34" s="37" t="s">
        <v>503</v>
      </c>
      <c r="C34" s="38" t="s">
        <v>500</v>
      </c>
      <c r="D34" s="38" t="s">
        <v>504</v>
      </c>
      <c r="E34" s="38" t="s">
        <v>505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BF0ACC44-CF8F-4786-A15B-6D136BE85222}"/>
    <hyperlink ref="B8" location="'E02'!A1" tooltip="Ir para o exemplo 2 (planilha E02)" display="Vendas por loja, 2024 x 2025 (colunas agrupadas, espaço muito largo)" xr:uid="{FFE0B46D-D6F6-470B-8C33-23CF195FFC54}"/>
    <hyperlink ref="B9" location="'E03'!A1" tooltip="Ir para o exemplo 3 (planilha E03)" display="Mix de canais B2C/B2B por região (colunas 100% e indicador 100%)" xr:uid="{AE53D8A2-56D1-4310-BC2C-FA9B4912B609}"/>
    <hyperlink ref="B10" location="'E04'!A1" tooltip="Ir para o exemplo 4 (planilha E04)" display="Vendas e custo mensais da loja Aurora Centro (nome no fim da linha)" xr:uid="{7A29242F-B54B-426E-957C-D763117468C5}"/>
    <hyperlink ref="B11" location="'E05'!A1" tooltip="Ir para o exemplo 5 (planilha E05)" display="Da receita ao lucro em 2025 (cascata com conectores e seta de diferença)" xr:uid="{6BA6E469-F934-4C98-8EEB-4888FCB7DA42}"/>
    <hyperlink ref="B12" location="'E06'!A1" tooltip="Ir para o exemplo 6 (planilha E06)" display="Vendas 2025 por região e canal (barras empilhadas e seta de diferença)" xr:uid="{834F21A7-63B5-4BAD-8DFD-C97B79BFC79C}"/>
    <hyperlink ref="B13" location="'E07'!A1" tooltip="Ir para o exemplo 7 (planilha E07)" display="Vendas por loja em R$ (barras agrupadas, rótulos em milhares)" xr:uid="{58F9F7D7-FE7E-4389-824B-EDE0A6519F12}"/>
    <hyperlink ref="B14" location="'E08'!A1" tooltip="Ir para o exemplo 8 (planilha E08)" display="Mix de canais B2C/B2B por loja (barras 100%)" xr:uid="{EF260DF6-35DB-4246-859F-E3CA708CB263}"/>
    <hyperlink ref="B15" location="'E09'!A1" tooltip="Ir para o exemplo 9 (planilha E09)" display="Da receita ao lucro em 2025 (cascata horizontal)" xr:uid="{078CA39B-7D98-44F5-88F0-E139FB7248FB}"/>
    <hyperlink ref="B16" location="'E10'!A1" tooltip="Ir para o exemplo 10 (planilha E10)" display="Vendas trimestrais dos três maiores departamentos (área empilhada e linha de valor)" xr:uid="{03C2E109-2D6A-48A3-BF78-3ED263F77D9C}"/>
    <hyperlink ref="B17" location="'E11'!A1" tooltip="Ir para o exemplo 11 (planilha E11)" display="Participação trimestral dos três maiores departamentos (área 100%)" xr:uid="{3ABB88CF-5490-4A54-8173-4C61D64ABAFC}"/>
    <hyperlink ref="B18" location="'E12'!A1" tooltip="Ir para o exemplo 12 (planilha E12)" display="Vendas por canal e margem % da loja Aurora Centro (combinação com eixo secundário)" xr:uid="{31FA7C7B-2E26-497B-95AA-734463AA49E6}"/>
    <hyperlink ref="B19" location="'E13'!A1" tooltip="Ir para o exemplo 13 (planilha E13)" display="Regiões x grupos de produto em 2025 (Mekko %)" xr:uid="{AB79B3A7-C94E-4E4B-8693-5C74E49110A3}"/>
    <hyperlink ref="B20" location="'E14'!A1" tooltip="Ir para o exemplo 14 (planilha E14)" display="Regiões x grupos, largura = nº de lojas (Mekko em unidades)" xr:uid="{C351B2A0-1D8F-4746-B50B-747F033913CF}"/>
    <hyperlink ref="B21" location="'E15'!A1" tooltip="Ir para o exemplo 15 (planilha E15)" display="Reformas de março a maio (Gantt em semanas, com colchete)" xr:uid="{982651C3-46F4-4A4F-AEBF-7DB7920DDD5B}"/>
    <hyperlink ref="B22" location="'E16'!A1" tooltip="Ir para o exemplo 16 (planilha E16)" display="Plano de abertura de uma nova loja (Gantt em meses)" xr:uid="{AD89394A-0184-4E43-824A-BD5F9F387756}"/>
    <hyperlink ref="B23" location="'E17'!A1" tooltip="Ir para o exemplo 17 (planilha E17)" display="Vendas 2025 por região (pizza, rótulos fora)" xr:uid="{0AEF42D2-1581-4F26-A39E-B338391003B6}"/>
    <hyperlink ref="B24" location="'E18'!A1" tooltip="Ir para o exemplo 18 (planilha E18)" display="Vendas 2025 por região (rosca, paleta em tons de cinza)" xr:uid="{AAEAC056-9B75-4694-8DE5-2E7FDC5540E5}"/>
    <hyperlink ref="B25" location="'E19'!A1" tooltip="Ir para o exemplo 19 (planilha E19)" display="Vendas B2C x B2B por loja (borboleta)" xr:uid="{341113C9-3BF5-4E42-AE5F-4952223BB43E}"/>
    <hyperlink ref="B26" location="'E20'!A1" tooltip="Ir para o exemplo 20 (planilha E20)" display="Ticket médio x margem por loja (dispersão, tendência e quadrantes)" xr:uid="{4DE8231C-7071-4A91-95EF-48171A3C3B04}"/>
    <hyperlink ref="B27" location="'E21'!A1" tooltip="Ir para o exemplo 21 (planilha E21)" display="Ticket x margem x vendas por departamento (bolhas)" xr:uid="{A7020219-8350-420B-A864-80E265023A3B}"/>
    <hyperlink ref="B28" location="'E22'!A1" tooltip="Ir para o exemplo 22 (planilha E22)" display="Crescimento 2024-2025 de três departamentos (seta CAGR)" xr:uid="{8FAB23D4-38B3-4024-BDC4-D5A42652E15C}"/>
    <hyperlink ref="B29" location="'E23'!A1" tooltip="Ir para o exemplo 23 (planilha E23)" display="Participações que somam 100% (soma consistente no gráfico e na tabela)" xr:uid="{D82A6DC8-C724-419D-B2AF-68266DE57907}"/>
    <hyperlink ref="B30" location="'E24'!A1" tooltip="Ir para o exemplo 24 (planilha E24)" display="Cimento e argamassa dominam as vendas: corte de eixo" xr:uid="{44FC8E7B-BF64-487F-8857-B322C4A33F43}"/>
    <hyperlink ref="B31" location="'E25'!A1" tooltip="Ir para o exemplo 25 (planilha E25)" display="A maior e a menor loja lado a lado (mesma escala)" xr:uid="{58627441-3740-4AF6-972F-18B52276BE3A}"/>
    <hyperlink ref="B32" location="'E26'!A1" tooltip="Ir para o exemplo 26 (planilha E26)" display="Vendas mensais da loja Aurora Centro (sem legenda)" xr:uid="{93CA8236-4857-4392-8BE8-96C5DE876D9E}"/>
    <hyperlink ref="B33" location="'E27'!A1" tooltip="Ir para o exemplo 27 (planilha E27)" display="Da receita ao lucro, 2024 x 2025 (cascata comparativa)" xr:uid="{72F06B4C-6973-4649-8827-FAE29C22A8FA}"/>
    <hyperlink ref="B34" location="'E28'!A1" tooltip="Ir para o exemplo 28 (planilha E28)" display="As duas maiores lojas: da receita ao lucro em 2025 (variação em valor)" xr:uid="{6A888871-0C7D-49BF-B706-1FA3EA8CEEB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88CD4-84FB-4D9F-841C-7043F158539B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DE988CD4-84FB-4D9F-841C-7043F158539B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8028E-E49D-42F9-8EFE-6E8F2B613D65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A7E1-4875-40B8-982D-DCECB07762A7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7E8F3-5AFA-4DA5-96F6-6B49CCB112C3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44791DEE-293D-4739-8D97-70EE1510B284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E9F5-DA7D-4D86-BCE1-D8792E8D5268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C5CB970F-4B1A-400F-956C-890457A8732A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5A21-25B8-4BC9-8251-F4751C081840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5E5CB48F-EA41-4CD7-B84E-710E0B307A1D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D89E3-E44F-4267-916D-D5A6EE697C32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D9FCD8EC-233A-49FC-9F3B-91E83583DD1D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018EE-E2C7-4E73-BA90-C0851DD1B236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96E92C28-805F-4FD2-9AA6-C4F6B5D99A9D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CAEB-1B72-415E-BF48-4AC7FB3AD5D4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F497288E-F6CE-4E70-B413-585382701070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17CD-028B-4D94-82E4-F312D0FC779F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BB737992-FC09-47FE-955E-731F286F93F0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D98CA-52A3-4F84-A9DF-D49AB2034B4A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FF94239C-F295-4730-B16C-A32A12267E5D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08A5A-86F2-4664-BC1A-EC8DF20FD7DC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C0A88455-12AB-405E-B11E-8B8CD083DC8F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EBB7-E929-4336-A014-2BF6CA9BC06C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9D49C95D-5C14-4495-87FE-01EC9591C445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E36E-E2B4-42D8-8E98-BC439BDBE545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3" width="13.7109375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9E532979-0EF5-405F-A75F-A20091263848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9C916-37D8-4859-9561-4D3556131C36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C52B6045-6A64-4F6F-B9C8-2765C2B700D6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6178-DBE5-4D5D-94E5-37C814B21C49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17982584-F7B1-40F2-8415-4DAE82759252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B7A98-4A67-4C77-94ED-3758C871BC4C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7509E3C8-7DD8-4B59-83FB-803B7A63EA5A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D77AC-4A4F-43E2-A46A-160B5C1337D0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8582E4FD-F6FD-4301-8AC7-CFEEE364083C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B2AB2-D5ED-4D7E-8D59-789C68184CD2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A34319D6-C0F3-4B28-BD36-5ADBB105E76E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BF4DC-5DBC-4712-A1CD-2F1470F1AA1F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1D73D3B3-AA99-4833-8DC4-F8E6E8EA7E52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EA50-4644-4792-AB57-7A1016B0E4A7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593E02F8-1205-4E05-9D2F-A903F7924A76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EE9EE-B8F8-4F83-A9C1-49FB4746C497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B168C8AF-3BF2-450F-A1D6-902D26490BEF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708E-B027-4E7D-B61B-F39B8CBB99E1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19">
        <v>0.312</v>
      </c>
    </row>
    <row r="8" spans="1:3" x14ac:dyDescent="0.25">
      <c r="A8" t="s">
        <v>24</v>
      </c>
      <c r="B8" s="3">
        <v>252</v>
      </c>
      <c r="C8" s="19">
        <v>0.33100000000000002</v>
      </c>
    </row>
    <row r="9" spans="1:3" x14ac:dyDescent="0.25">
      <c r="A9" t="s">
        <v>30</v>
      </c>
      <c r="B9" s="3">
        <v>269</v>
      </c>
      <c r="C9" s="19">
        <v>0.32</v>
      </c>
    </row>
    <row r="10" spans="1:3" x14ac:dyDescent="0.25">
      <c r="A10" t="s">
        <v>23</v>
      </c>
      <c r="B10" s="3">
        <v>274</v>
      </c>
      <c r="C10" s="19">
        <v>0.32600000000000001</v>
      </c>
    </row>
    <row r="11" spans="1:3" x14ac:dyDescent="0.25">
      <c r="A11" t="s">
        <v>27</v>
      </c>
      <c r="B11" s="3">
        <v>244</v>
      </c>
      <c r="C11" s="19">
        <v>0.33200000000000002</v>
      </c>
    </row>
    <row r="12" spans="1:3" x14ac:dyDescent="0.25">
      <c r="A12" t="s">
        <v>26</v>
      </c>
      <c r="B12" s="3">
        <v>283</v>
      </c>
      <c r="C12" s="19">
        <v>0.30099999999999999</v>
      </c>
    </row>
    <row r="13" spans="1:3" x14ac:dyDescent="0.25">
      <c r="A13" t="s">
        <v>29</v>
      </c>
      <c r="B13" s="3">
        <v>257</v>
      </c>
      <c r="C13" s="19">
        <v>0.31900000000000001</v>
      </c>
    </row>
    <row r="14" spans="1:3" x14ac:dyDescent="0.25">
      <c r="A14" t="s">
        <v>32</v>
      </c>
      <c r="B14" s="3">
        <v>259</v>
      </c>
      <c r="C14" s="19">
        <v>0.30599999999999999</v>
      </c>
    </row>
  </sheetData>
  <hyperlinks>
    <hyperlink ref="A1" location="'Indice'!A1" tooltip="Voltar ao índice" display="« Voltar ao índice" xr:uid="{DEE91099-D545-4F70-A9B6-2059384E6FEE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0562D-2449-4454-8F4F-D46B95F69172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276</v>
      </c>
    </row>
    <row r="3" spans="1:5" x14ac:dyDescent="0.25">
      <c r="A3" s="8" t="s">
        <v>277</v>
      </c>
    </row>
    <row r="4" spans="1:5" x14ac:dyDescent="0.25">
      <c r="A4" s="9" t="s">
        <v>278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19">
        <v>0.221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19">
        <v>0.33800000000000002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19">
        <v>0.38100000000000001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19">
        <v>0.35799999999999998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19">
        <v>0.4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19">
        <v>0.29099999999999998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19">
        <v>0.42899999999999999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19">
        <v>0.46100000000000002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73CC9C1D-99C0-44FC-B48E-3F6F66F2BCB4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3B52-B14A-4E17-AD6B-B4F64FC23E9B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512F4EA7-2872-49D5-B991-AC27B7D41C01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5840E-B610-48E4-AFEC-80842B744971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8" t="s">
        <v>309</v>
      </c>
      <c r="D15" s="28" t="s">
        <v>310</v>
      </c>
    </row>
    <row r="16" spans="1:4" x14ac:dyDescent="0.25">
      <c r="A16" t="s">
        <v>15</v>
      </c>
      <c r="B16" s="23">
        <v>0.37246854163746318</v>
      </c>
      <c r="C16" s="24">
        <f>ROUND(B16,2)</f>
        <v>0.37</v>
      </c>
      <c r="D16" s="24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3">
        <v>0.16658819598131541</v>
      </c>
      <c r="C17" s="24">
        <f>ROUND(B17,2)</f>
        <v>0.17</v>
      </c>
      <c r="D17" s="24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3">
        <v>0.10943055655850399</v>
      </c>
      <c r="C18" s="24">
        <f>ROUND(B18,2)</f>
        <v>0.11</v>
      </c>
      <c r="D18" s="24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3">
        <v>8.6101909944198307E-2</v>
      </c>
      <c r="C19" s="24">
        <f>ROUND(B19,2)</f>
        <v>0.09</v>
      </c>
      <c r="D19" s="24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3">
        <v>8.1516061570178308E-2</v>
      </c>
      <c r="C20" s="24">
        <f>ROUND(B20,2)</f>
        <v>0.08</v>
      </c>
      <c r="D20" s="24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3">
        <v>7.7419784184376381E-2</v>
      </c>
      <c r="C21" s="24">
        <f>ROUND(B21,2)</f>
        <v>0.08</v>
      </c>
      <c r="D21" s="24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3">
        <v>5.9054472135260695E-2</v>
      </c>
      <c r="C22" s="24">
        <f>ROUND(B22,2)</f>
        <v>0.06</v>
      </c>
      <c r="D22" s="24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3">
        <v>4.7420477988703733E-2</v>
      </c>
      <c r="C23" s="24">
        <f>ROUND(B23,2)</f>
        <v>0.05</v>
      </c>
      <c r="D23" s="24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5" t="s">
        <v>61</v>
      </c>
      <c r="B24" s="26">
        <f>SUM(B16:B23)</f>
        <v>1</v>
      </c>
      <c r="C24" s="27">
        <f>SUM(C16:C23)</f>
        <v>1.01</v>
      </c>
      <c r="D24" s="27">
        <f>SUM(D16:D23)</f>
        <v>1</v>
      </c>
    </row>
  </sheetData>
  <hyperlinks>
    <hyperlink ref="A1" location="'Indice'!A1" tooltip="Voltar ao índice" display="« Voltar ao índice" xr:uid="{71F60BB4-ED30-45AE-9F0D-2C986958145E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04717-8912-4D81-9DE2-A5B298D7FF31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3E5FCDAD-D81E-4982-A57B-9D9C9CCEF10A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3C4B-D95E-4E65-BA92-041AA6609EF0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A5F8EC43-9B7C-4839-BC11-C1C273084A5F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A7E73-8746-46EA-B625-58D16221A79B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8C6340A6-7EFB-4DC6-8706-58BBCE7AE877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44215-4D84-450F-8B4E-7945B4530BB1}">
  <sheetPr>
    <tabColor rgb="FF1F6B9F"/>
  </sheetPr>
  <dimension ref="A1:C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330</v>
      </c>
    </row>
    <row r="3" spans="1:3" x14ac:dyDescent="0.25">
      <c r="A3" s="8" t="s">
        <v>331</v>
      </c>
    </row>
    <row r="4" spans="1:3" x14ac:dyDescent="0.25">
      <c r="A4" s="9" t="s">
        <v>332</v>
      </c>
    </row>
    <row r="6" spans="1:3" x14ac:dyDescent="0.25">
      <c r="A6" s="5" t="s">
        <v>92</v>
      </c>
      <c r="B6" s="10">
        <v>2024</v>
      </c>
      <c r="C6" s="10">
        <v>2025</v>
      </c>
    </row>
    <row r="7" spans="1:3" x14ac:dyDescent="0.25">
      <c r="A7" t="s">
        <v>94</v>
      </c>
      <c r="B7" s="13">
        <v>117.2</v>
      </c>
      <c r="C7" s="13">
        <v>129.69999999999999</v>
      </c>
    </row>
    <row r="8" spans="1:3" x14ac:dyDescent="0.25">
      <c r="A8" t="s">
        <v>95</v>
      </c>
      <c r="B8" s="13">
        <v>-79.900000000000006</v>
      </c>
      <c r="C8" s="13">
        <v>-88.3</v>
      </c>
    </row>
    <row r="9" spans="1:3" x14ac:dyDescent="0.25">
      <c r="A9" t="s">
        <v>96</v>
      </c>
      <c r="B9" s="13">
        <v>-24.6</v>
      </c>
      <c r="C9" s="13">
        <v>-27.2</v>
      </c>
    </row>
    <row r="10" spans="1:3" x14ac:dyDescent="0.25">
      <c r="A10" t="s">
        <v>97</v>
      </c>
      <c r="B10" s="13" t="s">
        <v>98</v>
      </c>
      <c r="C10" s="13" t="s">
        <v>98</v>
      </c>
    </row>
    <row r="11" spans="1:3" x14ac:dyDescent="0.25">
      <c r="A11" t="s">
        <v>99</v>
      </c>
      <c r="B11" s="13">
        <v>-2.9</v>
      </c>
      <c r="C11" s="13">
        <v>-3.2</v>
      </c>
    </row>
    <row r="12" spans="1:3" x14ac:dyDescent="0.25">
      <c r="A12" t="s">
        <v>100</v>
      </c>
      <c r="B12" s="13">
        <v>-3.3</v>
      </c>
      <c r="C12" s="13">
        <v>-3.7</v>
      </c>
    </row>
    <row r="13" spans="1:3" x14ac:dyDescent="0.25">
      <c r="A13" t="s">
        <v>101</v>
      </c>
      <c r="B13" s="13" t="s">
        <v>98</v>
      </c>
      <c r="C13" s="13" t="s">
        <v>98</v>
      </c>
    </row>
  </sheetData>
  <hyperlinks>
    <hyperlink ref="A1" location="'Indice'!A1" tooltip="Voltar ao índice" display="« Voltar ao índice" xr:uid="{0EC4D6BA-F7C2-4801-9A77-22F0F5B70B2A}"/>
  </hyperlinks>
  <pageMargins left="0.511811024" right="0.511811024" top="0.78740157499999996" bottom="0.78740157499999996" header="0.31496062000000002" footer="0.31496062000000002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5B5D1-FF9E-4026-89B4-0EB531D4BCC2}">
  <sheetPr>
    <tabColor rgb="FF1F6B9F"/>
  </sheetPr>
  <dimension ref="A1:C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393</v>
      </c>
    </row>
    <row r="3" spans="1:3" x14ac:dyDescent="0.25">
      <c r="A3" s="8" t="s">
        <v>394</v>
      </c>
    </row>
    <row r="4" spans="1:3" x14ac:dyDescent="0.25">
      <c r="A4" s="9" t="s">
        <v>395</v>
      </c>
    </row>
    <row r="6" spans="1:3" x14ac:dyDescent="0.25">
      <c r="A6" s="5" t="s">
        <v>92</v>
      </c>
      <c r="B6" s="10" t="s">
        <v>12</v>
      </c>
      <c r="C6" s="10" t="s">
        <v>24</v>
      </c>
    </row>
    <row r="7" spans="1:3" x14ac:dyDescent="0.25">
      <c r="A7" t="s">
        <v>94</v>
      </c>
      <c r="B7" s="13">
        <v>26.2</v>
      </c>
      <c r="C7" s="13">
        <v>21.1</v>
      </c>
    </row>
    <row r="8" spans="1:3" x14ac:dyDescent="0.25">
      <c r="A8" t="s">
        <v>95</v>
      </c>
      <c r="B8" s="13">
        <v>-18</v>
      </c>
      <c r="C8" s="13">
        <v>-14.1</v>
      </c>
    </row>
    <row r="9" spans="1:3" x14ac:dyDescent="0.25">
      <c r="A9" t="s">
        <v>96</v>
      </c>
      <c r="B9" s="13">
        <v>-5.5</v>
      </c>
      <c r="C9" s="13">
        <v>-4.4000000000000004</v>
      </c>
    </row>
    <row r="10" spans="1:3" x14ac:dyDescent="0.25">
      <c r="A10" t="s">
        <v>97</v>
      </c>
      <c r="B10" s="13" t="s">
        <v>98</v>
      </c>
      <c r="C10" s="13" t="s">
        <v>98</v>
      </c>
    </row>
    <row r="11" spans="1:3" x14ac:dyDescent="0.25">
      <c r="A11" t="s">
        <v>99</v>
      </c>
      <c r="B11" s="13">
        <v>-0.7</v>
      </c>
      <c r="C11" s="13">
        <v>-0.5</v>
      </c>
    </row>
    <row r="12" spans="1:3" x14ac:dyDescent="0.25">
      <c r="A12" t="s">
        <v>100</v>
      </c>
      <c r="B12" s="13">
        <v>-0.7</v>
      </c>
      <c r="C12" s="13">
        <v>-0.7</v>
      </c>
    </row>
    <row r="13" spans="1:3" x14ac:dyDescent="0.25">
      <c r="A13" t="s">
        <v>101</v>
      </c>
      <c r="B13" s="13" t="s">
        <v>98</v>
      </c>
      <c r="C13" s="13" t="s">
        <v>98</v>
      </c>
    </row>
  </sheetData>
  <hyperlinks>
    <hyperlink ref="A1" location="'Indice'!A1" tooltip="Voltar ao índice" display="« Voltar ao índice" xr:uid="{E81155DA-0047-436D-A9B3-0D85F0D2C8A3}"/>
  </hyperlinks>
  <pageMargins left="0.511811024" right="0.511811024" top="0.78740157499999996" bottom="0.78740157499999996" header="0.31496062000000002" footer="0.31496062000000002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E1864-8F94-4D3B-A9D7-A624FEEBF4F9}">
  <dimension ref="A1:BF462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275</v>
      </c>
      <c r="E304" s="5">
        <f>IFERROR(_xlfn.AGGREGATE(1,6,$F$306:$F$313),0)</f>
        <v>265.5</v>
      </c>
      <c r="F304" s="5">
        <f>IFERROR(_xlfn.AGGREGATE(1,6,$G$306:$G$313),0)</f>
        <v>0.31837500000000002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0.312</v>
      </c>
      <c r="D306">
        <f>1</f>
        <v>1</v>
      </c>
      <c r="E306" t="str">
        <f>"Margem bruta"</f>
        <v>Margem bruta</v>
      </c>
      <c r="F306">
        <f>IF(AND(E306="Margem bruta",ISNUMBER(B306),ISNUMBER(C306),ISNUMBER(D306)),B306,NA())</f>
        <v>286</v>
      </c>
      <c r="G306">
        <f>IF(AND(E306="Margem bruta",ISNUMBER(B306),ISNUMBER(C306),ISNUMBER(D306)),C306,NA())</f>
        <v>0.312</v>
      </c>
      <c r="H306">
        <f>IF(AND(E306="Margem bruta",ISNUMBER(B306),ISNUMBER(C306),ISNUMBER(D306)),D306,NA())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0.33100000000000002</v>
      </c>
      <c r="D307">
        <f>1</f>
        <v>1</v>
      </c>
      <c r="E307" t="str">
        <f>"Margem bruta"</f>
        <v>Margem bruta</v>
      </c>
      <c r="F307">
        <f>IF(AND(E307="Margem bruta",ISNUMBER(B307),ISNUMBER(C307),ISNUMBER(D307)),B307,NA())</f>
        <v>252</v>
      </c>
      <c r="G307">
        <f>IF(AND(E307="Margem bruta",ISNUMBER(B307),ISNUMBER(C307),ISNUMBER(D307)),C307,NA())</f>
        <v>0.33100000000000002</v>
      </c>
      <c r="H307">
        <f>IF(AND(E307="Margem bruta",ISNUMBER(B307),ISNUMBER(C307),ISNUMBER(D307)),D307,NA())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0.32</v>
      </c>
      <c r="D308">
        <f>1</f>
        <v>1</v>
      </c>
      <c r="E308" t="str">
        <f>"Margem bruta"</f>
        <v>Margem bruta</v>
      </c>
      <c r="F308">
        <f>IF(AND(E308="Margem bruta",ISNUMBER(B308),ISNUMBER(C308),ISNUMBER(D308)),B308,NA())</f>
        <v>269</v>
      </c>
      <c r="G308">
        <f>IF(AND(E308="Margem bruta",ISNUMBER(B308),ISNUMBER(C308),ISNUMBER(D308)),C308,NA())</f>
        <v>0.32</v>
      </c>
      <c r="H308">
        <f>IF(AND(E308="Margem bruta",ISNUMBER(B308),ISNUMBER(C308),ISNUMBER(D308)),D308,NA())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0.32600000000000001</v>
      </c>
      <c r="D309">
        <f>1</f>
        <v>1</v>
      </c>
      <c r="E309" t="str">
        <f>"Margem bruta"</f>
        <v>Margem bruta</v>
      </c>
      <c r="F309">
        <f>IF(AND(E309="Margem bruta",ISNUMBER(B309),ISNUMBER(C309),ISNUMBER(D309)),B309,NA())</f>
        <v>274</v>
      </c>
      <c r="G309">
        <f>IF(AND(E309="Margem bruta",ISNUMBER(B309),ISNUMBER(C309),ISNUMBER(D309)),C309,NA())</f>
        <v>0.32600000000000001</v>
      </c>
      <c r="H309">
        <f>IF(AND(E309="Margem bruta",ISNUMBER(B309),ISNUMBER(C309),ISNUMBER(D309)),D309,NA())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0.33200000000000002</v>
      </c>
      <c r="D310">
        <f>1</f>
        <v>1</v>
      </c>
      <c r="E310" t="str">
        <f>"Margem bruta"</f>
        <v>Margem bruta</v>
      </c>
      <c r="F310">
        <f>IF(AND(E310="Margem bruta",ISNUMBER(B310),ISNUMBER(C310),ISNUMBER(D310)),B310,NA())</f>
        <v>244</v>
      </c>
      <c r="G310">
        <f>IF(AND(E310="Margem bruta",ISNUMBER(B310),ISNUMBER(C310),ISNUMBER(D310)),C310,NA())</f>
        <v>0.33200000000000002</v>
      </c>
      <c r="H310">
        <f>IF(AND(E310="Margem bruta",ISNUMBER(B310),ISNUMBER(C310),ISNUMBER(D310)),D310,NA())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0.30099999999999999</v>
      </c>
      <c r="D311">
        <f>1</f>
        <v>1</v>
      </c>
      <c r="E311" t="str">
        <f>"Margem bruta"</f>
        <v>Margem bruta</v>
      </c>
      <c r="F311">
        <f>IF(AND(E311="Margem bruta",ISNUMBER(B311),ISNUMBER(C311),ISNUMBER(D311)),B311,NA())</f>
        <v>283</v>
      </c>
      <c r="G311">
        <f>IF(AND(E311="Margem bruta",ISNUMBER(B311),ISNUMBER(C311),ISNUMBER(D311)),C311,NA())</f>
        <v>0.30099999999999999</v>
      </c>
      <c r="H311">
        <f>IF(AND(E311="Margem bruta",ISNUMBER(B311),ISNUMBER(C311),ISNUMBER(D311)),D311,NA())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0.31900000000000001</v>
      </c>
      <c r="D312">
        <f>1</f>
        <v>1</v>
      </c>
      <c r="E312" t="str">
        <f>"Margem bruta"</f>
        <v>Margem bruta</v>
      </c>
      <c r="F312">
        <f>IF(AND(E312="Margem bruta",ISNUMBER(B312),ISNUMBER(C312),ISNUMBER(D312)),B312,NA())</f>
        <v>257</v>
      </c>
      <c r="G312">
        <f>IF(AND(E312="Margem bruta",ISNUMBER(B312),ISNUMBER(C312),ISNUMBER(D312)),C312,NA())</f>
        <v>0.31900000000000001</v>
      </c>
      <c r="H312">
        <f>IF(AND(E312="Margem bruta",ISNUMBER(B312),ISNUMBER(C312),ISNUMBER(D312)),D312,NA())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0.30599999999999999</v>
      </c>
      <c r="D313">
        <f>1</f>
        <v>1</v>
      </c>
      <c r="E313" t="str">
        <f>"Margem bruta"</f>
        <v>Margem bruta</v>
      </c>
      <c r="F313">
        <f>IF(AND(E313="Margem bruta",ISNUMBER(B313),ISNUMBER(C313),ISNUMBER(D313)),B313,NA())</f>
        <v>259</v>
      </c>
      <c r="G313">
        <f>IF(AND(E313="Margem bruta",ISNUMBER(B313),ISNUMBER(C313),ISNUMBER(D313)),C313,NA())</f>
        <v>0.30599999999999999</v>
      </c>
      <c r="H313">
        <f>IF(AND(E313="Margem bruta",ISNUMBER(B313),ISNUMBER(C313),ISNUMBER(D313)),D313,NA())</f>
        <v>1</v>
      </c>
    </row>
    <row r="315" spans="1:14" x14ac:dyDescent="0.25">
      <c r="A315" s="11" t="s">
        <v>279</v>
      </c>
      <c r="B315" s="5" t="s">
        <v>280</v>
      </c>
      <c r="C315" s="5" t="str">
        <f>"'E21'!$A$6:$E$14"</f>
        <v>'E21'!$A$6:$E$14</v>
      </c>
      <c r="D315" s="11" t="s">
        <v>287</v>
      </c>
      <c r="E315" s="5">
        <f>IFERROR(_xlfn.AGGREGATE(1,6,$F$317:$H$324),0)</f>
        <v>302</v>
      </c>
      <c r="F315" s="5">
        <f>IFERROR(_xlfn.AGGREGATE(1,6,$I$317:$K$324),0)</f>
        <v>0.35987499999999994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281</v>
      </c>
      <c r="H316" t="s">
        <v>284</v>
      </c>
      <c r="I316" t="s">
        <v>273</v>
      </c>
      <c r="J316" t="s">
        <v>282</v>
      </c>
      <c r="K316" t="s">
        <v>285</v>
      </c>
      <c r="L316" t="s">
        <v>274</v>
      </c>
      <c r="M316" t="s">
        <v>283</v>
      </c>
      <c r="N316" t="s">
        <v>286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0.221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0.221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</v>
      </c>
      <c r="B318">
        <f>IF(ISNUMBER('E21'!$B$8),'E21'!$B$8,NA())</f>
        <v>696</v>
      </c>
      <c r="C318">
        <f>IF(ISNUMBER('E21'!$C$8),'E21'!$C$8,NA())</f>
        <v>0.33800000000000002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0.33800000000000002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0.38100000000000001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0.38100000000000001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0.35799999999999998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0.35799999999999998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0.4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0.4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0.29099999999999998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0.29099999999999998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0.42899999999999999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0.42899999999999999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0.46100000000000002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0.46100000000000002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8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8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8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8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8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  <row r="375" spans="1:58" x14ac:dyDescent="0.25">
      <c r="A375" s="11" t="s">
        <v>333</v>
      </c>
      <c r="B375" s="5" t="s">
        <v>334</v>
      </c>
      <c r="C375" s="5" t="str">
        <f>"'E27'!$A$6:$C$13"</f>
        <v>'E27'!$A$6:$C$13</v>
      </c>
      <c r="D375" s="11" t="s">
        <v>392</v>
      </c>
      <c r="E375" s="5">
        <v>0.64720631102594939</v>
      </c>
      <c r="F375" s="5">
        <v>0.38461538461538464</v>
      </c>
      <c r="G375" s="5">
        <v>1</v>
      </c>
      <c r="H375" s="5">
        <v>1</v>
      </c>
      <c r="I375" s="11"/>
      <c r="J375" s="11"/>
      <c r="K375" s="5">
        <v>0</v>
      </c>
      <c r="L375" s="5">
        <v>1</v>
      </c>
      <c r="M375" s="5">
        <v>1</v>
      </c>
      <c r="N375" s="5">
        <v>1</v>
      </c>
      <c r="O375" s="5">
        <v>1</v>
      </c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</row>
    <row r="376" spans="1:58" x14ac:dyDescent="0.25">
      <c r="A376" t="s">
        <v>104</v>
      </c>
      <c r="B376" t="s">
        <v>335</v>
      </c>
      <c r="C376" t="s">
        <v>336</v>
      </c>
      <c r="D376" t="s">
        <v>337</v>
      </c>
      <c r="E376" t="s">
        <v>338</v>
      </c>
      <c r="F376" t="s">
        <v>339</v>
      </c>
      <c r="G376" t="s">
        <v>340</v>
      </c>
      <c r="H376" t="s">
        <v>341</v>
      </c>
      <c r="I376" t="s">
        <v>342</v>
      </c>
      <c r="J376" t="s">
        <v>343</v>
      </c>
      <c r="K376" t="s">
        <v>344</v>
      </c>
      <c r="L376" t="s">
        <v>345</v>
      </c>
      <c r="M376" t="s">
        <v>346</v>
      </c>
      <c r="N376" t="s">
        <v>347</v>
      </c>
      <c r="O376" t="s">
        <v>348</v>
      </c>
      <c r="P376" t="s">
        <v>349</v>
      </c>
      <c r="Q376" t="s">
        <v>350</v>
      </c>
      <c r="R376" t="s">
        <v>351</v>
      </c>
      <c r="S376" t="s">
        <v>352</v>
      </c>
      <c r="T376" t="s">
        <v>353</v>
      </c>
      <c r="U376" t="s">
        <v>354</v>
      </c>
      <c r="V376" t="s">
        <v>355</v>
      </c>
      <c r="W376" t="s">
        <v>356</v>
      </c>
      <c r="X376" t="s">
        <v>357</v>
      </c>
      <c r="Y376" t="s">
        <v>358</v>
      </c>
      <c r="Z376" t="s">
        <v>359</v>
      </c>
      <c r="AA376" t="s">
        <v>360</v>
      </c>
      <c r="AB376" t="s">
        <v>361</v>
      </c>
      <c r="AC376" t="s">
        <v>362</v>
      </c>
      <c r="AD376" t="s">
        <v>363</v>
      </c>
      <c r="AE376" t="s">
        <v>364</v>
      </c>
      <c r="AF376" t="s">
        <v>365</v>
      </c>
      <c r="AG376" t="s">
        <v>366</v>
      </c>
      <c r="AH376" t="s">
        <v>367</v>
      </c>
      <c r="AI376" t="s">
        <v>368</v>
      </c>
      <c r="AJ376" t="s">
        <v>369</v>
      </c>
      <c r="AK376" t="s">
        <v>370</v>
      </c>
      <c r="AL376" t="s">
        <v>371</v>
      </c>
      <c r="AM376" t="s">
        <v>372</v>
      </c>
      <c r="AN376" t="s">
        <v>198</v>
      </c>
      <c r="AO376" t="s">
        <v>373</v>
      </c>
      <c r="AP376" t="s">
        <v>374</v>
      </c>
      <c r="AQ376" t="s">
        <v>375</v>
      </c>
      <c r="AR376" t="s">
        <v>376</v>
      </c>
      <c r="AS376" t="s">
        <v>377</v>
      </c>
      <c r="AT376" t="s">
        <v>378</v>
      </c>
      <c r="AU376" t="s">
        <v>379</v>
      </c>
      <c r="AV376" t="s">
        <v>380</v>
      </c>
      <c r="AW376" t="s">
        <v>381</v>
      </c>
      <c r="AX376" t="s">
        <v>382</v>
      </c>
      <c r="AY376" t="s">
        <v>383</v>
      </c>
      <c r="AZ376" t="s">
        <v>384</v>
      </c>
      <c r="BA376" t="s">
        <v>385</v>
      </c>
      <c r="BB376" t="s">
        <v>386</v>
      </c>
      <c r="BC376" t="s">
        <v>387</v>
      </c>
      <c r="BD376" t="s">
        <v>388</v>
      </c>
      <c r="BE376" t="s">
        <v>389</v>
      </c>
      <c r="BF376" t="s">
        <v>390</v>
      </c>
    </row>
    <row r="377" spans="1:58" x14ac:dyDescent="0.25">
      <c r="A377" s="20" t="str">
        <f>IF(ISBLANK('E27'!$A$7)," ",'E27'!$A$7)</f>
        <v>Receita bruta</v>
      </c>
      <c r="B377">
        <f>'E27'!$B$7</f>
        <v>117.2</v>
      </c>
      <c r="C377" t="b">
        <f>IF(ISERROR(B377),FALSE,IF(ISNUMBER(B377),FALSE,OR(LOWER(TRIM(B377&amp;""))={"e","t","=","total","subtotal"})))</f>
        <v>0</v>
      </c>
      <c r="D377">
        <f>IF(C377,0,IF(ISNUMBER(B377),B377,0))</f>
        <v>117.2</v>
      </c>
      <c r="E377">
        <f>0</f>
        <v>0</v>
      </c>
      <c r="F377">
        <f>IF(C377,E377,E377+D377)</f>
        <v>117.2</v>
      </c>
      <c r="G377">
        <f>IF(C377,MIN(0,F377),MIN(E377,F377))</f>
        <v>0</v>
      </c>
      <c r="H377">
        <f>IF(C377,MAX(0,F377),MAX(E377,F377))</f>
        <v>117.2</v>
      </c>
      <c r="I377">
        <f>MAX(0,G377)+MIN(0,H377)</f>
        <v>0</v>
      </c>
      <c r="J377">
        <f>MAX(0,H377)-MAX(0,G377)</f>
        <v>117.2</v>
      </c>
      <c r="K377">
        <f>MIN(0,G377)-MIN(0,H377)</f>
        <v>0</v>
      </c>
      <c r="L377">
        <f>IF(M377,F377,D377)</f>
        <v>117.2</v>
      </c>
      <c r="M377" t="b">
        <f>TRUE</f>
        <v>1</v>
      </c>
      <c r="N377">
        <f>'E27'!$C$7</f>
        <v>129.69999999999999</v>
      </c>
      <c r="O377" t="b">
        <f>IF(ISERROR(N377),FALSE,IF(ISNUMBER(N377),FALSE,OR(LOWER(TRIM(N377&amp;""))={"e","t","=","total","subtotal"})))</f>
        <v>0</v>
      </c>
      <c r="P377">
        <f>IF(O377,0,IF(ISNUMBER(N377),N377,0))</f>
        <v>129.69999999999999</v>
      </c>
      <c r="Q377">
        <f>0</f>
        <v>0</v>
      </c>
      <c r="R377">
        <f>IF(O377,Q377,Q377+P377)</f>
        <v>129.69999999999999</v>
      </c>
      <c r="S377">
        <f>IF(O377,MIN(0,R377),MIN(Q377,R377))</f>
        <v>0</v>
      </c>
      <c r="T377">
        <f>IF(O377,MAX(0,R377),MAX(Q377,R377))</f>
        <v>129.69999999999999</v>
      </c>
      <c r="U377">
        <f>MAX(0,S377)+MIN(0,T377)</f>
        <v>0</v>
      </c>
      <c r="V377">
        <f>MAX(0,T377)-MAX(0,S377)</f>
        <v>129.69999999999999</v>
      </c>
      <c r="W377">
        <f>MIN(0,S377)-MIN(0,T377)</f>
        <v>0</v>
      </c>
      <c r="X377">
        <f>IF(Y377,R377,P377)</f>
        <v>129.69999999999999</v>
      </c>
      <c r="Y377" t="b">
        <f>TRUE</f>
        <v>1</v>
      </c>
      <c r="Z377" t="str">
        <f>IF(M377&lt;&gt;Y377,"n/d",IF($K$375=1,IF(ROUND((X377-L377)/$G$375,$H$375)&gt;0,"+","")&amp;FIXED(ROUND((X377-L377)/$G$375,$H$375),$H$375)&amp;$J$375,IF(OR(L377=0,L377*X377&lt;0),"n/d",IF(ROUND(100*(X377-L377)/L377,0)&gt;0,"+","")&amp;FIXED(ROUND(100*(X377-L377)/L377,0),0)&amp;"%")))</f>
        <v>+11%</v>
      </c>
      <c r="AA377" t="str">
        <f>IF(M377,FIXED(ROUND(F377/$G$375,$H$375),$H$375)&amp;$I$375,"")</f>
        <v>117,2</v>
      </c>
      <c r="AB377" t="str">
        <f>IF(Y377,FIXED(ROUND(R377/$G$375,$H$375),$H$375)&amp;$I$375,"")</f>
        <v>129,7</v>
      </c>
      <c r="AC377" s="20" t="str">
        <f>A377</f>
        <v>Receita bruta</v>
      </c>
      <c r="AD377" t="s">
        <v>391</v>
      </c>
      <c r="AE377">
        <f>I377</f>
        <v>0</v>
      </c>
      <c r="AF377">
        <f>J377</f>
        <v>117.2</v>
      </c>
      <c r="AG377">
        <f>K377</f>
        <v>0</v>
      </c>
      <c r="AH377">
        <f>0</f>
        <v>0</v>
      </c>
      <c r="AI377">
        <f>0</f>
        <v>0</v>
      </c>
      <c r="AJ377" t="e">
        <f>IF(M377,NA(),(G377+H377)/2)</f>
        <v>#N/A</v>
      </c>
      <c r="AK377" s="14" t="str">
        <f>IF(OR(M377,AP377=0),"",D377)</f>
        <v/>
      </c>
      <c r="AL377" t="e">
        <f>NA()</f>
        <v>#N/A</v>
      </c>
      <c r="AM377" s="14" t="str">
        <f>""</f>
        <v/>
      </c>
      <c r="AN377">
        <f>IF(M377,IF(F377&gt;=0,H377,G377),NA())</f>
        <v>117.2</v>
      </c>
      <c r="AO377" s="12" t="str">
        <f>IF(AP377=0,IF(M377,FIXED(ROUND(F377/$G$375,$H$375),$H$375)&amp;$I$375,""),AA377)</f>
        <v>117,2</v>
      </c>
      <c r="AP377">
        <v>1</v>
      </c>
      <c r="AQ377">
        <f>H377</f>
        <v>117.2</v>
      </c>
      <c r="AR377">
        <f>1+$F$375</f>
        <v>1.3846153846153846</v>
      </c>
      <c r="AS377">
        <f>F377</f>
        <v>117.2</v>
      </c>
      <c r="AT377">
        <f>3-2*$F$375</f>
        <v>2.2307692307692308</v>
      </c>
      <c r="AU377">
        <f>2+$F$375</f>
        <v>2.3846153846153846</v>
      </c>
      <c r="AV377">
        <f>R377</f>
        <v>129.69999999999999</v>
      </c>
      <c r="AW377">
        <f>1</f>
        <v>1</v>
      </c>
      <c r="AX377">
        <f>(H377+$E$375*IF(AND(M377,$L$375=1,F377&gt;=0),22,3))</f>
        <v>131.43853884257089</v>
      </c>
      <c r="AZ377">
        <f>3/2</f>
        <v>1.5</v>
      </c>
      <c r="BA377">
        <f>(MAX((H377+$E$375*IF(AND(M377,$L$375=1,F377&gt;=0),22,3)),(T377+$E$375*IF(AND(Y377,$L$375=1,R377&gt;=0),22,3)))+$E$375*12)+$E$375*12</f>
        <v>159.47149030719365</v>
      </c>
      <c r="BB377">
        <f>1</f>
        <v>1</v>
      </c>
      <c r="BC377">
        <f>(G377+H377)/2</f>
        <v>58.6</v>
      </c>
      <c r="BD377" t="str">
        <f>IF(AND($N$375=1,$O$375=1),'E27'!$B$6&amp;"","")</f>
        <v>2024</v>
      </c>
      <c r="BE377">
        <f>1/2</f>
        <v>0.5</v>
      </c>
      <c r="BF377">
        <f>0</f>
        <v>0</v>
      </c>
    </row>
    <row r="378" spans="1:58" x14ac:dyDescent="0.25">
      <c r="A378" s="20" t="str">
        <f>IF(ISBLANK('E27'!$A$8)," ",'E27'!$A$8)</f>
        <v>Custo das mercadorias</v>
      </c>
      <c r="B378">
        <f>'E27'!$B$8</f>
        <v>-79.900000000000006</v>
      </c>
      <c r="C378" t="b">
        <f>IF(ISERROR(B378),FALSE,IF(ISNUMBER(B378),FALSE,OR(LOWER(TRIM(B378&amp;""))={"e","t","=","total","subtotal"})))</f>
        <v>0</v>
      </c>
      <c r="D378">
        <f>IF(C378,0,IF(ISNUMBER(B378),B378,0))</f>
        <v>-79.900000000000006</v>
      </c>
      <c r="E378">
        <f>F377</f>
        <v>117.2</v>
      </c>
      <c r="F378">
        <f>IF(C378,E378,E378+D378)</f>
        <v>37.299999999999997</v>
      </c>
      <c r="G378">
        <f>IF(C378,MIN(0,F378),MIN(E378,F378))</f>
        <v>37.299999999999997</v>
      </c>
      <c r="H378">
        <f>IF(C378,MAX(0,F378),MAX(E378,F378))</f>
        <v>117.2</v>
      </c>
      <c r="I378">
        <f>MAX(0,G378)+MIN(0,H378)</f>
        <v>37.299999999999997</v>
      </c>
      <c r="J378">
        <f>MAX(0,H378)-MAX(0,G378)</f>
        <v>79.900000000000006</v>
      </c>
      <c r="K378">
        <f>MIN(0,G378)-MIN(0,H378)</f>
        <v>0</v>
      </c>
      <c r="L378">
        <f>IF(M378,F378,D378)</f>
        <v>-79.900000000000006</v>
      </c>
      <c r="M378" t="b">
        <f>C378</f>
        <v>0</v>
      </c>
      <c r="N378">
        <f>'E27'!$C$8</f>
        <v>-88.3</v>
      </c>
      <c r="O378" t="b">
        <f>IF(ISERROR(N378),FALSE,IF(ISNUMBER(N378),FALSE,OR(LOWER(TRIM(N378&amp;""))={"e","t","=","total","subtotal"})))</f>
        <v>0</v>
      </c>
      <c r="P378">
        <f>IF(O378,0,IF(ISNUMBER(N378),N378,0))</f>
        <v>-88.3</v>
      </c>
      <c r="Q378">
        <f>R377</f>
        <v>129.69999999999999</v>
      </c>
      <c r="R378">
        <f>IF(O378,Q378,Q378+P378)</f>
        <v>41.399999999999991</v>
      </c>
      <c r="S378">
        <f>IF(O378,MIN(0,R378),MIN(Q378,R378))</f>
        <v>41.399999999999991</v>
      </c>
      <c r="T378">
        <f>IF(O378,MAX(0,R378),MAX(Q378,R378))</f>
        <v>129.69999999999999</v>
      </c>
      <c r="U378">
        <f>MAX(0,S378)+MIN(0,T378)</f>
        <v>41.399999999999991</v>
      </c>
      <c r="V378">
        <f>MAX(0,T378)-MAX(0,S378)</f>
        <v>88.3</v>
      </c>
      <c r="W378">
        <f>MIN(0,S378)-MIN(0,T378)</f>
        <v>0</v>
      </c>
      <c r="X378">
        <f>IF(Y378,R378,P378)</f>
        <v>-88.3</v>
      </c>
      <c r="Y378" t="b">
        <f>O378</f>
        <v>0</v>
      </c>
      <c r="Z378" t="str">
        <f>IF(M378&lt;&gt;Y378,"n/d",IF($K$375=1,IF(ROUND((X378-L378)/$G$375,$H$375)&gt;0,"+","")&amp;FIXED(ROUND((X378-L378)/$G$375,$H$375),$H$375)&amp;$J$375,IF(OR(L378=0,L378*X378&lt;0),"n/d",IF(ROUND(100*(X378-L378)/L378,0)&gt;0,"+","")&amp;FIXED(ROUND(100*(X378-L378)/L378,0),0)&amp;"%")))</f>
        <v>+11%</v>
      </c>
      <c r="AA378" t="str">
        <f>IF(M378,FIXED(ROUND(F378/$G$375,$H$375),$H$375)&amp;$I$375&amp;IF(AND($M$375=1,$F$377&lt;&gt;0)," ("&amp;FIXED(ROUND(100*F378/$F$377,0),0)&amp;"%)",""),"")</f>
        <v/>
      </c>
      <c r="AB378" t="str">
        <f>IF(Y378,FIXED(ROUND(R378/$G$375,$H$375),$H$375)&amp;$I$375&amp;IF(AND($M$375=1,$R$377&lt;&gt;0)," ("&amp;FIXED(ROUND(100*R378/$R$377,0),0)&amp;"%)",""),"")</f>
        <v/>
      </c>
      <c r="AD378" t="s">
        <v>391</v>
      </c>
      <c r="AE378">
        <f>U377</f>
        <v>0</v>
      </c>
      <c r="AF378">
        <f>0</f>
        <v>0</v>
      </c>
      <c r="AG378">
        <f>0</f>
        <v>0</v>
      </c>
      <c r="AH378">
        <f>V377</f>
        <v>129.69999999999999</v>
      </c>
      <c r="AI378">
        <f>W377</f>
        <v>0</v>
      </c>
      <c r="AJ378" t="e">
        <f>NA()</f>
        <v>#N/A</v>
      </c>
      <c r="AK378" s="14" t="str">
        <f>""</f>
        <v/>
      </c>
      <c r="AL378" t="e">
        <f>IF(Y377,NA(),(S377+T377)/2)</f>
        <v>#N/A</v>
      </c>
      <c r="AM378" s="14" t="str">
        <f>IF(OR(Y377,AP378=0),"",P377)</f>
        <v/>
      </c>
      <c r="AN378">
        <f>IF(Y377,IF(R377&gt;=0,T377,S377),NA())</f>
        <v>129.69999999999999</v>
      </c>
      <c r="AO378" s="12" t="str">
        <f>IF(AP378=0,IF(Y377,FIXED(ROUND(R377/$G$375,$H$375),$H$375)&amp;$I$375,""),AB377)</f>
        <v>129,7</v>
      </c>
      <c r="AP378">
        <v>1</v>
      </c>
      <c r="AQ378">
        <f>T377</f>
        <v>129.69999999999999</v>
      </c>
      <c r="AR378">
        <f>4+$F$375</f>
        <v>4.384615384615385</v>
      </c>
      <c r="AS378">
        <f>F378</f>
        <v>37.299999999999997</v>
      </c>
      <c r="AT378">
        <f>3-2*$F$375</f>
        <v>2.2307692307692308</v>
      </c>
      <c r="AU378">
        <f>5+$F$375</f>
        <v>5.384615384615385</v>
      </c>
      <c r="AV378">
        <f>R378</f>
        <v>41.399999999999991</v>
      </c>
      <c r="AW378">
        <f>1</f>
        <v>1</v>
      </c>
      <c r="AX378">
        <f>(MAX((H377+$E$375*IF(AND(M377,$L$375=1,F377&gt;=0),22,3)),(T377+$E$375*IF(AND(Y377,$L$375=1,R377&gt;=0),22,3)))+$E$375*12)</f>
        <v>151.70501457488226</v>
      </c>
      <c r="AZ378">
        <f>9/2</f>
        <v>4.5</v>
      </c>
      <c r="BA378">
        <f>(MAX((H378+$E$375*IF(AND(M378,$L$375=1,F378&gt;=0),22,3)),(T378+$E$375*IF(AND(Y378,$L$375=1,R378&gt;=0),22,3)))+$E$375*12)+$E$375*12</f>
        <v>147.17457039770062</v>
      </c>
      <c r="BB378">
        <f>2</f>
        <v>2</v>
      </c>
      <c r="BC378">
        <f>(S377+T377)/2</f>
        <v>64.849999999999994</v>
      </c>
      <c r="BD378" t="str">
        <f>IF(AND($N$375=1,$O$375=1),'E27'!$C$6&amp;"","")</f>
        <v>2025</v>
      </c>
      <c r="BE378">
        <f>41/2</f>
        <v>20.5</v>
      </c>
      <c r="BF378">
        <f>0</f>
        <v>0</v>
      </c>
    </row>
    <row r="379" spans="1:58" x14ac:dyDescent="0.25">
      <c r="A379" s="20" t="str">
        <f>IF(ISBLANK('E27'!$A$9)," ",'E27'!$A$9)</f>
        <v>Despesas operacionais</v>
      </c>
      <c r="B379">
        <f>'E27'!$B$9</f>
        <v>-24.6</v>
      </c>
      <c r="C379" t="b">
        <f>IF(ISERROR(B379),FALSE,IF(ISNUMBER(B379),FALSE,OR(LOWER(TRIM(B379&amp;""))={"e","t","=","total","subtotal"})))</f>
        <v>0</v>
      </c>
      <c r="D379">
        <f>IF(C379,0,IF(ISNUMBER(B379),B379,0))</f>
        <v>-24.6</v>
      </c>
      <c r="E379">
        <f>F378</f>
        <v>37.299999999999997</v>
      </c>
      <c r="F379">
        <f>IF(C379,E379,E379+D379)</f>
        <v>12.699999999999996</v>
      </c>
      <c r="G379">
        <f>IF(C379,MIN(0,F379),MIN(E379,F379))</f>
        <v>12.699999999999996</v>
      </c>
      <c r="H379">
        <f>IF(C379,MAX(0,F379),MAX(E379,F379))</f>
        <v>37.299999999999997</v>
      </c>
      <c r="I379">
        <f>MAX(0,G379)+MIN(0,H379)</f>
        <v>12.699999999999996</v>
      </c>
      <c r="J379">
        <f>MAX(0,H379)-MAX(0,G379)</f>
        <v>24.6</v>
      </c>
      <c r="K379">
        <f>MIN(0,G379)-MIN(0,H379)</f>
        <v>0</v>
      </c>
      <c r="L379">
        <f>IF(M379,F379,D379)</f>
        <v>-24.6</v>
      </c>
      <c r="M379" t="b">
        <f>C379</f>
        <v>0</v>
      </c>
      <c r="N379">
        <f>'E27'!$C$9</f>
        <v>-27.2</v>
      </c>
      <c r="O379" t="b">
        <f>IF(ISERROR(N379),FALSE,IF(ISNUMBER(N379),FALSE,OR(LOWER(TRIM(N379&amp;""))={"e","t","=","total","subtotal"})))</f>
        <v>0</v>
      </c>
      <c r="P379">
        <f>IF(O379,0,IF(ISNUMBER(N379),N379,0))</f>
        <v>-27.2</v>
      </c>
      <c r="Q379">
        <f>R378</f>
        <v>41.399999999999991</v>
      </c>
      <c r="R379">
        <f>IF(O379,Q379,Q379+P379)</f>
        <v>14.199999999999992</v>
      </c>
      <c r="S379">
        <f>IF(O379,MIN(0,R379),MIN(Q379,R379))</f>
        <v>14.199999999999992</v>
      </c>
      <c r="T379">
        <f>IF(O379,MAX(0,R379),MAX(Q379,R379))</f>
        <v>41.399999999999991</v>
      </c>
      <c r="U379">
        <f>MAX(0,S379)+MIN(0,T379)</f>
        <v>14.199999999999992</v>
      </c>
      <c r="V379">
        <f>MAX(0,T379)-MAX(0,S379)</f>
        <v>27.2</v>
      </c>
      <c r="W379">
        <f>MIN(0,S379)-MIN(0,T379)</f>
        <v>0</v>
      </c>
      <c r="X379">
        <f>IF(Y379,R379,P379)</f>
        <v>-27.2</v>
      </c>
      <c r="Y379" t="b">
        <f>O379</f>
        <v>0</v>
      </c>
      <c r="Z379" t="str">
        <f>IF(M379&lt;&gt;Y379,"n/d",IF($K$375=1,IF(ROUND((X379-L379)/$G$375,$H$375)&gt;0,"+","")&amp;FIXED(ROUND((X379-L379)/$G$375,$H$375),$H$375)&amp;$J$375,IF(OR(L379=0,L379*X379&lt;0),"n/d",IF(ROUND(100*(X379-L379)/L379,0)&gt;0,"+","")&amp;FIXED(ROUND(100*(X379-L379)/L379,0),0)&amp;"%")))</f>
        <v>+11%</v>
      </c>
      <c r="AA379" t="str">
        <f>IF(M379,FIXED(ROUND(F379/$G$375,$H$375),$H$375)&amp;$I$375&amp;IF(AND($M$375=1,$F$377&lt;&gt;0)," ("&amp;FIXED(ROUND(100*F379/$F$377,0),0)&amp;"%)",""),"")</f>
        <v/>
      </c>
      <c r="AB379" t="str">
        <f>IF(Y379,FIXED(ROUND(R379/$G$375,$H$375),$H$375)&amp;$I$375&amp;IF(AND($M$375=1,$R$377&lt;&gt;0)," ("&amp;FIXED(ROUND(100*R379/$R$377,0),0)&amp;"%)",""),"")</f>
        <v/>
      </c>
      <c r="AC379" t="s">
        <v>391</v>
      </c>
      <c r="AD379" t="s">
        <v>391</v>
      </c>
      <c r="AE379">
        <f>0</f>
        <v>0</v>
      </c>
      <c r="AF379">
        <f>0</f>
        <v>0</v>
      </c>
      <c r="AG379">
        <f>0</f>
        <v>0</v>
      </c>
      <c r="AH379">
        <f>0</f>
        <v>0</v>
      </c>
      <c r="AI379">
        <f>0</f>
        <v>0</v>
      </c>
      <c r="AJ379" t="e">
        <f>NA()</f>
        <v>#N/A</v>
      </c>
      <c r="AK379" s="14" t="str">
        <f>""</f>
        <v/>
      </c>
      <c r="AL379" t="e">
        <f>NA()</f>
        <v>#N/A</v>
      </c>
      <c r="AM379" s="14" t="str">
        <f>""</f>
        <v/>
      </c>
      <c r="AN379" t="e">
        <f>NA()</f>
        <v>#N/A</v>
      </c>
      <c r="AO379" s="12" t="str">
        <f>""</f>
        <v/>
      </c>
      <c r="AP379">
        <v>1</v>
      </c>
      <c r="AQ379">
        <f>0</f>
        <v>0</v>
      </c>
      <c r="AR379">
        <f>7+$F$375</f>
        <v>7.384615384615385</v>
      </c>
      <c r="AS379">
        <f>F379</f>
        <v>12.699999999999996</v>
      </c>
      <c r="AT379">
        <f>3-2*$F$375</f>
        <v>2.2307692307692308</v>
      </c>
      <c r="AU379">
        <f>8+$F$375</f>
        <v>8.384615384615385</v>
      </c>
      <c r="AV379">
        <f>R379</f>
        <v>14.199999999999992</v>
      </c>
      <c r="AW379">
        <f>3/2</f>
        <v>1.5</v>
      </c>
      <c r="AX379">
        <f>(MAX((H377+$E$375*IF(AND(M377,$L$375=1,F377&gt;=0),22,3)),(T377+$E$375*IF(AND(Y377,$L$375=1,R377&gt;=0),22,3)))+$E$375*12)</f>
        <v>151.70501457488226</v>
      </c>
      <c r="AY379" t="str">
        <f>Z377</f>
        <v>+11%</v>
      </c>
      <c r="AZ379">
        <f>15/2</f>
        <v>7.5</v>
      </c>
      <c r="BA379">
        <f>(MAX((H379+$E$375*IF(AND(M379,$L$375=1,F379&gt;=0),22,3)),(T379+$E$375*IF(AND(Y379,$L$375=1,R379&gt;=0),22,3)))+$E$375*12)+$E$375*12</f>
        <v>58.874570397700623</v>
      </c>
    </row>
    <row r="380" spans="1:58" x14ac:dyDescent="0.25">
      <c r="A380" s="20" t="str">
        <f>IF(ISBLANK('E27'!$A$10)," ",'E27'!$A$10)</f>
        <v>EBITDA</v>
      </c>
      <c r="B380" t="str">
        <f>'E27'!$B$10</f>
        <v>e</v>
      </c>
      <c r="C380" t="b">
        <f>IF(ISERROR(B380),FALSE,IF(ISNUMBER(B380),FALSE,OR(LOWER(TRIM(B380&amp;""))={"e","t","=","total","subtotal"})))</f>
        <v>1</v>
      </c>
      <c r="D380">
        <f>IF(C380,0,IF(ISNUMBER(B380),B380,0))</f>
        <v>0</v>
      </c>
      <c r="E380">
        <f>F379</f>
        <v>12.699999999999996</v>
      </c>
      <c r="F380">
        <f>IF(C380,E380,E380+D380)</f>
        <v>12.699999999999996</v>
      </c>
      <c r="G380">
        <f>IF(C380,MIN(0,F380),MIN(E380,F380))</f>
        <v>0</v>
      </c>
      <c r="H380">
        <f>IF(C380,MAX(0,F380),MAX(E380,F380))</f>
        <v>12.699999999999996</v>
      </c>
      <c r="I380">
        <f>MAX(0,G380)+MIN(0,H380)</f>
        <v>0</v>
      </c>
      <c r="J380">
        <f>MAX(0,H380)-MAX(0,G380)</f>
        <v>12.699999999999996</v>
      </c>
      <c r="K380">
        <f>MIN(0,G380)-MIN(0,H380)</f>
        <v>0</v>
      </c>
      <c r="L380">
        <f>IF(M380,F380,D380)</f>
        <v>12.699999999999996</v>
      </c>
      <c r="M380" t="b">
        <f>C380</f>
        <v>1</v>
      </c>
      <c r="N380" t="str">
        <f>'E27'!$C$10</f>
        <v>e</v>
      </c>
      <c r="O380" t="b">
        <f>IF(ISERROR(N380),FALSE,IF(ISNUMBER(N380),FALSE,OR(LOWER(TRIM(N380&amp;""))={"e","t","=","total","subtotal"})))</f>
        <v>1</v>
      </c>
      <c r="P380">
        <f>IF(O380,0,IF(ISNUMBER(N380),N380,0))</f>
        <v>0</v>
      </c>
      <c r="Q380">
        <f>R379</f>
        <v>14.199999999999992</v>
      </c>
      <c r="R380">
        <f>IF(O380,Q380,Q380+P380)</f>
        <v>14.199999999999992</v>
      </c>
      <c r="S380">
        <f>IF(O380,MIN(0,R380),MIN(Q380,R380))</f>
        <v>0</v>
      </c>
      <c r="T380">
        <f>IF(O380,MAX(0,R380),MAX(Q380,R380))</f>
        <v>14.199999999999992</v>
      </c>
      <c r="U380">
        <f>MAX(0,S380)+MIN(0,T380)</f>
        <v>0</v>
      </c>
      <c r="V380">
        <f>MAX(0,T380)-MAX(0,S380)</f>
        <v>14.199999999999992</v>
      </c>
      <c r="W380">
        <f>MIN(0,S380)-MIN(0,T380)</f>
        <v>0</v>
      </c>
      <c r="X380">
        <f>IF(Y380,R380,P380)</f>
        <v>14.199999999999992</v>
      </c>
      <c r="Y380" t="b">
        <f>O380</f>
        <v>1</v>
      </c>
      <c r="Z380" t="str">
        <f>IF(M380&lt;&gt;Y380,"n/d",IF($K$375=1,IF(ROUND((X380-L380)/$G$375,$H$375)&gt;0,"+","")&amp;FIXED(ROUND((X380-L380)/$G$375,$H$375),$H$375)&amp;$J$375,IF(OR(L380=0,L380*X380&lt;0),"n/d",IF(ROUND(100*(X380-L380)/L380,0)&gt;0,"+","")&amp;FIXED(ROUND(100*(X380-L380)/L380,0),0)&amp;"%")))</f>
        <v>+12%</v>
      </c>
      <c r="AA380" t="str">
        <f>IF(M380,FIXED(ROUND(F380/$G$375,$H$375),$H$375)&amp;$I$375&amp;IF(AND($M$375=1,$F$377&lt;&gt;0)," ("&amp;FIXED(ROUND(100*F380/$F$377,0),0)&amp;"%)",""),"")</f>
        <v>12,7 (11%)</v>
      </c>
      <c r="AB380" t="str">
        <f>IF(Y380,FIXED(ROUND(R380/$G$375,$H$375),$H$375)&amp;$I$375&amp;IF(AND($M$375=1,$R$377&lt;&gt;0)," ("&amp;FIXED(ROUND(100*R380/$R$377,0),0)&amp;"%)",""),"")</f>
        <v>14,2 (11%)</v>
      </c>
      <c r="AC380" s="20" t="str">
        <f>A378</f>
        <v>Custo das mercadorias</v>
      </c>
      <c r="AD380" t="s">
        <v>391</v>
      </c>
      <c r="AE380">
        <f>I378</f>
        <v>37.299999999999997</v>
      </c>
      <c r="AF380">
        <f>J378</f>
        <v>79.900000000000006</v>
      </c>
      <c r="AG380">
        <f>K378</f>
        <v>0</v>
      </c>
      <c r="AH380">
        <f>0</f>
        <v>0</v>
      </c>
      <c r="AI380">
        <f>0</f>
        <v>0</v>
      </c>
      <c r="AJ380">
        <f>IF(M378,NA(),(G378+H378)/2)</f>
        <v>77.25</v>
      </c>
      <c r="AK380" s="14">
        <f>IF(OR(M378,AP380=0),"",D378)</f>
        <v>-79.900000000000006</v>
      </c>
      <c r="AL380" t="e">
        <f>NA()</f>
        <v>#N/A</v>
      </c>
      <c r="AM380" s="14" t="str">
        <f>""</f>
        <v/>
      </c>
      <c r="AN380" t="e">
        <f>IF(M378,IF(F378&gt;=0,H378,G378),NA())</f>
        <v>#N/A</v>
      </c>
      <c r="AO380" s="12" t="str">
        <f>IF(AP380=0,IF(M378,FIXED(ROUND(F378/$G$375,$H$375),$H$375)&amp;$I$375,""),AA378)</f>
        <v/>
      </c>
      <c r="AP380">
        <v>1</v>
      </c>
      <c r="AQ380">
        <f>H378</f>
        <v>117.2</v>
      </c>
      <c r="AR380">
        <f>10+$F$375</f>
        <v>10.384615384615385</v>
      </c>
      <c r="AS380">
        <f>F380</f>
        <v>12.699999999999996</v>
      </c>
      <c r="AT380">
        <f>3-2*$F$375</f>
        <v>2.2307692307692308</v>
      </c>
      <c r="AU380">
        <f>11+$F$375</f>
        <v>11.384615384615385</v>
      </c>
      <c r="AV380">
        <f>R380</f>
        <v>14.199999999999992</v>
      </c>
      <c r="AW380">
        <f>2</f>
        <v>2</v>
      </c>
      <c r="AX380">
        <f>(MAX((H377+$E$375*IF(AND(M377,$L$375=1,F377&gt;=0),22,3)),(T377+$E$375*IF(AND(Y377,$L$375=1,R377&gt;=0),22,3)))+$E$375*12)</f>
        <v>151.70501457488226</v>
      </c>
      <c r="AZ380">
        <f>21/2</f>
        <v>10.5</v>
      </c>
      <c r="BA380">
        <f>(MAX((H380+$E$375*IF(AND(M380,$L$375=1,F380&gt;=0),22,3)),(T380+$E$375*IF(AND(Y380,$L$375=1,R380&gt;=0),22,3)))+$E$375*12)+$E$375*12</f>
        <v>43.971490307193662</v>
      </c>
    </row>
    <row r="381" spans="1:58" x14ac:dyDescent="0.25">
      <c r="A381" s="20" t="str">
        <f>IF(ISBLANK('E27'!$A$11)," ",'E27'!$A$11)</f>
        <v>Depreciação e juros</v>
      </c>
      <c r="B381">
        <f>'E27'!$B$11</f>
        <v>-2.9</v>
      </c>
      <c r="C381" t="b">
        <f>IF(ISERROR(B381),FALSE,IF(ISNUMBER(B381),FALSE,OR(LOWER(TRIM(B381&amp;""))={"e","t","=","total","subtotal"})))</f>
        <v>0</v>
      </c>
      <c r="D381">
        <f>IF(C381,0,IF(ISNUMBER(B381),B381,0))</f>
        <v>-2.9</v>
      </c>
      <c r="E381">
        <f>F380</f>
        <v>12.699999999999996</v>
      </c>
      <c r="F381">
        <f>IF(C381,E381,E381+D381)</f>
        <v>9.7999999999999954</v>
      </c>
      <c r="G381">
        <f>IF(C381,MIN(0,F381),MIN(E381,F381))</f>
        <v>9.7999999999999954</v>
      </c>
      <c r="H381">
        <f>IF(C381,MAX(0,F381),MAX(E381,F381))</f>
        <v>12.699999999999996</v>
      </c>
      <c r="I381">
        <f>MAX(0,G381)+MIN(0,H381)</f>
        <v>9.7999999999999954</v>
      </c>
      <c r="J381">
        <f>MAX(0,H381)-MAX(0,G381)</f>
        <v>2.9000000000000004</v>
      </c>
      <c r="K381">
        <f>MIN(0,G381)-MIN(0,H381)</f>
        <v>0</v>
      </c>
      <c r="L381">
        <f>IF(M381,F381,D381)</f>
        <v>-2.9</v>
      </c>
      <c r="M381" t="b">
        <f>C381</f>
        <v>0</v>
      </c>
      <c r="N381">
        <f>'E27'!$C$11</f>
        <v>-3.2</v>
      </c>
      <c r="O381" t="b">
        <f>IF(ISERROR(N381),FALSE,IF(ISNUMBER(N381),FALSE,OR(LOWER(TRIM(N381&amp;""))={"e","t","=","total","subtotal"})))</f>
        <v>0</v>
      </c>
      <c r="P381">
        <f>IF(O381,0,IF(ISNUMBER(N381),N381,0))</f>
        <v>-3.2</v>
      </c>
      <c r="Q381">
        <f>R380</f>
        <v>14.199999999999992</v>
      </c>
      <c r="R381">
        <f>IF(O381,Q381,Q381+P381)</f>
        <v>10.999999999999993</v>
      </c>
      <c r="S381">
        <f>IF(O381,MIN(0,R381),MIN(Q381,R381))</f>
        <v>10.999999999999993</v>
      </c>
      <c r="T381">
        <f>IF(O381,MAX(0,R381),MAX(Q381,R381))</f>
        <v>14.199999999999992</v>
      </c>
      <c r="U381">
        <f>MAX(0,S381)+MIN(0,T381)</f>
        <v>10.999999999999993</v>
      </c>
      <c r="V381">
        <f>MAX(0,T381)-MAX(0,S381)</f>
        <v>3.1999999999999993</v>
      </c>
      <c r="W381">
        <f>MIN(0,S381)-MIN(0,T381)</f>
        <v>0</v>
      </c>
      <c r="X381">
        <f>IF(Y381,R381,P381)</f>
        <v>-3.2</v>
      </c>
      <c r="Y381" t="b">
        <f>O381</f>
        <v>0</v>
      </c>
      <c r="Z381" t="str">
        <f>IF(M381&lt;&gt;Y381,"n/d",IF($K$375=1,IF(ROUND((X381-L381)/$G$375,$H$375)&gt;0,"+","")&amp;FIXED(ROUND((X381-L381)/$G$375,$H$375),$H$375)&amp;$J$375,IF(OR(L381=0,L381*X381&lt;0),"n/d",IF(ROUND(100*(X381-L381)/L381,0)&gt;0,"+","")&amp;FIXED(ROUND(100*(X381-L381)/L381,0),0)&amp;"%")))</f>
        <v>+10%</v>
      </c>
      <c r="AA381" t="str">
        <f>IF(M381,FIXED(ROUND(F381/$G$375,$H$375),$H$375)&amp;$I$375&amp;IF(AND($M$375=1,$F$377&lt;&gt;0)," ("&amp;FIXED(ROUND(100*F381/$F$377,0),0)&amp;"%)",""),"")</f>
        <v/>
      </c>
      <c r="AB381" t="str">
        <f>IF(Y381,FIXED(ROUND(R381/$G$375,$H$375),$H$375)&amp;$I$375&amp;IF(AND($M$375=1,$R$377&lt;&gt;0)," ("&amp;FIXED(ROUND(100*R381/$R$377,0),0)&amp;"%)",""),"")</f>
        <v/>
      </c>
      <c r="AD381" t="s">
        <v>391</v>
      </c>
      <c r="AE381">
        <f>U378</f>
        <v>41.399999999999991</v>
      </c>
      <c r="AF381">
        <f>0</f>
        <v>0</v>
      </c>
      <c r="AG381">
        <f>0</f>
        <v>0</v>
      </c>
      <c r="AH381">
        <f>V378</f>
        <v>88.3</v>
      </c>
      <c r="AI381">
        <f>W378</f>
        <v>0</v>
      </c>
      <c r="AJ381" t="e">
        <f>NA()</f>
        <v>#N/A</v>
      </c>
      <c r="AK381" s="14" t="str">
        <f>""</f>
        <v/>
      </c>
      <c r="AL381">
        <f>IF(Y378,NA(),(S378+T378)/2)</f>
        <v>85.549999999999983</v>
      </c>
      <c r="AM381" s="14">
        <f>IF(OR(Y378,AP381=0),"",P378)</f>
        <v>-88.3</v>
      </c>
      <c r="AN381" t="e">
        <f>IF(Y378,IF(R378&gt;=0,T378,S378),NA())</f>
        <v>#N/A</v>
      </c>
      <c r="AO381" s="12" t="str">
        <f>IF(AP381=0,IF(Y378,FIXED(ROUND(R378/$G$375,$H$375),$H$375)&amp;$I$375,""),AB378)</f>
        <v/>
      </c>
      <c r="AP381">
        <v>1</v>
      </c>
      <c r="AQ381">
        <f>T378</f>
        <v>129.69999999999999</v>
      </c>
      <c r="AR381">
        <f>13+$F$375</f>
        <v>13.384615384615385</v>
      </c>
      <c r="AS381">
        <f>F381</f>
        <v>9.7999999999999954</v>
      </c>
      <c r="AT381">
        <f>3-2*$F$375</f>
        <v>2.2307692307692308</v>
      </c>
      <c r="AU381">
        <f>14+$F$375</f>
        <v>14.384615384615385</v>
      </c>
      <c r="AV381">
        <f>R381</f>
        <v>10.999999999999993</v>
      </c>
      <c r="AW381">
        <f>2</f>
        <v>2</v>
      </c>
      <c r="AX381">
        <f>(T377+$E$375*IF(AND(Y377,$L$375=1,R377&gt;=0),22,3))</f>
        <v>143.93853884257086</v>
      </c>
      <c r="AZ381">
        <f>27/2</f>
        <v>13.5</v>
      </c>
      <c r="BA381">
        <f>(MAX((H381+$E$375*IF(AND(M381,$L$375=1,F381&gt;=0),22,3)),(T381+$E$375*IF(AND(Y381,$L$375=1,R381&gt;=0),22,3)))+$E$375*12)+$E$375*12</f>
        <v>31.674570397700624</v>
      </c>
    </row>
    <row r="382" spans="1:58" x14ac:dyDescent="0.25">
      <c r="A382" s="20" t="str">
        <f>IF(ISBLANK('E27'!$A$12)," ",'E27'!$A$12)</f>
        <v>Impostos</v>
      </c>
      <c r="B382">
        <f>'E27'!$B$12</f>
        <v>-3.3</v>
      </c>
      <c r="C382" t="b">
        <f>IF(ISERROR(B382),FALSE,IF(ISNUMBER(B382),FALSE,OR(LOWER(TRIM(B382&amp;""))={"e","t","=","total","subtotal"})))</f>
        <v>0</v>
      </c>
      <c r="D382">
        <f>IF(C382,0,IF(ISNUMBER(B382),B382,0))</f>
        <v>-3.3</v>
      </c>
      <c r="E382">
        <f>F381</f>
        <v>9.7999999999999954</v>
      </c>
      <c r="F382">
        <f>IF(C382,E382,E382+D382)</f>
        <v>6.4999999999999956</v>
      </c>
      <c r="G382">
        <f>IF(C382,MIN(0,F382),MIN(E382,F382))</f>
        <v>6.4999999999999956</v>
      </c>
      <c r="H382">
        <f>IF(C382,MAX(0,F382),MAX(E382,F382))</f>
        <v>9.7999999999999954</v>
      </c>
      <c r="I382">
        <f>MAX(0,G382)+MIN(0,H382)</f>
        <v>6.4999999999999956</v>
      </c>
      <c r="J382">
        <f>MAX(0,H382)-MAX(0,G382)</f>
        <v>3.3</v>
      </c>
      <c r="K382">
        <f>MIN(0,G382)-MIN(0,H382)</f>
        <v>0</v>
      </c>
      <c r="L382">
        <f>IF(M382,F382,D382)</f>
        <v>-3.3</v>
      </c>
      <c r="M382" t="b">
        <f>C382</f>
        <v>0</v>
      </c>
      <c r="N382">
        <f>'E27'!$C$12</f>
        <v>-3.7</v>
      </c>
      <c r="O382" t="b">
        <f>IF(ISERROR(N382),FALSE,IF(ISNUMBER(N382),FALSE,OR(LOWER(TRIM(N382&amp;""))={"e","t","=","total","subtotal"})))</f>
        <v>0</v>
      </c>
      <c r="P382">
        <f>IF(O382,0,IF(ISNUMBER(N382),N382,0))</f>
        <v>-3.7</v>
      </c>
      <c r="Q382">
        <f>R381</f>
        <v>10.999999999999993</v>
      </c>
      <c r="R382">
        <f>IF(O382,Q382,Q382+P382)</f>
        <v>7.2999999999999927</v>
      </c>
      <c r="S382">
        <f>IF(O382,MIN(0,R382),MIN(Q382,R382))</f>
        <v>7.2999999999999927</v>
      </c>
      <c r="T382">
        <f>IF(O382,MAX(0,R382),MAX(Q382,R382))</f>
        <v>10.999999999999993</v>
      </c>
      <c r="U382">
        <f>MAX(0,S382)+MIN(0,T382)</f>
        <v>7.2999999999999927</v>
      </c>
      <c r="V382">
        <f>MAX(0,T382)-MAX(0,S382)</f>
        <v>3.7</v>
      </c>
      <c r="W382">
        <f>MIN(0,S382)-MIN(0,T382)</f>
        <v>0</v>
      </c>
      <c r="X382">
        <f>IF(Y382,R382,P382)</f>
        <v>-3.7</v>
      </c>
      <c r="Y382" t="b">
        <f>O382</f>
        <v>0</v>
      </c>
      <c r="Z382" t="str">
        <f>IF(M382&lt;&gt;Y382,"n/d",IF($K$375=1,IF(ROUND((X382-L382)/$G$375,$H$375)&gt;0,"+","")&amp;FIXED(ROUND((X382-L382)/$G$375,$H$375),$H$375)&amp;$J$375,IF(OR(L382=0,L382*X382&lt;0),"n/d",IF(ROUND(100*(X382-L382)/L382,0)&gt;0,"+","")&amp;FIXED(ROUND(100*(X382-L382)/L382,0),0)&amp;"%")))</f>
        <v>+12%</v>
      </c>
      <c r="AA382" t="str">
        <f>IF(M382,FIXED(ROUND(F382/$G$375,$H$375),$H$375)&amp;$I$375&amp;IF(AND($M$375=1,$F$377&lt;&gt;0)," ("&amp;FIXED(ROUND(100*F382/$F$377,0),0)&amp;"%)",""),"")</f>
        <v/>
      </c>
      <c r="AB382" t="str">
        <f>IF(Y382,FIXED(ROUND(R382/$G$375,$H$375),$H$375)&amp;$I$375&amp;IF(AND($M$375=1,$R$377&lt;&gt;0)," ("&amp;FIXED(ROUND(100*R382/$R$377,0),0)&amp;"%)",""),"")</f>
        <v/>
      </c>
      <c r="AC382" t="s">
        <v>391</v>
      </c>
      <c r="AD382" t="s">
        <v>391</v>
      </c>
      <c r="AE382">
        <f>0</f>
        <v>0</v>
      </c>
      <c r="AF382">
        <f>0</f>
        <v>0</v>
      </c>
      <c r="AG382">
        <f>0</f>
        <v>0</v>
      </c>
      <c r="AH382">
        <f>0</f>
        <v>0</v>
      </c>
      <c r="AI382">
        <f>0</f>
        <v>0</v>
      </c>
      <c r="AJ382" t="e">
        <f>NA()</f>
        <v>#N/A</v>
      </c>
      <c r="AK382" s="14" t="str">
        <f>""</f>
        <v/>
      </c>
      <c r="AL382" t="e">
        <f>NA()</f>
        <v>#N/A</v>
      </c>
      <c r="AM382" s="14" t="str">
        <f>""</f>
        <v/>
      </c>
      <c r="AN382" t="e">
        <f>NA()</f>
        <v>#N/A</v>
      </c>
      <c r="AO382" s="12" t="str">
        <f>""</f>
        <v/>
      </c>
      <c r="AP382">
        <v>1</v>
      </c>
      <c r="AQ382">
        <f>0</f>
        <v>0</v>
      </c>
      <c r="AR382">
        <f>16+$F$375</f>
        <v>16.384615384615383</v>
      </c>
      <c r="AS382">
        <f>F382</f>
        <v>6.4999999999999956</v>
      </c>
      <c r="AT382">
        <f>3-2*$F$375</f>
        <v>2.2307692307692308</v>
      </c>
      <c r="AU382">
        <f>17+$F$375</f>
        <v>17.384615384615383</v>
      </c>
      <c r="AV382">
        <f>R382</f>
        <v>7.2999999999999927</v>
      </c>
      <c r="AZ382">
        <f>33/2</f>
        <v>16.5</v>
      </c>
      <c r="BA382">
        <f>(MAX((H382+$E$375*IF(AND(M382,$L$375=1,F382&gt;=0),22,3)),(T382+$E$375*IF(AND(Y382,$L$375=1,R382&gt;=0),22,3)))+$E$375*12)+$E$375*12</f>
        <v>28.474570397700624</v>
      </c>
    </row>
    <row r="383" spans="1:58" x14ac:dyDescent="0.25">
      <c r="A383" s="20" t="str">
        <f>IF(ISBLANK('E27'!$A$13)," ",'E27'!$A$13)</f>
        <v>Lucro líquido</v>
      </c>
      <c r="B383" t="str">
        <f>'E27'!$B$13</f>
        <v>e</v>
      </c>
      <c r="C383" t="b">
        <f>IF(ISERROR(B383),FALSE,IF(ISNUMBER(B383),FALSE,OR(LOWER(TRIM(B383&amp;""))={"e","t","=","total","subtotal"})))</f>
        <v>1</v>
      </c>
      <c r="D383">
        <f>IF(C383,0,IF(ISNUMBER(B383),B383,0))</f>
        <v>0</v>
      </c>
      <c r="E383">
        <f>F382</f>
        <v>6.4999999999999956</v>
      </c>
      <c r="F383">
        <f>IF(C383,E383,E383+D383)</f>
        <v>6.4999999999999956</v>
      </c>
      <c r="G383">
        <f>IF(C383,MIN(0,F383),MIN(E383,F383))</f>
        <v>0</v>
      </c>
      <c r="H383">
        <f>IF(C383,MAX(0,F383),MAX(E383,F383))</f>
        <v>6.4999999999999956</v>
      </c>
      <c r="I383">
        <f>MAX(0,G383)+MIN(0,H383)</f>
        <v>0</v>
      </c>
      <c r="J383">
        <f>MAX(0,H383)-MAX(0,G383)</f>
        <v>6.4999999999999956</v>
      </c>
      <c r="K383">
        <f>MIN(0,G383)-MIN(0,H383)</f>
        <v>0</v>
      </c>
      <c r="L383">
        <f>IF(M383,F383,D383)</f>
        <v>6.4999999999999956</v>
      </c>
      <c r="M383" t="b">
        <f>C383</f>
        <v>1</v>
      </c>
      <c r="N383" t="str">
        <f>'E27'!$C$13</f>
        <v>e</v>
      </c>
      <c r="O383" t="b">
        <f>IF(ISERROR(N383),FALSE,IF(ISNUMBER(N383),FALSE,OR(LOWER(TRIM(N383&amp;""))={"e","t","=","total","subtotal"})))</f>
        <v>1</v>
      </c>
      <c r="P383">
        <f>IF(O383,0,IF(ISNUMBER(N383),N383,0))</f>
        <v>0</v>
      </c>
      <c r="Q383">
        <f>R382</f>
        <v>7.2999999999999927</v>
      </c>
      <c r="R383">
        <f>IF(O383,Q383,Q383+P383)</f>
        <v>7.2999999999999927</v>
      </c>
      <c r="S383">
        <f>IF(O383,MIN(0,R383),MIN(Q383,R383))</f>
        <v>0</v>
      </c>
      <c r="T383">
        <f>IF(O383,MAX(0,R383),MAX(Q383,R383))</f>
        <v>7.2999999999999927</v>
      </c>
      <c r="U383">
        <f>MAX(0,S383)+MIN(0,T383)</f>
        <v>0</v>
      </c>
      <c r="V383">
        <f>MAX(0,T383)-MAX(0,S383)</f>
        <v>7.2999999999999927</v>
      </c>
      <c r="W383">
        <f>MIN(0,S383)-MIN(0,T383)</f>
        <v>0</v>
      </c>
      <c r="X383">
        <f>IF(Y383,R383,P383)</f>
        <v>7.2999999999999927</v>
      </c>
      <c r="Y383" t="b">
        <f>O383</f>
        <v>1</v>
      </c>
      <c r="Z383" t="str">
        <f>IF(M383&lt;&gt;Y383,"n/d",IF($K$375=1,IF(ROUND((X383-L383)/$G$375,$H$375)&gt;0,"+","")&amp;FIXED(ROUND((X383-L383)/$G$375,$H$375),$H$375)&amp;$J$375,IF(OR(L383=0,L383*X383&lt;0),"n/d",IF(ROUND(100*(X383-L383)/L383,0)&gt;0,"+","")&amp;FIXED(ROUND(100*(X383-L383)/L383,0),0)&amp;"%")))</f>
        <v>+12%</v>
      </c>
      <c r="AA383" t="str">
        <f>IF(M383,FIXED(ROUND(F383/$G$375,$H$375),$H$375)&amp;$I$375&amp;IF(AND($M$375=1,$F$377&lt;&gt;0)," ("&amp;FIXED(ROUND(100*F383/$F$377,0),0)&amp;"%)",""),"")</f>
        <v>6,5 (6%)</v>
      </c>
      <c r="AB383" t="str">
        <f>IF(Y383,FIXED(ROUND(R383/$G$375,$H$375),$H$375)&amp;$I$375&amp;IF(AND($M$375=1,$R$377&lt;&gt;0)," ("&amp;FIXED(ROUND(100*R383/$R$377,0),0)&amp;"%)",""),"")</f>
        <v>7,3 (6%)</v>
      </c>
      <c r="AC383" s="20" t="str">
        <f>A379</f>
        <v>Despesas operacionais</v>
      </c>
      <c r="AD383" t="s">
        <v>391</v>
      </c>
      <c r="AE383">
        <f>I379</f>
        <v>12.699999999999996</v>
      </c>
      <c r="AF383">
        <f>J379</f>
        <v>24.6</v>
      </c>
      <c r="AG383">
        <f>K379</f>
        <v>0</v>
      </c>
      <c r="AH383">
        <f>0</f>
        <v>0</v>
      </c>
      <c r="AI383">
        <f>0</f>
        <v>0</v>
      </c>
      <c r="AJ383">
        <f>IF(M379,NA(),(G379+H379)/2)</f>
        <v>24.999999999999996</v>
      </c>
      <c r="AK383" s="14">
        <f>IF(OR(M379,AP383=0),"",D379)</f>
        <v>-24.6</v>
      </c>
      <c r="AL383" t="e">
        <f>NA()</f>
        <v>#N/A</v>
      </c>
      <c r="AM383" s="14" t="str">
        <f>""</f>
        <v/>
      </c>
      <c r="AN383" t="e">
        <f>IF(M379,IF(F379&gt;=0,H379,G379),NA())</f>
        <v>#N/A</v>
      </c>
      <c r="AO383" s="12" t="str">
        <f>IF(AP383=0,IF(M379,FIXED(ROUND(F379/$G$375,$H$375),$H$375)&amp;$I$375,""),AA379)</f>
        <v/>
      </c>
      <c r="AP383">
        <v>1</v>
      </c>
      <c r="AQ383">
        <f>H379</f>
        <v>37.299999999999997</v>
      </c>
      <c r="AW383">
        <f>4</f>
        <v>4</v>
      </c>
      <c r="AX383">
        <f>(H378+$E$375*IF(AND(M378,$L$375=1,F378&gt;=0),22,3))</f>
        <v>119.14161893307785</v>
      </c>
      <c r="AZ383">
        <f>39/2</f>
        <v>19.5</v>
      </c>
      <c r="BA383">
        <f>(MAX((H383+$E$375*IF(AND(M383,$L$375=1,F383&gt;=0),22,3)),(T383+$E$375*IF(AND(Y383,$L$375=1,R383&gt;=0),22,3)))+$E$375*12)+$E$375*12</f>
        <v>37.071490307193663</v>
      </c>
    </row>
    <row r="384" spans="1:58" x14ac:dyDescent="0.25">
      <c r="AD384" t="s">
        <v>391</v>
      </c>
      <c r="AE384">
        <f>U379</f>
        <v>14.199999999999992</v>
      </c>
      <c r="AF384">
        <f>0</f>
        <v>0</v>
      </c>
      <c r="AG384">
        <f>0</f>
        <v>0</v>
      </c>
      <c r="AH384">
        <f>V379</f>
        <v>27.2</v>
      </c>
      <c r="AI384">
        <f>W379</f>
        <v>0</v>
      </c>
      <c r="AJ384" t="e">
        <f>NA()</f>
        <v>#N/A</v>
      </c>
      <c r="AK384" s="14" t="str">
        <f>""</f>
        <v/>
      </c>
      <c r="AL384">
        <f>IF(Y379,NA(),(S379+T379)/2)</f>
        <v>27.79999999999999</v>
      </c>
      <c r="AM384" s="14">
        <f>IF(OR(Y379,AP384=0),"",P379)</f>
        <v>-27.2</v>
      </c>
      <c r="AN384" t="e">
        <f>IF(Y379,IF(R379&gt;=0,T379,S379),NA())</f>
        <v>#N/A</v>
      </c>
      <c r="AO384" s="12" t="str">
        <f>IF(AP384=0,IF(Y379,FIXED(ROUND(R379/$G$375,$H$375),$H$375)&amp;$I$375,""),AB379)</f>
        <v/>
      </c>
      <c r="AP384">
        <v>1</v>
      </c>
      <c r="AQ384">
        <f>T379</f>
        <v>41.399999999999991</v>
      </c>
      <c r="AW384">
        <f>4</f>
        <v>4</v>
      </c>
      <c r="AX384">
        <f>(MAX((H378+$E$375*IF(AND(M378,$L$375=1,F378&gt;=0),22,3)),(T378+$E$375*IF(AND(Y378,$L$375=1,R378&gt;=0),22,3)))+$E$375*12)</f>
        <v>139.40809466538923</v>
      </c>
    </row>
    <row r="385" spans="29:51" x14ac:dyDescent="0.25">
      <c r="AC385" t="s">
        <v>391</v>
      </c>
      <c r="AD385" t="s">
        <v>391</v>
      </c>
      <c r="AE385">
        <f>0</f>
        <v>0</v>
      </c>
      <c r="AF385">
        <f>0</f>
        <v>0</v>
      </c>
      <c r="AG385">
        <f>0</f>
        <v>0</v>
      </c>
      <c r="AH385">
        <f>0</f>
        <v>0</v>
      </c>
      <c r="AI385">
        <f>0</f>
        <v>0</v>
      </c>
      <c r="AJ385" t="e">
        <f>NA()</f>
        <v>#N/A</v>
      </c>
      <c r="AK385" s="14" t="str">
        <f>""</f>
        <v/>
      </c>
      <c r="AL385" t="e">
        <f>NA()</f>
        <v>#N/A</v>
      </c>
      <c r="AM385" s="14" t="str">
        <f>""</f>
        <v/>
      </c>
      <c r="AN385" t="e">
        <f>NA()</f>
        <v>#N/A</v>
      </c>
      <c r="AO385" s="12" t="str">
        <f>""</f>
        <v/>
      </c>
      <c r="AP385">
        <v>1</v>
      </c>
      <c r="AQ385">
        <f>0</f>
        <v>0</v>
      </c>
      <c r="AW385">
        <f>9/2</f>
        <v>4.5</v>
      </c>
      <c r="AX385">
        <f>(MAX((H378+$E$375*IF(AND(M378,$L$375=1,F378&gt;=0),22,3)),(T378+$E$375*IF(AND(Y378,$L$375=1,R378&gt;=0),22,3)))+$E$375*12)</f>
        <v>139.40809466538923</v>
      </c>
      <c r="AY385" t="str">
        <f>Z378</f>
        <v>+11%</v>
      </c>
    </row>
    <row r="386" spans="29:51" x14ac:dyDescent="0.25">
      <c r="AC386" s="20" t="str">
        <f>A380</f>
        <v>EBITDA</v>
      </c>
      <c r="AD386" t="s">
        <v>391</v>
      </c>
      <c r="AE386">
        <f>I380</f>
        <v>0</v>
      </c>
      <c r="AF386">
        <f>J380</f>
        <v>12.699999999999996</v>
      </c>
      <c r="AG386">
        <f>K380</f>
        <v>0</v>
      </c>
      <c r="AH386">
        <f>0</f>
        <v>0</v>
      </c>
      <c r="AI386">
        <f>0</f>
        <v>0</v>
      </c>
      <c r="AJ386" t="e">
        <f>IF(M380,NA(),(G380+H380)/2)</f>
        <v>#N/A</v>
      </c>
      <c r="AK386" s="14" t="str">
        <f>IF(OR(M380,AP386=0),"",D380)</f>
        <v/>
      </c>
      <c r="AL386" t="e">
        <f>NA()</f>
        <v>#N/A</v>
      </c>
      <c r="AM386" s="14" t="str">
        <f>""</f>
        <v/>
      </c>
      <c r="AN386">
        <f>IF(M380,IF(F380&gt;=0,H380,G380),NA())</f>
        <v>12.699999999999996</v>
      </c>
      <c r="AO386" s="12" t="str">
        <f>IF(AP386=0,IF(M380,FIXED(ROUND(F380/$G$375,$H$375),$H$375)&amp;$I$375,""),AA380)</f>
        <v>12,7</v>
      </c>
      <c r="AP386">
        <v>0</v>
      </c>
      <c r="AQ386">
        <f>H380</f>
        <v>12.699999999999996</v>
      </c>
      <c r="AW386">
        <f>5</f>
        <v>5</v>
      </c>
      <c r="AX386">
        <f>(MAX((H378+$E$375*IF(AND(M378,$L$375=1,F378&gt;=0),22,3)),(T378+$E$375*IF(AND(Y378,$L$375=1,R378&gt;=0),22,3)))+$E$375*12)</f>
        <v>139.40809466538923</v>
      </c>
    </row>
    <row r="387" spans="29:51" x14ac:dyDescent="0.25">
      <c r="AD387" t="s">
        <v>391</v>
      </c>
      <c r="AE387">
        <f>U380</f>
        <v>0</v>
      </c>
      <c r="AF387">
        <f>0</f>
        <v>0</v>
      </c>
      <c r="AG387">
        <f>0</f>
        <v>0</v>
      </c>
      <c r="AH387">
        <f>V380</f>
        <v>14.199999999999992</v>
      </c>
      <c r="AI387">
        <f>W380</f>
        <v>0</v>
      </c>
      <c r="AJ387" t="e">
        <f>NA()</f>
        <v>#N/A</v>
      </c>
      <c r="AK387" s="14" t="str">
        <f>""</f>
        <v/>
      </c>
      <c r="AL387" t="e">
        <f>IF(Y380,NA(),(S380+T380)/2)</f>
        <v>#N/A</v>
      </c>
      <c r="AM387" s="14" t="str">
        <f>IF(OR(Y380,AP387=0),"",P380)</f>
        <v/>
      </c>
      <c r="AN387">
        <f>IF(Y380,IF(R380&gt;=0,T380,S380),NA())</f>
        <v>14.199999999999992</v>
      </c>
      <c r="AO387" s="12" t="str">
        <f>IF(AP387=0,IF(Y380,FIXED(ROUND(R380/$G$375,$H$375),$H$375)&amp;$I$375,""),AB380)</f>
        <v>14,2</v>
      </c>
      <c r="AP387">
        <v>0</v>
      </c>
      <c r="AQ387">
        <f>T380</f>
        <v>14.199999999999992</v>
      </c>
      <c r="AW387">
        <f>5</f>
        <v>5</v>
      </c>
      <c r="AX387">
        <f>(T378+$E$375*IF(AND(Y378,$L$375=1,R378&gt;=0),22,3))</f>
        <v>131.64161893307784</v>
      </c>
    </row>
    <row r="388" spans="29:51" x14ac:dyDescent="0.25">
      <c r="AC388" t="s">
        <v>391</v>
      </c>
      <c r="AD388" t="s">
        <v>391</v>
      </c>
      <c r="AE388">
        <f>0</f>
        <v>0</v>
      </c>
      <c r="AF388">
        <f>0</f>
        <v>0</v>
      </c>
      <c r="AG388">
        <f>0</f>
        <v>0</v>
      </c>
      <c r="AH388">
        <f>0</f>
        <v>0</v>
      </c>
      <c r="AI388">
        <f>0</f>
        <v>0</v>
      </c>
      <c r="AJ388" t="e">
        <f>NA()</f>
        <v>#N/A</v>
      </c>
      <c r="AK388" s="14" t="str">
        <f>""</f>
        <v/>
      </c>
      <c r="AL388" t="e">
        <f>NA()</f>
        <v>#N/A</v>
      </c>
      <c r="AM388" s="14" t="str">
        <f>""</f>
        <v/>
      </c>
      <c r="AN388" t="e">
        <f>NA()</f>
        <v>#N/A</v>
      </c>
      <c r="AO388" s="12" t="str">
        <f>""</f>
        <v/>
      </c>
      <c r="AP388">
        <v>1</v>
      </c>
      <c r="AQ388">
        <f>0</f>
        <v>0</v>
      </c>
    </row>
    <row r="389" spans="29:51" x14ac:dyDescent="0.25">
      <c r="AC389" s="20" t="str">
        <f>A381</f>
        <v>Depreciação e juros</v>
      </c>
      <c r="AD389" t="s">
        <v>391</v>
      </c>
      <c r="AE389">
        <f>I381</f>
        <v>9.7999999999999954</v>
      </c>
      <c r="AF389">
        <f>J381</f>
        <v>2.9000000000000004</v>
      </c>
      <c r="AG389">
        <f>K381</f>
        <v>0</v>
      </c>
      <c r="AH389">
        <f>0</f>
        <v>0</v>
      </c>
      <c r="AI389">
        <f>0</f>
        <v>0</v>
      </c>
      <c r="AJ389">
        <f>IF(M381,NA(),(G381+H381)/2)</f>
        <v>11.249999999999996</v>
      </c>
      <c r="AK389" s="14" t="str">
        <f>IF(OR(M381,AP389=0),"",D381)</f>
        <v/>
      </c>
      <c r="AL389" t="e">
        <f>NA()</f>
        <v>#N/A</v>
      </c>
      <c r="AM389" s="14" t="str">
        <f>""</f>
        <v/>
      </c>
      <c r="AN389" t="e">
        <f>IF(M381,IF(F381&gt;=0,H381,G381),NA())</f>
        <v>#N/A</v>
      </c>
      <c r="AO389" s="12" t="str">
        <f>IF(AP389=0,IF(M381,FIXED(ROUND(F381/$G$375,$H$375),$H$375)&amp;$I$375,""),AA381)</f>
        <v/>
      </c>
      <c r="AP389">
        <v>0</v>
      </c>
      <c r="AQ389">
        <f>H381</f>
        <v>12.699999999999996</v>
      </c>
      <c r="AW389">
        <f>7</f>
        <v>7</v>
      </c>
      <c r="AX389">
        <f>(H379+$E$375*IF(AND(M379,$L$375=1,F379&gt;=0),22,3))</f>
        <v>39.241618933077845</v>
      </c>
    </row>
    <row r="390" spans="29:51" x14ac:dyDescent="0.25">
      <c r="AD390" t="s">
        <v>391</v>
      </c>
      <c r="AE390">
        <f>U381</f>
        <v>10.999999999999993</v>
      </c>
      <c r="AF390">
        <f>0</f>
        <v>0</v>
      </c>
      <c r="AG390">
        <f>0</f>
        <v>0</v>
      </c>
      <c r="AH390">
        <f>V381</f>
        <v>3.1999999999999993</v>
      </c>
      <c r="AI390">
        <f>W381</f>
        <v>0</v>
      </c>
      <c r="AJ390" t="e">
        <f>NA()</f>
        <v>#N/A</v>
      </c>
      <c r="AK390" s="14" t="str">
        <f>""</f>
        <v/>
      </c>
      <c r="AL390">
        <f>IF(Y381,NA(),(S381+T381)/2)</f>
        <v>12.599999999999993</v>
      </c>
      <c r="AM390" s="14" t="str">
        <f>IF(OR(Y381,AP390=0),"",P381)</f>
        <v/>
      </c>
      <c r="AN390" t="e">
        <f>IF(Y381,IF(R381&gt;=0,T381,S381),NA())</f>
        <v>#N/A</v>
      </c>
      <c r="AO390" s="12" t="str">
        <f>IF(AP390=0,IF(Y381,FIXED(ROUND(R381/$G$375,$H$375),$H$375)&amp;$I$375,""),AB381)</f>
        <v/>
      </c>
      <c r="AP390">
        <v>0</v>
      </c>
      <c r="AQ390">
        <f>T381</f>
        <v>14.199999999999992</v>
      </c>
      <c r="AW390">
        <f>7</f>
        <v>7</v>
      </c>
      <c r="AX390">
        <f>(MAX((H379+$E$375*IF(AND(M379,$L$375=1,F379&gt;=0),22,3)),(T379+$E$375*IF(AND(Y379,$L$375=1,R379&gt;=0),22,3)))+$E$375*12)</f>
        <v>51.108094665389231</v>
      </c>
    </row>
    <row r="391" spans="29:51" x14ac:dyDescent="0.25">
      <c r="AC391" t="s">
        <v>391</v>
      </c>
      <c r="AD391" t="s">
        <v>391</v>
      </c>
      <c r="AE391">
        <f>0</f>
        <v>0</v>
      </c>
      <c r="AF391">
        <f>0</f>
        <v>0</v>
      </c>
      <c r="AG391">
        <f>0</f>
        <v>0</v>
      </c>
      <c r="AH391">
        <f>0</f>
        <v>0</v>
      </c>
      <c r="AI391">
        <f>0</f>
        <v>0</v>
      </c>
      <c r="AJ391" t="e">
        <f>NA()</f>
        <v>#N/A</v>
      </c>
      <c r="AK391" s="14" t="str">
        <f>""</f>
        <v/>
      </c>
      <c r="AL391" t="e">
        <f>NA()</f>
        <v>#N/A</v>
      </c>
      <c r="AM391" s="14" t="str">
        <f>""</f>
        <v/>
      </c>
      <c r="AN391" t="e">
        <f>NA()</f>
        <v>#N/A</v>
      </c>
      <c r="AO391" s="12" t="str">
        <f>""</f>
        <v/>
      </c>
      <c r="AP391">
        <v>1</v>
      </c>
      <c r="AQ391">
        <f>0</f>
        <v>0</v>
      </c>
      <c r="AW391">
        <f>15/2</f>
        <v>7.5</v>
      </c>
      <c r="AX391">
        <f>(MAX((H379+$E$375*IF(AND(M379,$L$375=1,F379&gt;=0),22,3)),(T379+$E$375*IF(AND(Y379,$L$375=1,R379&gt;=0),22,3)))+$E$375*12)</f>
        <v>51.108094665389231</v>
      </c>
      <c r="AY391" t="str">
        <f>Z379</f>
        <v>+11%</v>
      </c>
    </row>
    <row r="392" spans="29:51" x14ac:dyDescent="0.25">
      <c r="AC392" s="20" t="str">
        <f>A382</f>
        <v>Impostos</v>
      </c>
      <c r="AD392" t="s">
        <v>391</v>
      </c>
      <c r="AE392">
        <f>I382</f>
        <v>6.4999999999999956</v>
      </c>
      <c r="AF392">
        <f>J382</f>
        <v>3.3</v>
      </c>
      <c r="AG392">
        <f>K382</f>
        <v>0</v>
      </c>
      <c r="AH392">
        <f>0</f>
        <v>0</v>
      </c>
      <c r="AI392">
        <f>0</f>
        <v>0</v>
      </c>
      <c r="AJ392">
        <f>IF(M382,NA(),(G382+H382)/2)</f>
        <v>8.149999999999995</v>
      </c>
      <c r="AK392" s="14" t="str">
        <f>IF(OR(M382,AP392=0),"",D382)</f>
        <v/>
      </c>
      <c r="AL392" t="e">
        <f>NA()</f>
        <v>#N/A</v>
      </c>
      <c r="AM392" s="14" t="str">
        <f>""</f>
        <v/>
      </c>
      <c r="AN392" t="e">
        <f>IF(M382,IF(F382&gt;=0,H382,G382),NA())</f>
        <v>#N/A</v>
      </c>
      <c r="AO392" s="12" t="str">
        <f>IF(AP392=0,IF(M382,FIXED(ROUND(F382/$G$375,$H$375),$H$375)&amp;$I$375,""),AA382)</f>
        <v/>
      </c>
      <c r="AP392">
        <v>0</v>
      </c>
      <c r="AQ392">
        <f>H382</f>
        <v>9.7999999999999954</v>
      </c>
      <c r="AW392">
        <f>8</f>
        <v>8</v>
      </c>
      <c r="AX392">
        <f>(MAX((H379+$E$375*IF(AND(M379,$L$375=1,F379&gt;=0),22,3)),(T379+$E$375*IF(AND(Y379,$L$375=1,R379&gt;=0),22,3)))+$E$375*12)</f>
        <v>51.108094665389231</v>
      </c>
    </row>
    <row r="393" spans="29:51" x14ac:dyDescent="0.25">
      <c r="AD393" t="s">
        <v>391</v>
      </c>
      <c r="AE393">
        <f>U382</f>
        <v>7.2999999999999927</v>
      </c>
      <c r="AF393">
        <f>0</f>
        <v>0</v>
      </c>
      <c r="AG393">
        <f>0</f>
        <v>0</v>
      </c>
      <c r="AH393">
        <f>V382</f>
        <v>3.7</v>
      </c>
      <c r="AI393">
        <f>W382</f>
        <v>0</v>
      </c>
      <c r="AJ393" t="e">
        <f>NA()</f>
        <v>#N/A</v>
      </c>
      <c r="AK393" s="14" t="str">
        <f>""</f>
        <v/>
      </c>
      <c r="AL393">
        <f>IF(Y382,NA(),(S382+T382)/2)</f>
        <v>9.1499999999999932</v>
      </c>
      <c r="AM393" s="14" t="str">
        <f>IF(OR(Y382,AP393=0),"",P382)</f>
        <v/>
      </c>
      <c r="AN393" t="e">
        <f>IF(Y382,IF(R382&gt;=0,T382,S382),NA())</f>
        <v>#N/A</v>
      </c>
      <c r="AO393" s="12" t="str">
        <f>IF(AP393=0,IF(Y382,FIXED(ROUND(R382/$G$375,$H$375),$H$375)&amp;$I$375,""),AB382)</f>
        <v/>
      </c>
      <c r="AP393">
        <v>0</v>
      </c>
      <c r="AQ393">
        <f>T382</f>
        <v>10.999999999999993</v>
      </c>
      <c r="AW393">
        <f>8</f>
        <v>8</v>
      </c>
      <c r="AX393">
        <f>(T379+$E$375*IF(AND(Y379,$L$375=1,R379&gt;=0),22,3))</f>
        <v>43.341618933077839</v>
      </c>
    </row>
    <row r="394" spans="29:51" x14ac:dyDescent="0.25">
      <c r="AC394" t="s">
        <v>391</v>
      </c>
      <c r="AD394" t="s">
        <v>391</v>
      </c>
      <c r="AE394">
        <f>0</f>
        <v>0</v>
      </c>
      <c r="AF394">
        <f>0</f>
        <v>0</v>
      </c>
      <c r="AG394">
        <f>0</f>
        <v>0</v>
      </c>
      <c r="AH394">
        <f>0</f>
        <v>0</v>
      </c>
      <c r="AI394">
        <f>0</f>
        <v>0</v>
      </c>
      <c r="AJ394" t="e">
        <f>NA()</f>
        <v>#N/A</v>
      </c>
      <c r="AK394" s="14" t="str">
        <f>""</f>
        <v/>
      </c>
      <c r="AL394" t="e">
        <f>NA()</f>
        <v>#N/A</v>
      </c>
      <c r="AM394" s="14" t="str">
        <f>""</f>
        <v/>
      </c>
      <c r="AN394" t="e">
        <f>NA()</f>
        <v>#N/A</v>
      </c>
      <c r="AO394" s="12" t="str">
        <f>""</f>
        <v/>
      </c>
      <c r="AP394">
        <v>1</v>
      </c>
      <c r="AQ394">
        <f>0</f>
        <v>0</v>
      </c>
    </row>
    <row r="395" spans="29:51" x14ac:dyDescent="0.25">
      <c r="AC395" s="20" t="str">
        <f>A383</f>
        <v>Lucro líquido</v>
      </c>
      <c r="AD395" t="s">
        <v>391</v>
      </c>
      <c r="AE395">
        <f>I383</f>
        <v>0</v>
      </c>
      <c r="AF395">
        <f>J383</f>
        <v>6.4999999999999956</v>
      </c>
      <c r="AG395">
        <f>K383</f>
        <v>0</v>
      </c>
      <c r="AH395">
        <f>0</f>
        <v>0</v>
      </c>
      <c r="AI395">
        <f>0</f>
        <v>0</v>
      </c>
      <c r="AJ395" t="e">
        <f>IF(M383,NA(),(G383+H383)/2)</f>
        <v>#N/A</v>
      </c>
      <c r="AK395" s="14" t="str">
        <f>IF(OR(M383,AP395=0),"",D383)</f>
        <v/>
      </c>
      <c r="AL395" t="e">
        <f>NA()</f>
        <v>#N/A</v>
      </c>
      <c r="AM395" s="14" t="str">
        <f>""</f>
        <v/>
      </c>
      <c r="AN395">
        <f>IF(M383,IF(F383&gt;=0,H383,G383),NA())</f>
        <v>6.4999999999999956</v>
      </c>
      <c r="AO395" s="12" t="str">
        <f>IF(AP395=0,IF(M383,FIXED(ROUND(F383/$G$375,$H$375),$H$375)&amp;$I$375,""),AA383)</f>
        <v>6,5 (6%)</v>
      </c>
      <c r="AP395">
        <v>1</v>
      </c>
      <c r="AQ395">
        <f>H383</f>
        <v>6.4999999999999956</v>
      </c>
      <c r="AW395">
        <f>10</f>
        <v>10</v>
      </c>
      <c r="AX395">
        <f>(H380+$E$375*IF(AND(M380,$L$375=1,F380&gt;=0),22,3))</f>
        <v>26.938538842570882</v>
      </c>
    </row>
    <row r="396" spans="29:51" x14ac:dyDescent="0.25">
      <c r="AD396" t="s">
        <v>391</v>
      </c>
      <c r="AE396">
        <f>U383</f>
        <v>0</v>
      </c>
      <c r="AF396">
        <f>0</f>
        <v>0</v>
      </c>
      <c r="AG396">
        <f>0</f>
        <v>0</v>
      </c>
      <c r="AH396">
        <f>V383</f>
        <v>7.2999999999999927</v>
      </c>
      <c r="AI396">
        <f>W383</f>
        <v>0</v>
      </c>
      <c r="AJ396" t="e">
        <f>NA()</f>
        <v>#N/A</v>
      </c>
      <c r="AK396" s="14" t="str">
        <f>""</f>
        <v/>
      </c>
      <c r="AL396" t="e">
        <f>IF(Y383,NA(),(S383+T383)/2)</f>
        <v>#N/A</v>
      </c>
      <c r="AM396" s="14" t="str">
        <f>IF(OR(Y383,AP396=0),"",P383)</f>
        <v/>
      </c>
      <c r="AN396">
        <f>IF(Y383,IF(R383&gt;=0,T383,S383),NA())</f>
        <v>7.2999999999999927</v>
      </c>
      <c r="AO396" s="12" t="str">
        <f>IF(AP396=0,IF(Y383,FIXED(ROUND(R383/$G$375,$H$375),$H$375)&amp;$I$375,""),AB383)</f>
        <v>7,3 (6%)</v>
      </c>
      <c r="AP396">
        <v>1</v>
      </c>
      <c r="AQ396">
        <f>T383</f>
        <v>7.2999999999999927</v>
      </c>
      <c r="AW396">
        <f>10</f>
        <v>10</v>
      </c>
      <c r="AX396">
        <f>(MAX((H380+$E$375*IF(AND(M380,$L$375=1,F380&gt;=0),22,3)),(T380+$E$375*IF(AND(Y380,$L$375=1,R380&gt;=0),22,3)))+$E$375*12)</f>
        <v>36.20501457488227</v>
      </c>
    </row>
    <row r="397" spans="29:51" x14ac:dyDescent="0.25">
      <c r="AW397">
        <f>21/2</f>
        <v>10.5</v>
      </c>
      <c r="AX397">
        <f>(MAX((H380+$E$375*IF(AND(M380,$L$375=1,F380&gt;=0),22,3)),(T380+$E$375*IF(AND(Y380,$L$375=1,R380&gt;=0),22,3)))+$E$375*12)</f>
        <v>36.20501457488227</v>
      </c>
      <c r="AY397" t="str">
        <f>Z380</f>
        <v>+12%</v>
      </c>
    </row>
    <row r="398" spans="29:51" x14ac:dyDescent="0.25">
      <c r="AW398">
        <f>11</f>
        <v>11</v>
      </c>
      <c r="AX398">
        <f>(MAX((H380+$E$375*IF(AND(M380,$L$375=1,F380&gt;=0),22,3)),(T380+$E$375*IF(AND(Y380,$L$375=1,R380&gt;=0),22,3)))+$E$375*12)</f>
        <v>36.20501457488227</v>
      </c>
    </row>
    <row r="399" spans="29:51" x14ac:dyDescent="0.25">
      <c r="AW399">
        <f>11</f>
        <v>11</v>
      </c>
      <c r="AX399">
        <f>(T380+$E$375*IF(AND(Y380,$L$375=1,R380&gt;=0),22,3))</f>
        <v>28.438538842570878</v>
      </c>
    </row>
    <row r="401" spans="49:51" x14ac:dyDescent="0.25">
      <c r="AW401">
        <f>13</f>
        <v>13</v>
      </c>
      <c r="AX401">
        <f>(H381+$E$375*IF(AND(M381,$L$375=1,F381&gt;=0),22,3))</f>
        <v>14.641618933077844</v>
      </c>
    </row>
    <row r="402" spans="49:51" x14ac:dyDescent="0.25">
      <c r="AW402">
        <f>13</f>
        <v>13</v>
      </c>
      <c r="AX402">
        <f>(MAX((H381+$E$375*IF(AND(M381,$L$375=1,F381&gt;=0),22,3)),(T381+$E$375*IF(AND(Y381,$L$375=1,R381&gt;=0),22,3)))+$E$375*12)</f>
        <v>23.908094665389232</v>
      </c>
    </row>
    <row r="403" spans="49:51" x14ac:dyDescent="0.25">
      <c r="AW403">
        <f>27/2</f>
        <v>13.5</v>
      </c>
      <c r="AX403">
        <f>(MAX((H381+$E$375*IF(AND(M381,$L$375=1,F381&gt;=0),22,3)),(T381+$E$375*IF(AND(Y381,$L$375=1,R381&gt;=0),22,3)))+$E$375*12)</f>
        <v>23.908094665389232</v>
      </c>
      <c r="AY403" t="str">
        <f>Z381</f>
        <v>+10%</v>
      </c>
    </row>
    <row r="404" spans="49:51" x14ac:dyDescent="0.25">
      <c r="AW404">
        <f>14</f>
        <v>14</v>
      </c>
      <c r="AX404">
        <f>(MAX((H381+$E$375*IF(AND(M381,$L$375=1,F381&gt;=0),22,3)),(T381+$E$375*IF(AND(Y381,$L$375=1,R381&gt;=0),22,3)))+$E$375*12)</f>
        <v>23.908094665389232</v>
      </c>
    </row>
    <row r="405" spans="49:51" x14ac:dyDescent="0.25">
      <c r="AW405">
        <f>14</f>
        <v>14</v>
      </c>
      <c r="AX405">
        <f>(T381+$E$375*IF(AND(Y381,$L$375=1,R381&gt;=0),22,3))</f>
        <v>16.14161893307784</v>
      </c>
    </row>
    <row r="407" spans="49:51" x14ac:dyDescent="0.25">
      <c r="AW407">
        <f>16</f>
        <v>16</v>
      </c>
      <c r="AX407">
        <f>(H382+$E$375*IF(AND(M382,$L$375=1,F382&gt;=0),22,3))</f>
        <v>11.741618933077843</v>
      </c>
    </row>
    <row r="408" spans="49:51" x14ac:dyDescent="0.25">
      <c r="AW408">
        <f>16</f>
        <v>16</v>
      </c>
      <c r="AX408">
        <f>(MAX((H382+$E$375*IF(AND(M382,$L$375=1,F382&gt;=0),22,3)),(T382+$E$375*IF(AND(Y382,$L$375=1,R382&gt;=0),22,3)))+$E$375*12)</f>
        <v>20.708094665389233</v>
      </c>
    </row>
    <row r="409" spans="49:51" x14ac:dyDescent="0.25">
      <c r="AW409">
        <f>33/2</f>
        <v>16.5</v>
      </c>
      <c r="AX409">
        <f>(MAX((H382+$E$375*IF(AND(M382,$L$375=1,F382&gt;=0),22,3)),(T382+$E$375*IF(AND(Y382,$L$375=1,R382&gt;=0),22,3)))+$E$375*12)</f>
        <v>20.708094665389233</v>
      </c>
      <c r="AY409" t="str">
        <f>Z382</f>
        <v>+12%</v>
      </c>
    </row>
    <row r="410" spans="49:51" x14ac:dyDescent="0.25">
      <c r="AW410">
        <f>17</f>
        <v>17</v>
      </c>
      <c r="AX410">
        <f>(MAX((H382+$E$375*IF(AND(M382,$L$375=1,F382&gt;=0),22,3)),(T382+$E$375*IF(AND(Y382,$L$375=1,R382&gt;=0),22,3)))+$E$375*12)</f>
        <v>20.708094665389233</v>
      </c>
    </row>
    <row r="411" spans="49:51" x14ac:dyDescent="0.25">
      <c r="AW411">
        <f>17</f>
        <v>17</v>
      </c>
      <c r="AX411">
        <f>(T382+$E$375*IF(AND(Y382,$L$375=1,R382&gt;=0),22,3))</f>
        <v>12.941618933077841</v>
      </c>
    </row>
    <row r="413" spans="49:51" x14ac:dyDescent="0.25">
      <c r="AW413">
        <f>19</f>
        <v>19</v>
      </c>
      <c r="AX413">
        <f>(H383+$E$375*IF(AND(M383,$L$375=1,F383&gt;=0),22,3))</f>
        <v>20.738538842570883</v>
      </c>
    </row>
    <row r="414" spans="49:51" x14ac:dyDescent="0.25">
      <c r="AW414">
        <f>19</f>
        <v>19</v>
      </c>
      <c r="AX414">
        <f>(MAX((H383+$E$375*IF(AND(M383,$L$375=1,F383&gt;=0),22,3)),(T383+$E$375*IF(AND(Y383,$L$375=1,R383&gt;=0),22,3)))+$E$375*12)</f>
        <v>29.305014574882271</v>
      </c>
    </row>
    <row r="415" spans="49:51" x14ac:dyDescent="0.25">
      <c r="AW415">
        <f>39/2</f>
        <v>19.5</v>
      </c>
      <c r="AX415">
        <f>(MAX((H383+$E$375*IF(AND(M383,$L$375=1,F383&gt;=0),22,3)),(T383+$E$375*IF(AND(Y383,$L$375=1,R383&gt;=0),22,3)))+$E$375*12)</f>
        <v>29.305014574882271</v>
      </c>
      <c r="AY415" t="str">
        <f>Z383</f>
        <v>+12%</v>
      </c>
    </row>
    <row r="416" spans="49:51" x14ac:dyDescent="0.25">
      <c r="AW416">
        <f>20</f>
        <v>20</v>
      </c>
      <c r="AX416">
        <f>(MAX((H383+$E$375*IF(AND(M383,$L$375=1,F383&gt;=0),22,3)),(T383+$E$375*IF(AND(Y383,$L$375=1,R383&gt;=0),22,3)))+$E$375*12)</f>
        <v>29.305014574882271</v>
      </c>
    </row>
    <row r="417" spans="1:58" x14ac:dyDescent="0.25">
      <c r="AW417">
        <f>20</f>
        <v>20</v>
      </c>
      <c r="AX417">
        <f>(T383+$E$375*IF(AND(Y383,$L$375=1,R383&gt;=0),22,3))</f>
        <v>21.53853884257088</v>
      </c>
    </row>
    <row r="420" spans="1:58" x14ac:dyDescent="0.25">
      <c r="A420" s="11" t="s">
        <v>396</v>
      </c>
      <c r="B420" s="5" t="s">
        <v>334</v>
      </c>
      <c r="C420" s="5" t="str">
        <f>"'E28'!$A$6:$C$13"</f>
        <v>'E28'!$A$6:$C$13</v>
      </c>
      <c r="D420" s="11" t="s">
        <v>397</v>
      </c>
      <c r="E420" s="5">
        <v>0.12584567158837903</v>
      </c>
      <c r="F420" s="5">
        <v>0.38461538461538464</v>
      </c>
      <c r="G420" s="5">
        <v>1</v>
      </c>
      <c r="H420" s="5">
        <v>1</v>
      </c>
      <c r="I420" s="11"/>
      <c r="J420" s="11"/>
      <c r="K420" s="5">
        <v>1</v>
      </c>
      <c r="L420" s="5">
        <v>1</v>
      </c>
      <c r="M420" s="5">
        <v>1</v>
      </c>
      <c r="N420" s="5">
        <v>0</v>
      </c>
      <c r="O420" s="5">
        <v>1</v>
      </c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</row>
    <row r="421" spans="1:58" x14ac:dyDescent="0.25">
      <c r="A421" t="s">
        <v>104</v>
      </c>
      <c r="B421" t="s">
        <v>335</v>
      </c>
      <c r="C421" t="s">
        <v>336</v>
      </c>
      <c r="D421" t="s">
        <v>337</v>
      </c>
      <c r="E421" t="s">
        <v>338</v>
      </c>
      <c r="F421" t="s">
        <v>339</v>
      </c>
      <c r="G421" t="s">
        <v>340</v>
      </c>
      <c r="H421" t="s">
        <v>341</v>
      </c>
      <c r="I421" t="s">
        <v>342</v>
      </c>
      <c r="J421" t="s">
        <v>343</v>
      </c>
      <c r="K421" t="s">
        <v>344</v>
      </c>
      <c r="L421" t="s">
        <v>345</v>
      </c>
      <c r="M421" t="s">
        <v>346</v>
      </c>
      <c r="N421" t="s">
        <v>347</v>
      </c>
      <c r="O421" t="s">
        <v>348</v>
      </c>
      <c r="P421" t="s">
        <v>349</v>
      </c>
      <c r="Q421" t="s">
        <v>350</v>
      </c>
      <c r="R421" t="s">
        <v>351</v>
      </c>
      <c r="S421" t="s">
        <v>352</v>
      </c>
      <c r="T421" t="s">
        <v>353</v>
      </c>
      <c r="U421" t="s">
        <v>354</v>
      </c>
      <c r="V421" t="s">
        <v>355</v>
      </c>
      <c r="W421" t="s">
        <v>356</v>
      </c>
      <c r="X421" t="s">
        <v>357</v>
      </c>
      <c r="Y421" t="s">
        <v>358</v>
      </c>
      <c r="Z421" t="s">
        <v>359</v>
      </c>
      <c r="AA421" t="s">
        <v>360</v>
      </c>
      <c r="AB421" t="s">
        <v>361</v>
      </c>
      <c r="AC421" t="s">
        <v>362</v>
      </c>
      <c r="AD421" t="s">
        <v>363</v>
      </c>
      <c r="AE421" t="s">
        <v>364</v>
      </c>
      <c r="AF421" t="s">
        <v>365</v>
      </c>
      <c r="AG421" t="s">
        <v>366</v>
      </c>
      <c r="AH421" t="s">
        <v>367</v>
      </c>
      <c r="AI421" t="s">
        <v>368</v>
      </c>
      <c r="AJ421" t="s">
        <v>369</v>
      </c>
      <c r="AK421" t="s">
        <v>370</v>
      </c>
      <c r="AL421" t="s">
        <v>371</v>
      </c>
      <c r="AM421" t="s">
        <v>372</v>
      </c>
      <c r="AN421" t="s">
        <v>198</v>
      </c>
      <c r="AO421" t="s">
        <v>373</v>
      </c>
      <c r="AP421" t="s">
        <v>374</v>
      </c>
      <c r="AQ421" t="s">
        <v>375</v>
      </c>
      <c r="AR421" t="s">
        <v>376</v>
      </c>
      <c r="AS421" t="s">
        <v>377</v>
      </c>
      <c r="AT421" t="s">
        <v>378</v>
      </c>
      <c r="AU421" t="s">
        <v>379</v>
      </c>
      <c r="AV421" t="s">
        <v>380</v>
      </c>
      <c r="AW421" t="s">
        <v>381</v>
      </c>
      <c r="AX421" t="s">
        <v>382</v>
      </c>
      <c r="AY421" t="s">
        <v>383</v>
      </c>
      <c r="AZ421" t="s">
        <v>384</v>
      </c>
      <c r="BA421" t="s">
        <v>385</v>
      </c>
      <c r="BB421" t="s">
        <v>386</v>
      </c>
      <c r="BC421" t="s">
        <v>387</v>
      </c>
      <c r="BD421" t="s">
        <v>388</v>
      </c>
      <c r="BE421" t="s">
        <v>389</v>
      </c>
      <c r="BF421" t="s">
        <v>390</v>
      </c>
    </row>
    <row r="422" spans="1:58" x14ac:dyDescent="0.25">
      <c r="A422" s="20" t="str">
        <f>IF(ISBLANK('E28'!$A$7)," ",'E28'!$A$7)</f>
        <v>Receita bruta</v>
      </c>
      <c r="B422">
        <f>'E28'!$B$7</f>
        <v>26.2</v>
      </c>
      <c r="C422" t="b">
        <f>IF(ISERROR(B422),FALSE,IF(ISNUMBER(B422),FALSE,OR(LOWER(TRIM(B422&amp;""))={"e","t","=","total","subtotal"})))</f>
        <v>0</v>
      </c>
      <c r="D422">
        <f>IF(C422,0,IF(ISNUMBER(B422),B422,0))</f>
        <v>26.2</v>
      </c>
      <c r="E422">
        <f>0</f>
        <v>0</v>
      </c>
      <c r="F422">
        <f>IF(C422,E422,E422+D422)</f>
        <v>26.2</v>
      </c>
      <c r="G422">
        <f>IF(C422,MIN(0,F422),MIN(E422,F422))</f>
        <v>0</v>
      </c>
      <c r="H422">
        <f>IF(C422,MAX(0,F422),MAX(E422,F422))</f>
        <v>26.2</v>
      </c>
      <c r="I422">
        <f>MAX(0,G422)+MIN(0,H422)</f>
        <v>0</v>
      </c>
      <c r="J422">
        <f>MAX(0,H422)-MAX(0,G422)</f>
        <v>26.2</v>
      </c>
      <c r="K422">
        <f>MIN(0,G422)-MIN(0,H422)</f>
        <v>0</v>
      </c>
      <c r="L422">
        <f>IF(M422,F422,D422)</f>
        <v>26.2</v>
      </c>
      <c r="M422" t="b">
        <f>TRUE</f>
        <v>1</v>
      </c>
      <c r="N422">
        <f>'E28'!$C$7</f>
        <v>21.1</v>
      </c>
      <c r="O422" t="b">
        <f>IF(ISERROR(N422),FALSE,IF(ISNUMBER(N422),FALSE,OR(LOWER(TRIM(N422&amp;""))={"e","t","=","total","subtotal"})))</f>
        <v>0</v>
      </c>
      <c r="P422">
        <f>IF(O422,0,IF(ISNUMBER(N422),N422,0))</f>
        <v>21.1</v>
      </c>
      <c r="Q422">
        <f>0</f>
        <v>0</v>
      </c>
      <c r="R422">
        <f>IF(O422,Q422,Q422+P422)</f>
        <v>21.1</v>
      </c>
      <c r="S422">
        <f>IF(O422,MIN(0,R422),MIN(Q422,R422))</f>
        <v>0</v>
      </c>
      <c r="T422">
        <f>IF(O422,MAX(0,R422),MAX(Q422,R422))</f>
        <v>21.1</v>
      </c>
      <c r="U422">
        <f>MAX(0,S422)+MIN(0,T422)</f>
        <v>0</v>
      </c>
      <c r="V422">
        <f>MAX(0,T422)-MAX(0,S422)</f>
        <v>21.1</v>
      </c>
      <c r="W422">
        <f>MIN(0,S422)-MIN(0,T422)</f>
        <v>0</v>
      </c>
      <c r="X422">
        <f>IF(Y422,R422,P422)</f>
        <v>21.1</v>
      </c>
      <c r="Y422" t="b">
        <f>TRUE</f>
        <v>1</v>
      </c>
      <c r="Z422" t="str">
        <f>IF(M422&lt;&gt;Y422,"n/d",IF($K$420=1,IF(ROUND((X422-L422)/$G$420,$H$420)&gt;0,"+","")&amp;FIXED(ROUND((X422-L422)/$G$420,$H$420),$H$420)&amp;$J$420,IF(OR(L422=0,L422*X422&lt;0),"n/d",IF(ROUND(100*(X422-L422)/L422,0)&gt;0,"+","")&amp;FIXED(ROUND(100*(X422-L422)/L422,0),0)&amp;"%")))</f>
        <v>-5,1</v>
      </c>
      <c r="AA422" t="str">
        <f>IF(M422,FIXED(ROUND(F422/$G$420,$H$420),$H$420)&amp;$I$420,"")</f>
        <v>26,2</v>
      </c>
      <c r="AB422" t="str">
        <f>IF(Y422,FIXED(ROUND(R422/$G$420,$H$420),$H$420)&amp;$I$420,"")</f>
        <v>21,1</v>
      </c>
      <c r="AC422" s="20" t="str">
        <f>A422</f>
        <v>Receita bruta</v>
      </c>
      <c r="AD422" t="s">
        <v>391</v>
      </c>
      <c r="AE422">
        <f>I422</f>
        <v>0</v>
      </c>
      <c r="AF422">
        <f>J422</f>
        <v>26.2</v>
      </c>
      <c r="AG422">
        <f>K422</f>
        <v>0</v>
      </c>
      <c r="AH422">
        <f>0</f>
        <v>0</v>
      </c>
      <c r="AI422">
        <f>0</f>
        <v>0</v>
      </c>
      <c r="AJ422" t="e">
        <f>IF(M422,NA(),(G422+H422)/2)</f>
        <v>#N/A</v>
      </c>
      <c r="AK422" s="14" t="str">
        <f>IF(OR(M422,AP422=0),"",D422)</f>
        <v/>
      </c>
      <c r="AL422" t="e">
        <f>NA()</f>
        <v>#N/A</v>
      </c>
      <c r="AM422" s="14" t="str">
        <f>""</f>
        <v/>
      </c>
      <c r="AN422">
        <f>IF(M422,IF(F422&gt;=0,H422,G422),NA())</f>
        <v>26.2</v>
      </c>
      <c r="AO422" s="12" t="str">
        <f>IF(AP422=0,IF(M422,FIXED(ROUND(F422/$G$420,$H$420),$H$420)&amp;$I$420,""),AA422)</f>
        <v>26,2</v>
      </c>
      <c r="AP422">
        <v>1</v>
      </c>
      <c r="AQ422">
        <f>H422</f>
        <v>26.2</v>
      </c>
      <c r="AR422">
        <f>1+$F$420</f>
        <v>1.3846153846153846</v>
      </c>
      <c r="AS422">
        <f>F422</f>
        <v>26.2</v>
      </c>
      <c r="AT422">
        <f>3-2*$F$420</f>
        <v>2.2307692307692308</v>
      </c>
      <c r="AU422">
        <f>2+$F$420</f>
        <v>2.3846153846153846</v>
      </c>
      <c r="AV422">
        <f>R422</f>
        <v>21.1</v>
      </c>
      <c r="AW422">
        <f>1</f>
        <v>1</v>
      </c>
      <c r="AX422">
        <f>(H422+$E$420*IF(AND(M422,$L$420=1,F422&gt;=0),22,3))</f>
        <v>28.968604774944339</v>
      </c>
      <c r="AZ422">
        <f>3/2</f>
        <v>1.5</v>
      </c>
      <c r="BA422">
        <f>(MAX((H422+$E$420*IF(AND(M422,$L$420=1,F422&gt;=0),22,3)),(T422+$E$420*IF(AND(Y422,$L$420=1,R422&gt;=0),22,3)))+$E$420*12)+$E$420*12</f>
        <v>31.988900893065434</v>
      </c>
      <c r="BB422">
        <f>1</f>
        <v>1</v>
      </c>
      <c r="BC422">
        <f>(G422+H422)/2</f>
        <v>13.1</v>
      </c>
      <c r="BD422" t="str">
        <f>IF(AND($N$420=1,$O$420=1),'E28'!$B$6&amp;"","")</f>
        <v/>
      </c>
      <c r="BE422">
        <f>1/2</f>
        <v>0.5</v>
      </c>
      <c r="BF422">
        <f>0</f>
        <v>0</v>
      </c>
    </row>
    <row r="423" spans="1:58" x14ac:dyDescent="0.25">
      <c r="A423" s="20" t="str">
        <f>IF(ISBLANK('E28'!$A$8)," ",'E28'!$A$8)</f>
        <v>Custo das mercadorias</v>
      </c>
      <c r="B423">
        <f>'E28'!$B$8</f>
        <v>-18</v>
      </c>
      <c r="C423" t="b">
        <f>IF(ISERROR(B423),FALSE,IF(ISNUMBER(B423),FALSE,OR(LOWER(TRIM(B423&amp;""))={"e","t","=","total","subtotal"})))</f>
        <v>0</v>
      </c>
      <c r="D423">
        <f>IF(C423,0,IF(ISNUMBER(B423),B423,0))</f>
        <v>-18</v>
      </c>
      <c r="E423">
        <f>F422</f>
        <v>26.2</v>
      </c>
      <c r="F423">
        <f>IF(C423,E423,E423+D423)</f>
        <v>8.1999999999999993</v>
      </c>
      <c r="G423">
        <f>IF(C423,MIN(0,F423),MIN(E423,F423))</f>
        <v>8.1999999999999993</v>
      </c>
      <c r="H423">
        <f>IF(C423,MAX(0,F423),MAX(E423,F423))</f>
        <v>26.2</v>
      </c>
      <c r="I423">
        <f>MAX(0,G423)+MIN(0,H423)</f>
        <v>8.1999999999999993</v>
      </c>
      <c r="J423">
        <f>MAX(0,H423)-MAX(0,G423)</f>
        <v>18</v>
      </c>
      <c r="K423">
        <f>MIN(0,G423)-MIN(0,H423)</f>
        <v>0</v>
      </c>
      <c r="L423">
        <f>IF(M423,F423,D423)</f>
        <v>-18</v>
      </c>
      <c r="M423" t="b">
        <f>C423</f>
        <v>0</v>
      </c>
      <c r="N423">
        <f>'E28'!$C$8</f>
        <v>-14.1</v>
      </c>
      <c r="O423" t="b">
        <f>IF(ISERROR(N423),FALSE,IF(ISNUMBER(N423),FALSE,OR(LOWER(TRIM(N423&amp;""))={"e","t","=","total","subtotal"})))</f>
        <v>0</v>
      </c>
      <c r="P423">
        <f>IF(O423,0,IF(ISNUMBER(N423),N423,0))</f>
        <v>-14.1</v>
      </c>
      <c r="Q423">
        <f>R422</f>
        <v>21.1</v>
      </c>
      <c r="R423">
        <f>IF(O423,Q423,Q423+P423)</f>
        <v>7.0000000000000018</v>
      </c>
      <c r="S423">
        <f>IF(O423,MIN(0,R423),MIN(Q423,R423))</f>
        <v>7.0000000000000018</v>
      </c>
      <c r="T423">
        <f>IF(O423,MAX(0,R423),MAX(Q423,R423))</f>
        <v>21.1</v>
      </c>
      <c r="U423">
        <f>MAX(0,S423)+MIN(0,T423)</f>
        <v>7.0000000000000018</v>
      </c>
      <c r="V423">
        <f>MAX(0,T423)-MAX(0,S423)</f>
        <v>14.1</v>
      </c>
      <c r="W423">
        <f>MIN(0,S423)-MIN(0,T423)</f>
        <v>0</v>
      </c>
      <c r="X423">
        <f>IF(Y423,R423,P423)</f>
        <v>-14.1</v>
      </c>
      <c r="Y423" t="b">
        <f>O423</f>
        <v>0</v>
      </c>
      <c r="Z423" t="str">
        <f>IF(M423&lt;&gt;Y423,"n/d",IF($K$420=1,IF(ROUND((X423-L423)/$G$420,$H$420)&gt;0,"+","")&amp;FIXED(ROUND((X423-L423)/$G$420,$H$420),$H$420)&amp;$J$420,IF(OR(L423=0,L423*X423&lt;0),"n/d",IF(ROUND(100*(X423-L423)/L423,0)&gt;0,"+","")&amp;FIXED(ROUND(100*(X423-L423)/L423,0),0)&amp;"%")))</f>
        <v>+3,9</v>
      </c>
      <c r="AA423" t="str">
        <f>IF(M423,FIXED(ROUND(F423/$G$420,$H$420),$H$420)&amp;$I$420&amp;IF(AND($M$420=1,$F$422&lt;&gt;0)," ("&amp;FIXED(ROUND(100*F423/$F$422,0),0)&amp;"%)",""),"")</f>
        <v/>
      </c>
      <c r="AB423" t="str">
        <f>IF(Y423,FIXED(ROUND(R423/$G$420,$H$420),$H$420)&amp;$I$420&amp;IF(AND($M$420=1,$R$422&lt;&gt;0)," ("&amp;FIXED(ROUND(100*R423/$R$422,0),0)&amp;"%)",""),"")</f>
        <v/>
      </c>
      <c r="AD423" t="s">
        <v>391</v>
      </c>
      <c r="AE423">
        <f>U422</f>
        <v>0</v>
      </c>
      <c r="AF423">
        <f>0</f>
        <v>0</v>
      </c>
      <c r="AG423">
        <f>0</f>
        <v>0</v>
      </c>
      <c r="AH423">
        <f>V422</f>
        <v>21.1</v>
      </c>
      <c r="AI423">
        <f>W422</f>
        <v>0</v>
      </c>
      <c r="AJ423" t="e">
        <f>NA()</f>
        <v>#N/A</v>
      </c>
      <c r="AK423" s="14" t="str">
        <f>""</f>
        <v/>
      </c>
      <c r="AL423" t="e">
        <f>IF(Y422,NA(),(S422+T422)/2)</f>
        <v>#N/A</v>
      </c>
      <c r="AM423" s="14" t="str">
        <f>IF(OR(Y422,AP423=0),"",P422)</f>
        <v/>
      </c>
      <c r="AN423">
        <f>IF(Y422,IF(R422&gt;=0,T422,S422),NA())</f>
        <v>21.1</v>
      </c>
      <c r="AO423" s="12" t="str">
        <f>IF(AP423=0,IF(Y422,FIXED(ROUND(R422/$G$420,$H$420),$H$420)&amp;$I$420,""),AB422)</f>
        <v>21,1</v>
      </c>
      <c r="AP423">
        <v>1</v>
      </c>
      <c r="AQ423">
        <f>T422</f>
        <v>21.1</v>
      </c>
      <c r="AR423">
        <f>4+$F$420</f>
        <v>4.384615384615385</v>
      </c>
      <c r="AS423">
        <f>F423</f>
        <v>8.1999999999999993</v>
      </c>
      <c r="AT423">
        <f>3-2*$F$420</f>
        <v>2.2307692307692308</v>
      </c>
      <c r="AU423">
        <f>5+$F$420</f>
        <v>5.384615384615385</v>
      </c>
      <c r="AV423">
        <f>R423</f>
        <v>7.0000000000000018</v>
      </c>
      <c r="AW423">
        <f>1</f>
        <v>1</v>
      </c>
      <c r="AX423">
        <f>(MAX((H422+$E$420*IF(AND(M422,$L$420=1,F422&gt;=0),22,3)),(T422+$E$420*IF(AND(Y422,$L$420=1,R422&gt;=0),22,3)))+$E$420*12)</f>
        <v>30.478752834004887</v>
      </c>
      <c r="AZ423">
        <f>9/2</f>
        <v>4.5</v>
      </c>
      <c r="BA423">
        <f>(MAX((H423+$E$420*IF(AND(M423,$L$420=1,F423&gt;=0),22,3)),(T423+$E$420*IF(AND(Y423,$L$420=1,R423&gt;=0),22,3)))+$E$420*12)+$E$420*12</f>
        <v>29.597833132886233</v>
      </c>
      <c r="BB423">
        <f>2</f>
        <v>2</v>
      </c>
      <c r="BC423">
        <f>(S422+T422)/2</f>
        <v>10.55</v>
      </c>
      <c r="BD423" t="str">
        <f>IF(AND($N$420=1,$O$420=1),'E28'!$C$6&amp;"","")</f>
        <v/>
      </c>
      <c r="BE423">
        <f>41/2</f>
        <v>20.5</v>
      </c>
      <c r="BF423">
        <f>0</f>
        <v>0</v>
      </c>
    </row>
    <row r="424" spans="1:58" x14ac:dyDescent="0.25">
      <c r="A424" s="20" t="str">
        <f>IF(ISBLANK('E28'!$A$9)," ",'E28'!$A$9)</f>
        <v>Despesas operacionais</v>
      </c>
      <c r="B424">
        <f>'E28'!$B$9</f>
        <v>-5.5</v>
      </c>
      <c r="C424" t="b">
        <f>IF(ISERROR(B424),FALSE,IF(ISNUMBER(B424),FALSE,OR(LOWER(TRIM(B424&amp;""))={"e","t","=","total","subtotal"})))</f>
        <v>0</v>
      </c>
      <c r="D424">
        <f>IF(C424,0,IF(ISNUMBER(B424),B424,0))</f>
        <v>-5.5</v>
      </c>
      <c r="E424">
        <f>F423</f>
        <v>8.1999999999999993</v>
      </c>
      <c r="F424">
        <f>IF(C424,E424,E424+D424)</f>
        <v>2.6999999999999993</v>
      </c>
      <c r="G424">
        <f>IF(C424,MIN(0,F424),MIN(E424,F424))</f>
        <v>2.6999999999999993</v>
      </c>
      <c r="H424">
        <f>IF(C424,MAX(0,F424),MAX(E424,F424))</f>
        <v>8.1999999999999993</v>
      </c>
      <c r="I424">
        <f>MAX(0,G424)+MIN(0,H424)</f>
        <v>2.6999999999999993</v>
      </c>
      <c r="J424">
        <f>MAX(0,H424)-MAX(0,G424)</f>
        <v>5.5</v>
      </c>
      <c r="K424">
        <f>MIN(0,G424)-MIN(0,H424)</f>
        <v>0</v>
      </c>
      <c r="L424">
        <f>IF(M424,F424,D424)</f>
        <v>-5.5</v>
      </c>
      <c r="M424" t="b">
        <f>C424</f>
        <v>0</v>
      </c>
      <c r="N424">
        <f>'E28'!$C$9</f>
        <v>-4.4000000000000004</v>
      </c>
      <c r="O424" t="b">
        <f>IF(ISERROR(N424),FALSE,IF(ISNUMBER(N424),FALSE,OR(LOWER(TRIM(N424&amp;""))={"e","t","=","total","subtotal"})))</f>
        <v>0</v>
      </c>
      <c r="P424">
        <f>IF(O424,0,IF(ISNUMBER(N424),N424,0))</f>
        <v>-4.4000000000000004</v>
      </c>
      <c r="Q424">
        <f>R423</f>
        <v>7.0000000000000018</v>
      </c>
      <c r="R424">
        <f>IF(O424,Q424,Q424+P424)</f>
        <v>2.6000000000000014</v>
      </c>
      <c r="S424">
        <f>IF(O424,MIN(0,R424),MIN(Q424,R424))</f>
        <v>2.6000000000000014</v>
      </c>
      <c r="T424">
        <f>IF(O424,MAX(0,R424),MAX(Q424,R424))</f>
        <v>7.0000000000000018</v>
      </c>
      <c r="U424">
        <f>MAX(0,S424)+MIN(0,T424)</f>
        <v>2.6000000000000014</v>
      </c>
      <c r="V424">
        <f>MAX(0,T424)-MAX(0,S424)</f>
        <v>4.4000000000000004</v>
      </c>
      <c r="W424">
        <f>MIN(0,S424)-MIN(0,T424)</f>
        <v>0</v>
      </c>
      <c r="X424">
        <f>IF(Y424,R424,P424)</f>
        <v>-4.4000000000000004</v>
      </c>
      <c r="Y424" t="b">
        <f>O424</f>
        <v>0</v>
      </c>
      <c r="Z424" t="str">
        <f>IF(M424&lt;&gt;Y424,"n/d",IF($K$420=1,IF(ROUND((X424-L424)/$G$420,$H$420)&gt;0,"+","")&amp;FIXED(ROUND((X424-L424)/$G$420,$H$420),$H$420)&amp;$J$420,IF(OR(L424=0,L424*X424&lt;0),"n/d",IF(ROUND(100*(X424-L424)/L424,0)&gt;0,"+","")&amp;FIXED(ROUND(100*(X424-L424)/L424,0),0)&amp;"%")))</f>
        <v>+1,1</v>
      </c>
      <c r="AA424" t="str">
        <f>IF(M424,FIXED(ROUND(F424/$G$420,$H$420),$H$420)&amp;$I$420&amp;IF(AND($M$420=1,$F$422&lt;&gt;0)," ("&amp;FIXED(ROUND(100*F424/$F$422,0),0)&amp;"%)",""),"")</f>
        <v/>
      </c>
      <c r="AB424" t="str">
        <f>IF(Y424,FIXED(ROUND(R424/$G$420,$H$420),$H$420)&amp;$I$420&amp;IF(AND($M$420=1,$R$422&lt;&gt;0)," ("&amp;FIXED(ROUND(100*R424/$R$422,0),0)&amp;"%)",""),"")</f>
        <v/>
      </c>
      <c r="AC424" t="s">
        <v>391</v>
      </c>
      <c r="AD424" t="s">
        <v>391</v>
      </c>
      <c r="AE424">
        <f>0</f>
        <v>0</v>
      </c>
      <c r="AF424">
        <f>0</f>
        <v>0</v>
      </c>
      <c r="AG424">
        <f>0</f>
        <v>0</v>
      </c>
      <c r="AH424">
        <f>0</f>
        <v>0</v>
      </c>
      <c r="AI424">
        <f>0</f>
        <v>0</v>
      </c>
      <c r="AJ424" t="e">
        <f>NA()</f>
        <v>#N/A</v>
      </c>
      <c r="AK424" s="14" t="str">
        <f>""</f>
        <v/>
      </c>
      <c r="AL424" t="e">
        <f>NA()</f>
        <v>#N/A</v>
      </c>
      <c r="AM424" s="14" t="str">
        <f>""</f>
        <v/>
      </c>
      <c r="AN424" t="e">
        <f>NA()</f>
        <v>#N/A</v>
      </c>
      <c r="AO424" s="12" t="str">
        <f>""</f>
        <v/>
      </c>
      <c r="AP424">
        <v>1</v>
      </c>
      <c r="AQ424">
        <f>0</f>
        <v>0</v>
      </c>
      <c r="AR424">
        <f>7+$F$420</f>
        <v>7.384615384615385</v>
      </c>
      <c r="AS424">
        <f>F424</f>
        <v>2.6999999999999993</v>
      </c>
      <c r="AT424">
        <f>3-2*$F$420</f>
        <v>2.2307692307692308</v>
      </c>
      <c r="AU424">
        <f>8+$F$420</f>
        <v>8.384615384615385</v>
      </c>
      <c r="AV424">
        <f>R424</f>
        <v>2.6000000000000014</v>
      </c>
      <c r="AW424">
        <f>3/2</f>
        <v>1.5</v>
      </c>
      <c r="AX424">
        <f>(MAX((H422+$E$420*IF(AND(M422,$L$420=1,F422&gt;=0),22,3)),(T422+$E$420*IF(AND(Y422,$L$420=1,R422&gt;=0),22,3)))+$E$420*12)</f>
        <v>30.478752834004887</v>
      </c>
      <c r="AY424" t="str">
        <f>Z422</f>
        <v>-5,1</v>
      </c>
      <c r="AZ424">
        <f>15/2</f>
        <v>7.5</v>
      </c>
      <c r="BA424">
        <f>(MAX((H424+$E$420*IF(AND(M424,$L$420=1,F424&gt;=0),22,3)),(T424+$E$420*IF(AND(Y424,$L$420=1,R424&gt;=0),22,3)))+$E$420*12)+$E$420*12</f>
        <v>11.597833132886233</v>
      </c>
    </row>
    <row r="425" spans="1:58" x14ac:dyDescent="0.25">
      <c r="A425" s="20" t="str">
        <f>IF(ISBLANK('E28'!$A$10)," ",'E28'!$A$10)</f>
        <v>EBITDA</v>
      </c>
      <c r="B425" t="str">
        <f>'E28'!$B$10</f>
        <v>e</v>
      </c>
      <c r="C425" t="b">
        <f>IF(ISERROR(B425),FALSE,IF(ISNUMBER(B425),FALSE,OR(LOWER(TRIM(B425&amp;""))={"e","t","=","total","subtotal"})))</f>
        <v>1</v>
      </c>
      <c r="D425">
        <f>IF(C425,0,IF(ISNUMBER(B425),B425,0))</f>
        <v>0</v>
      </c>
      <c r="E425">
        <f>F424</f>
        <v>2.6999999999999993</v>
      </c>
      <c r="F425">
        <f>IF(C425,E425,E425+D425)</f>
        <v>2.6999999999999993</v>
      </c>
      <c r="G425">
        <f>IF(C425,MIN(0,F425),MIN(E425,F425))</f>
        <v>0</v>
      </c>
      <c r="H425">
        <f>IF(C425,MAX(0,F425),MAX(E425,F425))</f>
        <v>2.6999999999999993</v>
      </c>
      <c r="I425">
        <f>MAX(0,G425)+MIN(0,H425)</f>
        <v>0</v>
      </c>
      <c r="J425">
        <f>MAX(0,H425)-MAX(0,G425)</f>
        <v>2.6999999999999993</v>
      </c>
      <c r="K425">
        <f>MIN(0,G425)-MIN(0,H425)</f>
        <v>0</v>
      </c>
      <c r="L425">
        <f>IF(M425,F425,D425)</f>
        <v>2.6999999999999993</v>
      </c>
      <c r="M425" t="b">
        <f>C425</f>
        <v>1</v>
      </c>
      <c r="N425" t="str">
        <f>'E28'!$C$10</f>
        <v>e</v>
      </c>
      <c r="O425" t="b">
        <f>IF(ISERROR(N425),FALSE,IF(ISNUMBER(N425),FALSE,OR(LOWER(TRIM(N425&amp;""))={"e","t","=","total","subtotal"})))</f>
        <v>1</v>
      </c>
      <c r="P425">
        <f>IF(O425,0,IF(ISNUMBER(N425),N425,0))</f>
        <v>0</v>
      </c>
      <c r="Q425">
        <f>R424</f>
        <v>2.6000000000000014</v>
      </c>
      <c r="R425">
        <f>IF(O425,Q425,Q425+P425)</f>
        <v>2.6000000000000014</v>
      </c>
      <c r="S425">
        <f>IF(O425,MIN(0,R425),MIN(Q425,R425))</f>
        <v>0</v>
      </c>
      <c r="T425">
        <f>IF(O425,MAX(0,R425),MAX(Q425,R425))</f>
        <v>2.6000000000000014</v>
      </c>
      <c r="U425">
        <f>MAX(0,S425)+MIN(0,T425)</f>
        <v>0</v>
      </c>
      <c r="V425">
        <f>MAX(0,T425)-MAX(0,S425)</f>
        <v>2.6000000000000014</v>
      </c>
      <c r="W425">
        <f>MIN(0,S425)-MIN(0,T425)</f>
        <v>0</v>
      </c>
      <c r="X425">
        <f>IF(Y425,R425,P425)</f>
        <v>2.6000000000000014</v>
      </c>
      <c r="Y425" t="b">
        <f>O425</f>
        <v>1</v>
      </c>
      <c r="Z425" t="str">
        <f>IF(M425&lt;&gt;Y425,"n/d",IF($K$420=1,IF(ROUND((X425-L425)/$G$420,$H$420)&gt;0,"+","")&amp;FIXED(ROUND((X425-L425)/$G$420,$H$420),$H$420)&amp;$J$420,IF(OR(L425=0,L425*X425&lt;0),"n/d",IF(ROUND(100*(X425-L425)/L425,0)&gt;0,"+","")&amp;FIXED(ROUND(100*(X425-L425)/L425,0),0)&amp;"%")))</f>
        <v>-0,1</v>
      </c>
      <c r="AA425" t="str">
        <f>IF(M425,FIXED(ROUND(F425/$G$420,$H$420),$H$420)&amp;$I$420&amp;IF(AND($M$420=1,$F$422&lt;&gt;0)," ("&amp;FIXED(ROUND(100*F425/$F$422,0),0)&amp;"%)",""),"")</f>
        <v>2,7 (10%)</v>
      </c>
      <c r="AB425" t="str">
        <f>IF(Y425,FIXED(ROUND(R425/$G$420,$H$420),$H$420)&amp;$I$420&amp;IF(AND($M$420=1,$R$422&lt;&gt;0)," ("&amp;FIXED(ROUND(100*R425/$R$422,0),0)&amp;"%)",""),"")</f>
        <v>2,6 (12%)</v>
      </c>
      <c r="AC425" s="20" t="str">
        <f>A423</f>
        <v>Custo das mercadorias</v>
      </c>
      <c r="AD425" t="s">
        <v>391</v>
      </c>
      <c r="AE425">
        <f>I423</f>
        <v>8.1999999999999993</v>
      </c>
      <c r="AF425">
        <f>J423</f>
        <v>18</v>
      </c>
      <c r="AG425">
        <f>K423</f>
        <v>0</v>
      </c>
      <c r="AH425">
        <f>0</f>
        <v>0</v>
      </c>
      <c r="AI425">
        <f>0</f>
        <v>0</v>
      </c>
      <c r="AJ425">
        <f>IF(M423,NA(),(G423+H423)/2)</f>
        <v>17.2</v>
      </c>
      <c r="AK425" s="14">
        <f>IF(OR(M423,AP425=0),"",D423)</f>
        <v>-18</v>
      </c>
      <c r="AL425" t="e">
        <f>NA()</f>
        <v>#N/A</v>
      </c>
      <c r="AM425" s="14" t="str">
        <f>""</f>
        <v/>
      </c>
      <c r="AN425" t="e">
        <f>IF(M423,IF(F423&gt;=0,H423,G423),NA())</f>
        <v>#N/A</v>
      </c>
      <c r="AO425" s="12" t="str">
        <f>IF(AP425=0,IF(M423,FIXED(ROUND(F423/$G$420,$H$420),$H$420)&amp;$I$420,""),AA423)</f>
        <v/>
      </c>
      <c r="AP425">
        <v>1</v>
      </c>
      <c r="AQ425">
        <f>H423</f>
        <v>26.2</v>
      </c>
      <c r="AR425">
        <f>10+$F$420</f>
        <v>10.384615384615385</v>
      </c>
      <c r="AS425">
        <f>F425</f>
        <v>2.6999999999999993</v>
      </c>
      <c r="AT425">
        <f>3-2*$F$420</f>
        <v>2.2307692307692308</v>
      </c>
      <c r="AU425">
        <f>11+$F$420</f>
        <v>11.384615384615385</v>
      </c>
      <c r="AV425">
        <f>R425</f>
        <v>2.6000000000000014</v>
      </c>
      <c r="AW425">
        <f>2</f>
        <v>2</v>
      </c>
      <c r="AX425">
        <f>(MAX((H422+$E$420*IF(AND(M422,$L$420=1,F422&gt;=0),22,3)),(T422+$E$420*IF(AND(Y422,$L$420=1,R422&gt;=0),22,3)))+$E$420*12)</f>
        <v>30.478752834004887</v>
      </c>
      <c r="AZ425">
        <f>21/2</f>
        <v>10.5</v>
      </c>
      <c r="BA425">
        <f>(MAX((H425+$E$420*IF(AND(M425,$L$420=1,F425&gt;=0),22,3)),(T425+$E$420*IF(AND(Y425,$L$420=1,R425&gt;=0),22,3)))+$E$420*12)+$E$420*12</f>
        <v>8.4889008930654342</v>
      </c>
    </row>
    <row r="426" spans="1:58" x14ac:dyDescent="0.25">
      <c r="A426" s="20" t="str">
        <f>IF(ISBLANK('E28'!$A$11)," ",'E28'!$A$11)</f>
        <v>Depreciação e juros</v>
      </c>
      <c r="B426">
        <f>'E28'!$B$11</f>
        <v>-0.7</v>
      </c>
      <c r="C426" t="b">
        <f>IF(ISERROR(B426),FALSE,IF(ISNUMBER(B426),FALSE,OR(LOWER(TRIM(B426&amp;""))={"e","t","=","total","subtotal"})))</f>
        <v>0</v>
      </c>
      <c r="D426">
        <f>IF(C426,0,IF(ISNUMBER(B426),B426,0))</f>
        <v>-0.7</v>
      </c>
      <c r="E426">
        <f>F425</f>
        <v>2.6999999999999993</v>
      </c>
      <c r="F426">
        <f>IF(C426,E426,E426+D426)</f>
        <v>1.9999999999999993</v>
      </c>
      <c r="G426">
        <f>IF(C426,MIN(0,F426),MIN(E426,F426))</f>
        <v>1.9999999999999993</v>
      </c>
      <c r="H426">
        <f>IF(C426,MAX(0,F426),MAX(E426,F426))</f>
        <v>2.6999999999999993</v>
      </c>
      <c r="I426">
        <f>MAX(0,G426)+MIN(0,H426)</f>
        <v>1.9999999999999993</v>
      </c>
      <c r="J426">
        <f>MAX(0,H426)-MAX(0,G426)</f>
        <v>0.7</v>
      </c>
      <c r="K426">
        <f>MIN(0,G426)-MIN(0,H426)</f>
        <v>0</v>
      </c>
      <c r="L426">
        <f>IF(M426,F426,D426)</f>
        <v>-0.7</v>
      </c>
      <c r="M426" t="b">
        <f>C426</f>
        <v>0</v>
      </c>
      <c r="N426">
        <f>'E28'!$C$11</f>
        <v>-0.5</v>
      </c>
      <c r="O426" t="b">
        <f>IF(ISERROR(N426),FALSE,IF(ISNUMBER(N426),FALSE,OR(LOWER(TRIM(N426&amp;""))={"e","t","=","total","subtotal"})))</f>
        <v>0</v>
      </c>
      <c r="P426">
        <f>IF(O426,0,IF(ISNUMBER(N426),N426,0))</f>
        <v>-0.5</v>
      </c>
      <c r="Q426">
        <f>R425</f>
        <v>2.6000000000000014</v>
      </c>
      <c r="R426">
        <f>IF(O426,Q426,Q426+P426)</f>
        <v>2.1000000000000014</v>
      </c>
      <c r="S426">
        <f>IF(O426,MIN(0,R426),MIN(Q426,R426))</f>
        <v>2.1000000000000014</v>
      </c>
      <c r="T426">
        <f>IF(O426,MAX(0,R426),MAX(Q426,R426))</f>
        <v>2.6000000000000014</v>
      </c>
      <c r="U426">
        <f>MAX(0,S426)+MIN(0,T426)</f>
        <v>2.1000000000000014</v>
      </c>
      <c r="V426">
        <f>MAX(0,T426)-MAX(0,S426)</f>
        <v>0.5</v>
      </c>
      <c r="W426">
        <f>MIN(0,S426)-MIN(0,T426)</f>
        <v>0</v>
      </c>
      <c r="X426">
        <f>IF(Y426,R426,P426)</f>
        <v>-0.5</v>
      </c>
      <c r="Y426" t="b">
        <f>O426</f>
        <v>0</v>
      </c>
      <c r="Z426" t="str">
        <f>IF(M426&lt;&gt;Y426,"n/d",IF($K$420=1,IF(ROUND((X426-L426)/$G$420,$H$420)&gt;0,"+","")&amp;FIXED(ROUND((X426-L426)/$G$420,$H$420),$H$420)&amp;$J$420,IF(OR(L426=0,L426*X426&lt;0),"n/d",IF(ROUND(100*(X426-L426)/L426,0)&gt;0,"+","")&amp;FIXED(ROUND(100*(X426-L426)/L426,0),0)&amp;"%")))</f>
        <v>+0,2</v>
      </c>
      <c r="AA426" t="str">
        <f>IF(M426,FIXED(ROUND(F426/$G$420,$H$420),$H$420)&amp;$I$420&amp;IF(AND($M$420=1,$F$422&lt;&gt;0)," ("&amp;FIXED(ROUND(100*F426/$F$422,0),0)&amp;"%)",""),"")</f>
        <v/>
      </c>
      <c r="AB426" t="str">
        <f>IF(Y426,FIXED(ROUND(R426/$G$420,$H$420),$H$420)&amp;$I$420&amp;IF(AND($M$420=1,$R$422&lt;&gt;0)," ("&amp;FIXED(ROUND(100*R426/$R$422,0),0)&amp;"%)",""),"")</f>
        <v/>
      </c>
      <c r="AD426" t="s">
        <v>391</v>
      </c>
      <c r="AE426">
        <f>U423</f>
        <v>7.0000000000000018</v>
      </c>
      <c r="AF426">
        <f>0</f>
        <v>0</v>
      </c>
      <c r="AG426">
        <f>0</f>
        <v>0</v>
      </c>
      <c r="AH426">
        <f>V423</f>
        <v>14.1</v>
      </c>
      <c r="AI426">
        <f>W423</f>
        <v>0</v>
      </c>
      <c r="AJ426" t="e">
        <f>NA()</f>
        <v>#N/A</v>
      </c>
      <c r="AK426" s="14" t="str">
        <f>""</f>
        <v/>
      </c>
      <c r="AL426">
        <f>IF(Y423,NA(),(S423+T423)/2)</f>
        <v>14.05</v>
      </c>
      <c r="AM426" s="14">
        <f>IF(OR(Y423,AP426=0),"",P423)</f>
        <v>-14.1</v>
      </c>
      <c r="AN426" t="e">
        <f>IF(Y423,IF(R423&gt;=0,T423,S423),NA())</f>
        <v>#N/A</v>
      </c>
      <c r="AO426" s="12" t="str">
        <f>IF(AP426=0,IF(Y423,FIXED(ROUND(R423/$G$420,$H$420),$H$420)&amp;$I$420,""),AB423)</f>
        <v/>
      </c>
      <c r="AP426">
        <v>1</v>
      </c>
      <c r="AQ426">
        <f>T423</f>
        <v>21.1</v>
      </c>
      <c r="AR426">
        <f>13+$F$420</f>
        <v>13.384615384615385</v>
      </c>
      <c r="AS426">
        <f>F426</f>
        <v>1.9999999999999993</v>
      </c>
      <c r="AT426">
        <f>3-2*$F$420</f>
        <v>2.2307692307692308</v>
      </c>
      <c r="AU426">
        <f>14+$F$420</f>
        <v>14.384615384615385</v>
      </c>
      <c r="AV426">
        <f>R426</f>
        <v>2.1000000000000014</v>
      </c>
      <c r="AW426">
        <f>2</f>
        <v>2</v>
      </c>
      <c r="AX426">
        <f>(T422+$E$420*IF(AND(Y422,$L$420=1,R422&gt;=0),22,3))</f>
        <v>23.868604774944341</v>
      </c>
      <c r="AZ426">
        <f>27/2</f>
        <v>13.5</v>
      </c>
      <c r="BA426">
        <f>(MAX((H426+$E$420*IF(AND(M426,$L$420=1,F426&gt;=0),22,3)),(T426+$E$420*IF(AND(Y426,$L$420=1,R426&gt;=0),22,3)))+$E$420*12)+$E$420*12</f>
        <v>6.0978331328862332</v>
      </c>
    </row>
    <row r="427" spans="1:58" x14ac:dyDescent="0.25">
      <c r="A427" s="20" t="str">
        <f>IF(ISBLANK('E28'!$A$12)," ",'E28'!$A$12)</f>
        <v>Impostos</v>
      </c>
      <c r="B427">
        <f>'E28'!$B$12</f>
        <v>-0.7</v>
      </c>
      <c r="C427" t="b">
        <f>IF(ISERROR(B427),FALSE,IF(ISNUMBER(B427),FALSE,OR(LOWER(TRIM(B427&amp;""))={"e","t","=","total","subtotal"})))</f>
        <v>0</v>
      </c>
      <c r="D427">
        <f>IF(C427,0,IF(ISNUMBER(B427),B427,0))</f>
        <v>-0.7</v>
      </c>
      <c r="E427">
        <f>F426</f>
        <v>1.9999999999999993</v>
      </c>
      <c r="F427">
        <f>IF(C427,E427,E427+D427)</f>
        <v>1.2999999999999994</v>
      </c>
      <c r="G427">
        <f>IF(C427,MIN(0,F427),MIN(E427,F427))</f>
        <v>1.2999999999999994</v>
      </c>
      <c r="H427">
        <f>IF(C427,MAX(0,F427),MAX(E427,F427))</f>
        <v>1.9999999999999993</v>
      </c>
      <c r="I427">
        <f>MAX(0,G427)+MIN(0,H427)</f>
        <v>1.2999999999999994</v>
      </c>
      <c r="J427">
        <f>MAX(0,H427)-MAX(0,G427)</f>
        <v>0.7</v>
      </c>
      <c r="K427">
        <f>MIN(0,G427)-MIN(0,H427)</f>
        <v>0</v>
      </c>
      <c r="L427">
        <f>IF(M427,F427,D427)</f>
        <v>-0.7</v>
      </c>
      <c r="M427" t="b">
        <f>C427</f>
        <v>0</v>
      </c>
      <c r="N427">
        <f>'E28'!$C$12</f>
        <v>-0.7</v>
      </c>
      <c r="O427" t="b">
        <f>IF(ISERROR(N427),FALSE,IF(ISNUMBER(N427),FALSE,OR(LOWER(TRIM(N427&amp;""))={"e","t","=","total","subtotal"})))</f>
        <v>0</v>
      </c>
      <c r="P427">
        <f>IF(O427,0,IF(ISNUMBER(N427),N427,0))</f>
        <v>-0.7</v>
      </c>
      <c r="Q427">
        <f>R426</f>
        <v>2.1000000000000014</v>
      </c>
      <c r="R427">
        <f>IF(O427,Q427,Q427+P427)</f>
        <v>1.4000000000000015</v>
      </c>
      <c r="S427">
        <f>IF(O427,MIN(0,R427),MIN(Q427,R427))</f>
        <v>1.4000000000000015</v>
      </c>
      <c r="T427">
        <f>IF(O427,MAX(0,R427),MAX(Q427,R427))</f>
        <v>2.1000000000000014</v>
      </c>
      <c r="U427">
        <f>MAX(0,S427)+MIN(0,T427)</f>
        <v>1.4000000000000015</v>
      </c>
      <c r="V427">
        <f>MAX(0,T427)-MAX(0,S427)</f>
        <v>0.7</v>
      </c>
      <c r="W427">
        <f>MIN(0,S427)-MIN(0,T427)</f>
        <v>0</v>
      </c>
      <c r="X427">
        <f>IF(Y427,R427,P427)</f>
        <v>-0.7</v>
      </c>
      <c r="Y427" t="b">
        <f>O427</f>
        <v>0</v>
      </c>
      <c r="Z427" t="str">
        <f>IF(M427&lt;&gt;Y427,"n/d",IF($K$420=1,IF(ROUND((X427-L427)/$G$420,$H$420)&gt;0,"+","")&amp;FIXED(ROUND((X427-L427)/$G$420,$H$420),$H$420)&amp;$J$420,IF(OR(L427=0,L427*X427&lt;0),"n/d",IF(ROUND(100*(X427-L427)/L427,0)&gt;0,"+","")&amp;FIXED(ROUND(100*(X427-L427)/L427,0),0)&amp;"%")))</f>
        <v>0,0</v>
      </c>
      <c r="AA427" t="str">
        <f>IF(M427,FIXED(ROUND(F427/$G$420,$H$420),$H$420)&amp;$I$420&amp;IF(AND($M$420=1,$F$422&lt;&gt;0)," ("&amp;FIXED(ROUND(100*F427/$F$422,0),0)&amp;"%)",""),"")</f>
        <v/>
      </c>
      <c r="AB427" t="str">
        <f>IF(Y427,FIXED(ROUND(R427/$G$420,$H$420),$H$420)&amp;$I$420&amp;IF(AND($M$420=1,$R$422&lt;&gt;0)," ("&amp;FIXED(ROUND(100*R427/$R$422,0),0)&amp;"%)",""),"")</f>
        <v/>
      </c>
      <c r="AC427" t="s">
        <v>391</v>
      </c>
      <c r="AD427" t="s">
        <v>391</v>
      </c>
      <c r="AE427">
        <f>0</f>
        <v>0</v>
      </c>
      <c r="AF427">
        <f>0</f>
        <v>0</v>
      </c>
      <c r="AG427">
        <f>0</f>
        <v>0</v>
      </c>
      <c r="AH427">
        <f>0</f>
        <v>0</v>
      </c>
      <c r="AI427">
        <f>0</f>
        <v>0</v>
      </c>
      <c r="AJ427" t="e">
        <f>NA()</f>
        <v>#N/A</v>
      </c>
      <c r="AK427" s="14" t="str">
        <f>""</f>
        <v/>
      </c>
      <c r="AL427" t="e">
        <f>NA()</f>
        <v>#N/A</v>
      </c>
      <c r="AM427" s="14" t="str">
        <f>""</f>
        <v/>
      </c>
      <c r="AN427" t="e">
        <f>NA()</f>
        <v>#N/A</v>
      </c>
      <c r="AO427" s="12" t="str">
        <f>""</f>
        <v/>
      </c>
      <c r="AP427">
        <v>1</v>
      </c>
      <c r="AQ427">
        <f>0</f>
        <v>0</v>
      </c>
      <c r="AR427">
        <f>16+$F$420</f>
        <v>16.384615384615383</v>
      </c>
      <c r="AS427">
        <f>F427</f>
        <v>1.2999999999999994</v>
      </c>
      <c r="AT427">
        <f>3-2*$F$420</f>
        <v>2.2307692307692308</v>
      </c>
      <c r="AU427">
        <f>17+$F$420</f>
        <v>17.384615384615383</v>
      </c>
      <c r="AV427">
        <f>R427</f>
        <v>1.4000000000000015</v>
      </c>
      <c r="AZ427">
        <f>33/2</f>
        <v>16.5</v>
      </c>
      <c r="BA427">
        <f>(MAX((H427+$E$420*IF(AND(M427,$L$420=1,F427&gt;=0),22,3)),(T427+$E$420*IF(AND(Y427,$L$420=1,R427&gt;=0),22,3)))+$E$420*12)+$E$420*12</f>
        <v>5.4978331328862353</v>
      </c>
    </row>
    <row r="428" spans="1:58" x14ac:dyDescent="0.25">
      <c r="A428" s="20" t="str">
        <f>IF(ISBLANK('E28'!$A$13)," ",'E28'!$A$13)</f>
        <v>Lucro líquido</v>
      </c>
      <c r="B428" t="str">
        <f>'E28'!$B$13</f>
        <v>e</v>
      </c>
      <c r="C428" t="b">
        <f>IF(ISERROR(B428),FALSE,IF(ISNUMBER(B428),FALSE,OR(LOWER(TRIM(B428&amp;""))={"e","t","=","total","subtotal"})))</f>
        <v>1</v>
      </c>
      <c r="D428">
        <f>IF(C428,0,IF(ISNUMBER(B428),B428,0))</f>
        <v>0</v>
      </c>
      <c r="E428">
        <f>F427</f>
        <v>1.2999999999999994</v>
      </c>
      <c r="F428">
        <f>IF(C428,E428,E428+D428)</f>
        <v>1.2999999999999994</v>
      </c>
      <c r="G428">
        <f>IF(C428,MIN(0,F428),MIN(E428,F428))</f>
        <v>0</v>
      </c>
      <c r="H428">
        <f>IF(C428,MAX(0,F428),MAX(E428,F428))</f>
        <v>1.2999999999999994</v>
      </c>
      <c r="I428">
        <f>MAX(0,G428)+MIN(0,H428)</f>
        <v>0</v>
      </c>
      <c r="J428">
        <f>MAX(0,H428)-MAX(0,G428)</f>
        <v>1.2999999999999994</v>
      </c>
      <c r="K428">
        <f>MIN(0,G428)-MIN(0,H428)</f>
        <v>0</v>
      </c>
      <c r="L428">
        <f>IF(M428,F428,D428)</f>
        <v>1.2999999999999994</v>
      </c>
      <c r="M428" t="b">
        <f>C428</f>
        <v>1</v>
      </c>
      <c r="N428" t="str">
        <f>'E28'!$C$13</f>
        <v>e</v>
      </c>
      <c r="O428" t="b">
        <f>IF(ISERROR(N428),FALSE,IF(ISNUMBER(N428),FALSE,OR(LOWER(TRIM(N428&amp;""))={"e","t","=","total","subtotal"})))</f>
        <v>1</v>
      </c>
      <c r="P428">
        <f>IF(O428,0,IF(ISNUMBER(N428),N428,0))</f>
        <v>0</v>
      </c>
      <c r="Q428">
        <f>R427</f>
        <v>1.4000000000000015</v>
      </c>
      <c r="R428">
        <f>IF(O428,Q428,Q428+P428)</f>
        <v>1.4000000000000015</v>
      </c>
      <c r="S428">
        <f>IF(O428,MIN(0,R428),MIN(Q428,R428))</f>
        <v>0</v>
      </c>
      <c r="T428">
        <f>IF(O428,MAX(0,R428),MAX(Q428,R428))</f>
        <v>1.4000000000000015</v>
      </c>
      <c r="U428">
        <f>MAX(0,S428)+MIN(0,T428)</f>
        <v>0</v>
      </c>
      <c r="V428">
        <f>MAX(0,T428)-MAX(0,S428)</f>
        <v>1.4000000000000015</v>
      </c>
      <c r="W428">
        <f>MIN(0,S428)-MIN(0,T428)</f>
        <v>0</v>
      </c>
      <c r="X428">
        <f>IF(Y428,R428,P428)</f>
        <v>1.4000000000000015</v>
      </c>
      <c r="Y428" t="b">
        <f>O428</f>
        <v>1</v>
      </c>
      <c r="Z428" t="str">
        <f>IF(M428&lt;&gt;Y428,"n/d",IF($K$420=1,IF(ROUND((X428-L428)/$G$420,$H$420)&gt;0,"+","")&amp;FIXED(ROUND((X428-L428)/$G$420,$H$420),$H$420)&amp;$J$420,IF(OR(L428=0,L428*X428&lt;0),"n/d",IF(ROUND(100*(X428-L428)/L428,0)&gt;0,"+","")&amp;FIXED(ROUND(100*(X428-L428)/L428,0),0)&amp;"%")))</f>
        <v>+0,1</v>
      </c>
      <c r="AA428" t="str">
        <f>IF(M428,FIXED(ROUND(F428/$G$420,$H$420),$H$420)&amp;$I$420&amp;IF(AND($M$420=1,$F$422&lt;&gt;0)," ("&amp;FIXED(ROUND(100*F428/$F$422,0),0)&amp;"%)",""),"")</f>
        <v>1,3 (5%)</v>
      </c>
      <c r="AB428" t="str">
        <f>IF(Y428,FIXED(ROUND(R428/$G$420,$H$420),$H$420)&amp;$I$420&amp;IF(AND($M$420=1,$R$422&lt;&gt;0)," ("&amp;FIXED(ROUND(100*R428/$R$422,0),0)&amp;"%)",""),"")</f>
        <v>1,4 (7%)</v>
      </c>
      <c r="AC428" s="20" t="str">
        <f>A424</f>
        <v>Despesas operacionais</v>
      </c>
      <c r="AD428" t="s">
        <v>391</v>
      </c>
      <c r="AE428">
        <f>I424</f>
        <v>2.6999999999999993</v>
      </c>
      <c r="AF428">
        <f>J424</f>
        <v>5.5</v>
      </c>
      <c r="AG428">
        <f>K424</f>
        <v>0</v>
      </c>
      <c r="AH428">
        <f>0</f>
        <v>0</v>
      </c>
      <c r="AI428">
        <f>0</f>
        <v>0</v>
      </c>
      <c r="AJ428">
        <f>IF(M424,NA(),(G424+H424)/2)</f>
        <v>5.4499999999999993</v>
      </c>
      <c r="AK428" s="14">
        <f>IF(OR(M424,AP428=0),"",D424)</f>
        <v>-5.5</v>
      </c>
      <c r="AL428" t="e">
        <f>NA()</f>
        <v>#N/A</v>
      </c>
      <c r="AM428" s="14" t="str">
        <f>""</f>
        <v/>
      </c>
      <c r="AN428" t="e">
        <f>IF(M424,IF(F424&gt;=0,H424,G424),NA())</f>
        <v>#N/A</v>
      </c>
      <c r="AO428" s="12" t="str">
        <f>IF(AP428=0,IF(M424,FIXED(ROUND(F424/$G$420,$H$420),$H$420)&amp;$I$420,""),AA424)</f>
        <v/>
      </c>
      <c r="AP428">
        <v>1</v>
      </c>
      <c r="AQ428">
        <f>H424</f>
        <v>8.1999999999999993</v>
      </c>
      <c r="AW428">
        <f>4</f>
        <v>4</v>
      </c>
      <c r="AX428">
        <f>(H423+$E$420*IF(AND(M423,$L$420=1,F423&gt;=0),22,3))</f>
        <v>26.577537014765138</v>
      </c>
      <c r="AZ428">
        <f>39/2</f>
        <v>19.5</v>
      </c>
      <c r="BA428">
        <f>(MAX((H428+$E$420*IF(AND(M428,$L$420=1,F428&gt;=0),22,3)),(T428+$E$420*IF(AND(Y428,$L$420=1,R428&gt;=0),22,3)))+$E$420*12)+$E$420*12</f>
        <v>7.188900893065437</v>
      </c>
    </row>
    <row r="429" spans="1:58" x14ac:dyDescent="0.25">
      <c r="AD429" t="s">
        <v>391</v>
      </c>
      <c r="AE429">
        <f>U424</f>
        <v>2.6000000000000014</v>
      </c>
      <c r="AF429">
        <f>0</f>
        <v>0</v>
      </c>
      <c r="AG429">
        <f>0</f>
        <v>0</v>
      </c>
      <c r="AH429">
        <f>V424</f>
        <v>4.4000000000000004</v>
      </c>
      <c r="AI429">
        <f>W424</f>
        <v>0</v>
      </c>
      <c r="AJ429" t="e">
        <f>NA()</f>
        <v>#N/A</v>
      </c>
      <c r="AK429" s="14" t="str">
        <f>""</f>
        <v/>
      </c>
      <c r="AL429">
        <f>IF(Y424,NA(),(S424+T424)/2)</f>
        <v>4.8000000000000016</v>
      </c>
      <c r="AM429" s="14">
        <f>IF(OR(Y424,AP429=0),"",P424)</f>
        <v>-4.4000000000000004</v>
      </c>
      <c r="AN429" t="e">
        <f>IF(Y424,IF(R424&gt;=0,T424,S424),NA())</f>
        <v>#N/A</v>
      </c>
      <c r="AO429" s="12" t="str">
        <f>IF(AP429=0,IF(Y424,FIXED(ROUND(R424/$G$420,$H$420),$H$420)&amp;$I$420,""),AB424)</f>
        <v/>
      </c>
      <c r="AP429">
        <v>1</v>
      </c>
      <c r="AQ429">
        <f>T424</f>
        <v>7.0000000000000018</v>
      </c>
      <c r="AW429">
        <f>4</f>
        <v>4</v>
      </c>
      <c r="AX429">
        <f>(MAX((H423+$E$420*IF(AND(M423,$L$420=1,F423&gt;=0),22,3)),(T423+$E$420*IF(AND(Y423,$L$420=1,R423&gt;=0),22,3)))+$E$420*12)</f>
        <v>28.087685073825686</v>
      </c>
    </row>
    <row r="430" spans="1:58" x14ac:dyDescent="0.25">
      <c r="AC430" t="s">
        <v>391</v>
      </c>
      <c r="AD430" t="s">
        <v>391</v>
      </c>
      <c r="AE430">
        <f>0</f>
        <v>0</v>
      </c>
      <c r="AF430">
        <f>0</f>
        <v>0</v>
      </c>
      <c r="AG430">
        <f>0</f>
        <v>0</v>
      </c>
      <c r="AH430">
        <f>0</f>
        <v>0</v>
      </c>
      <c r="AI430">
        <f>0</f>
        <v>0</v>
      </c>
      <c r="AJ430" t="e">
        <f>NA()</f>
        <v>#N/A</v>
      </c>
      <c r="AK430" s="14" t="str">
        <f>""</f>
        <v/>
      </c>
      <c r="AL430" t="e">
        <f>NA()</f>
        <v>#N/A</v>
      </c>
      <c r="AM430" s="14" t="str">
        <f>""</f>
        <v/>
      </c>
      <c r="AN430" t="e">
        <f>NA()</f>
        <v>#N/A</v>
      </c>
      <c r="AO430" s="12" t="str">
        <f>""</f>
        <v/>
      </c>
      <c r="AP430">
        <v>1</v>
      </c>
      <c r="AQ430">
        <f>0</f>
        <v>0</v>
      </c>
      <c r="AW430">
        <f>9/2</f>
        <v>4.5</v>
      </c>
      <c r="AX430">
        <f>(MAX((H423+$E$420*IF(AND(M423,$L$420=1,F423&gt;=0),22,3)),(T423+$E$420*IF(AND(Y423,$L$420=1,R423&gt;=0),22,3)))+$E$420*12)</f>
        <v>28.087685073825686</v>
      </c>
      <c r="AY430" t="str">
        <f>Z423</f>
        <v>+3,9</v>
      </c>
    </row>
    <row r="431" spans="1:58" x14ac:dyDescent="0.25">
      <c r="AC431" s="20" t="str">
        <f>A425</f>
        <v>EBITDA</v>
      </c>
      <c r="AD431" t="s">
        <v>391</v>
      </c>
      <c r="AE431">
        <f>I425</f>
        <v>0</v>
      </c>
      <c r="AF431">
        <f>J425</f>
        <v>2.6999999999999993</v>
      </c>
      <c r="AG431">
        <f>K425</f>
        <v>0</v>
      </c>
      <c r="AH431">
        <f>0</f>
        <v>0</v>
      </c>
      <c r="AI431">
        <f>0</f>
        <v>0</v>
      </c>
      <c r="AJ431" t="e">
        <f>IF(M425,NA(),(G425+H425)/2)</f>
        <v>#N/A</v>
      </c>
      <c r="AK431" s="14" t="str">
        <f>IF(OR(M425,AP431=0),"",D425)</f>
        <v/>
      </c>
      <c r="AL431" t="e">
        <f>NA()</f>
        <v>#N/A</v>
      </c>
      <c r="AM431" s="14" t="str">
        <f>""</f>
        <v/>
      </c>
      <c r="AN431">
        <f>IF(M425,IF(F425&gt;=0,H425,G425),NA())</f>
        <v>2.6999999999999993</v>
      </c>
      <c r="AO431" s="12" t="str">
        <f>IF(AP431=0,IF(M425,FIXED(ROUND(F425/$G$420,$H$420),$H$420)&amp;$I$420,""),AA425)</f>
        <v>2,7</v>
      </c>
      <c r="AP431">
        <v>0</v>
      </c>
      <c r="AQ431">
        <f>H425</f>
        <v>2.6999999999999993</v>
      </c>
      <c r="AW431">
        <f>5</f>
        <v>5</v>
      </c>
      <c r="AX431">
        <f>(MAX((H423+$E$420*IF(AND(M423,$L$420=1,F423&gt;=0),22,3)),(T423+$E$420*IF(AND(Y423,$L$420=1,R423&gt;=0),22,3)))+$E$420*12)</f>
        <v>28.087685073825686</v>
      </c>
    </row>
    <row r="432" spans="1:58" x14ac:dyDescent="0.25">
      <c r="AD432" t="s">
        <v>391</v>
      </c>
      <c r="AE432">
        <f>U425</f>
        <v>0</v>
      </c>
      <c r="AF432">
        <f>0</f>
        <v>0</v>
      </c>
      <c r="AG432">
        <f>0</f>
        <v>0</v>
      </c>
      <c r="AH432">
        <f>V425</f>
        <v>2.6000000000000014</v>
      </c>
      <c r="AI432">
        <f>W425</f>
        <v>0</v>
      </c>
      <c r="AJ432" t="e">
        <f>NA()</f>
        <v>#N/A</v>
      </c>
      <c r="AK432" s="14" t="str">
        <f>""</f>
        <v/>
      </c>
      <c r="AL432" t="e">
        <f>IF(Y425,NA(),(S425+T425)/2)</f>
        <v>#N/A</v>
      </c>
      <c r="AM432" s="14" t="str">
        <f>IF(OR(Y425,AP432=0),"",P425)</f>
        <v/>
      </c>
      <c r="AN432">
        <f>IF(Y425,IF(R425&gt;=0,T425,S425),NA())</f>
        <v>2.6000000000000014</v>
      </c>
      <c r="AO432" s="12" t="str">
        <f>IF(AP432=0,IF(Y425,FIXED(ROUND(R425/$G$420,$H$420),$H$420)&amp;$I$420,""),AB425)</f>
        <v>2,6</v>
      </c>
      <c r="AP432">
        <v>0</v>
      </c>
      <c r="AQ432">
        <f>T425</f>
        <v>2.6000000000000014</v>
      </c>
      <c r="AW432">
        <f>5</f>
        <v>5</v>
      </c>
      <c r="AX432">
        <f>(T423+$E$420*IF(AND(Y423,$L$420=1,R423&gt;=0),22,3))</f>
        <v>21.47753701476514</v>
      </c>
    </row>
    <row r="433" spans="29:51" x14ac:dyDescent="0.25">
      <c r="AC433" t="s">
        <v>391</v>
      </c>
      <c r="AD433" t="s">
        <v>391</v>
      </c>
      <c r="AE433">
        <f>0</f>
        <v>0</v>
      </c>
      <c r="AF433">
        <f>0</f>
        <v>0</v>
      </c>
      <c r="AG433">
        <f>0</f>
        <v>0</v>
      </c>
      <c r="AH433">
        <f>0</f>
        <v>0</v>
      </c>
      <c r="AI433">
        <f>0</f>
        <v>0</v>
      </c>
      <c r="AJ433" t="e">
        <f>NA()</f>
        <v>#N/A</v>
      </c>
      <c r="AK433" s="14" t="str">
        <f>""</f>
        <v/>
      </c>
      <c r="AL433" t="e">
        <f>NA()</f>
        <v>#N/A</v>
      </c>
      <c r="AM433" s="14" t="str">
        <f>""</f>
        <v/>
      </c>
      <c r="AN433" t="e">
        <f>NA()</f>
        <v>#N/A</v>
      </c>
      <c r="AO433" s="12" t="str">
        <f>""</f>
        <v/>
      </c>
      <c r="AP433">
        <v>1</v>
      </c>
      <c r="AQ433">
        <f>0</f>
        <v>0</v>
      </c>
    </row>
    <row r="434" spans="29:51" x14ac:dyDescent="0.25">
      <c r="AC434" s="20" t="str">
        <f>A426</f>
        <v>Depreciação e juros</v>
      </c>
      <c r="AD434" t="s">
        <v>391</v>
      </c>
      <c r="AE434">
        <f>I426</f>
        <v>1.9999999999999993</v>
      </c>
      <c r="AF434">
        <f>J426</f>
        <v>0.7</v>
      </c>
      <c r="AG434">
        <f>K426</f>
        <v>0</v>
      </c>
      <c r="AH434">
        <f>0</f>
        <v>0</v>
      </c>
      <c r="AI434">
        <f>0</f>
        <v>0</v>
      </c>
      <c r="AJ434">
        <f>IF(M426,NA(),(G426+H426)/2)</f>
        <v>2.3499999999999992</v>
      </c>
      <c r="AK434" s="14" t="str">
        <f>IF(OR(M426,AP434=0),"",D426)</f>
        <v/>
      </c>
      <c r="AL434" t="e">
        <f>NA()</f>
        <v>#N/A</v>
      </c>
      <c r="AM434" s="14" t="str">
        <f>""</f>
        <v/>
      </c>
      <c r="AN434" t="e">
        <f>IF(M426,IF(F426&gt;=0,H426,G426),NA())</f>
        <v>#N/A</v>
      </c>
      <c r="AO434" s="12" t="str">
        <f>IF(AP434=0,IF(M426,FIXED(ROUND(F426/$G$420,$H$420),$H$420)&amp;$I$420,""),AA426)</f>
        <v/>
      </c>
      <c r="AP434">
        <v>0</v>
      </c>
      <c r="AQ434">
        <f>H426</f>
        <v>2.6999999999999993</v>
      </c>
      <c r="AW434">
        <f>7</f>
        <v>7</v>
      </c>
      <c r="AX434">
        <f>(H424+$E$420*IF(AND(M424,$L$420=1,F424&gt;=0),22,3))</f>
        <v>8.5775370147651362</v>
      </c>
    </row>
    <row r="435" spans="29:51" x14ac:dyDescent="0.25">
      <c r="AD435" t="s">
        <v>391</v>
      </c>
      <c r="AE435">
        <f>U426</f>
        <v>2.1000000000000014</v>
      </c>
      <c r="AF435">
        <f>0</f>
        <v>0</v>
      </c>
      <c r="AG435">
        <f>0</f>
        <v>0</v>
      </c>
      <c r="AH435">
        <f>V426</f>
        <v>0.5</v>
      </c>
      <c r="AI435">
        <f>W426</f>
        <v>0</v>
      </c>
      <c r="AJ435" t="e">
        <f>NA()</f>
        <v>#N/A</v>
      </c>
      <c r="AK435" s="14" t="str">
        <f>""</f>
        <v/>
      </c>
      <c r="AL435">
        <f>IF(Y426,NA(),(S426+T426)/2)</f>
        <v>2.3500000000000014</v>
      </c>
      <c r="AM435" s="14" t="str">
        <f>IF(OR(Y426,AP435=0),"",P426)</f>
        <v/>
      </c>
      <c r="AN435" t="e">
        <f>IF(Y426,IF(R426&gt;=0,T426,S426),NA())</f>
        <v>#N/A</v>
      </c>
      <c r="AO435" s="12" t="str">
        <f>IF(AP435=0,IF(Y426,FIXED(ROUND(R426/$G$420,$H$420),$H$420)&amp;$I$420,""),AB426)</f>
        <v/>
      </c>
      <c r="AP435">
        <v>0</v>
      </c>
      <c r="AQ435">
        <f>T426</f>
        <v>2.6000000000000014</v>
      </c>
      <c r="AW435">
        <f>7</f>
        <v>7</v>
      </c>
      <c r="AX435">
        <f>(MAX((H424+$E$420*IF(AND(M424,$L$420=1,F424&gt;=0),22,3)),(T424+$E$420*IF(AND(Y424,$L$420=1,R424&gt;=0),22,3)))+$E$420*12)</f>
        <v>10.087685073825686</v>
      </c>
    </row>
    <row r="436" spans="29:51" x14ac:dyDescent="0.25">
      <c r="AC436" t="s">
        <v>391</v>
      </c>
      <c r="AD436" t="s">
        <v>391</v>
      </c>
      <c r="AE436">
        <f>0</f>
        <v>0</v>
      </c>
      <c r="AF436">
        <f>0</f>
        <v>0</v>
      </c>
      <c r="AG436">
        <f>0</f>
        <v>0</v>
      </c>
      <c r="AH436">
        <f>0</f>
        <v>0</v>
      </c>
      <c r="AI436">
        <f>0</f>
        <v>0</v>
      </c>
      <c r="AJ436" t="e">
        <f>NA()</f>
        <v>#N/A</v>
      </c>
      <c r="AK436" s="14" t="str">
        <f>""</f>
        <v/>
      </c>
      <c r="AL436" t="e">
        <f>NA()</f>
        <v>#N/A</v>
      </c>
      <c r="AM436" s="14" t="str">
        <f>""</f>
        <v/>
      </c>
      <c r="AN436" t="e">
        <f>NA()</f>
        <v>#N/A</v>
      </c>
      <c r="AO436" s="12" t="str">
        <f>""</f>
        <v/>
      </c>
      <c r="AP436">
        <v>1</v>
      </c>
      <c r="AQ436">
        <f>0</f>
        <v>0</v>
      </c>
      <c r="AW436">
        <f>15/2</f>
        <v>7.5</v>
      </c>
      <c r="AX436">
        <f>(MAX((H424+$E$420*IF(AND(M424,$L$420=1,F424&gt;=0),22,3)),(T424+$E$420*IF(AND(Y424,$L$420=1,R424&gt;=0),22,3)))+$E$420*12)</f>
        <v>10.087685073825686</v>
      </c>
      <c r="AY436" t="str">
        <f>Z424</f>
        <v>+1,1</v>
      </c>
    </row>
    <row r="437" spans="29:51" x14ac:dyDescent="0.25">
      <c r="AC437" s="20" t="str">
        <f>A427</f>
        <v>Impostos</v>
      </c>
      <c r="AD437" t="s">
        <v>391</v>
      </c>
      <c r="AE437">
        <f>I427</f>
        <v>1.2999999999999994</v>
      </c>
      <c r="AF437">
        <f>J427</f>
        <v>0.7</v>
      </c>
      <c r="AG437">
        <f>K427</f>
        <v>0</v>
      </c>
      <c r="AH437">
        <f>0</f>
        <v>0</v>
      </c>
      <c r="AI437">
        <f>0</f>
        <v>0</v>
      </c>
      <c r="AJ437">
        <f>IF(M427,NA(),(G427+H427)/2)</f>
        <v>1.6499999999999995</v>
      </c>
      <c r="AK437" s="14" t="str">
        <f>IF(OR(M427,AP437=0),"",D427)</f>
        <v/>
      </c>
      <c r="AL437" t="e">
        <f>NA()</f>
        <v>#N/A</v>
      </c>
      <c r="AM437" s="14" t="str">
        <f>""</f>
        <v/>
      </c>
      <c r="AN437" t="e">
        <f>IF(M427,IF(F427&gt;=0,H427,G427),NA())</f>
        <v>#N/A</v>
      </c>
      <c r="AO437" s="12" t="str">
        <f>IF(AP437=0,IF(M427,FIXED(ROUND(F427/$G$420,$H$420),$H$420)&amp;$I$420,""),AA427)</f>
        <v/>
      </c>
      <c r="AP437">
        <v>0</v>
      </c>
      <c r="AQ437">
        <f>H427</f>
        <v>1.9999999999999993</v>
      </c>
      <c r="AW437">
        <f>8</f>
        <v>8</v>
      </c>
      <c r="AX437">
        <f>(MAX((H424+$E$420*IF(AND(M424,$L$420=1,F424&gt;=0),22,3)),(T424+$E$420*IF(AND(Y424,$L$420=1,R424&gt;=0),22,3)))+$E$420*12)</f>
        <v>10.087685073825686</v>
      </c>
    </row>
    <row r="438" spans="29:51" x14ac:dyDescent="0.25">
      <c r="AD438" t="s">
        <v>391</v>
      </c>
      <c r="AE438">
        <f>U427</f>
        <v>1.4000000000000015</v>
      </c>
      <c r="AF438">
        <f>0</f>
        <v>0</v>
      </c>
      <c r="AG438">
        <f>0</f>
        <v>0</v>
      </c>
      <c r="AH438">
        <f>V427</f>
        <v>0.7</v>
      </c>
      <c r="AI438">
        <f>W427</f>
        <v>0</v>
      </c>
      <c r="AJ438" t="e">
        <f>NA()</f>
        <v>#N/A</v>
      </c>
      <c r="AK438" s="14" t="str">
        <f>""</f>
        <v/>
      </c>
      <c r="AL438">
        <f>IF(Y427,NA(),(S427+T427)/2)</f>
        <v>1.7500000000000013</v>
      </c>
      <c r="AM438" s="14" t="str">
        <f>IF(OR(Y427,AP438=0),"",P427)</f>
        <v/>
      </c>
      <c r="AN438" t="e">
        <f>IF(Y427,IF(R427&gt;=0,T427,S427),NA())</f>
        <v>#N/A</v>
      </c>
      <c r="AO438" s="12" t="str">
        <f>IF(AP438=0,IF(Y427,FIXED(ROUND(R427/$G$420,$H$420),$H$420)&amp;$I$420,""),AB427)</f>
        <v/>
      </c>
      <c r="AP438">
        <v>0</v>
      </c>
      <c r="AQ438">
        <f>T427</f>
        <v>2.1000000000000014</v>
      </c>
      <c r="AW438">
        <f>8</f>
        <v>8</v>
      </c>
      <c r="AX438">
        <f>(T424+$E$420*IF(AND(Y424,$L$420=1,R424&gt;=0),22,3))</f>
        <v>7.3775370147651387</v>
      </c>
    </row>
    <row r="439" spans="29:51" x14ac:dyDescent="0.25">
      <c r="AC439" t="s">
        <v>391</v>
      </c>
      <c r="AD439" t="s">
        <v>391</v>
      </c>
      <c r="AE439">
        <f>0</f>
        <v>0</v>
      </c>
      <c r="AF439">
        <f>0</f>
        <v>0</v>
      </c>
      <c r="AG439">
        <f>0</f>
        <v>0</v>
      </c>
      <c r="AH439">
        <f>0</f>
        <v>0</v>
      </c>
      <c r="AI439">
        <f>0</f>
        <v>0</v>
      </c>
      <c r="AJ439" t="e">
        <f>NA()</f>
        <v>#N/A</v>
      </c>
      <c r="AK439" s="14" t="str">
        <f>""</f>
        <v/>
      </c>
      <c r="AL439" t="e">
        <f>NA()</f>
        <v>#N/A</v>
      </c>
      <c r="AM439" s="14" t="str">
        <f>""</f>
        <v/>
      </c>
      <c r="AN439" t="e">
        <f>NA()</f>
        <v>#N/A</v>
      </c>
      <c r="AO439" s="12" t="str">
        <f>""</f>
        <v/>
      </c>
      <c r="AP439">
        <v>1</v>
      </c>
      <c r="AQ439">
        <f>0</f>
        <v>0</v>
      </c>
    </row>
    <row r="440" spans="29:51" x14ac:dyDescent="0.25">
      <c r="AC440" s="20" t="str">
        <f>A428</f>
        <v>Lucro líquido</v>
      </c>
      <c r="AD440" t="s">
        <v>391</v>
      </c>
      <c r="AE440">
        <f>I428</f>
        <v>0</v>
      </c>
      <c r="AF440">
        <f>J428</f>
        <v>1.2999999999999994</v>
      </c>
      <c r="AG440">
        <f>K428</f>
        <v>0</v>
      </c>
      <c r="AH440">
        <f>0</f>
        <v>0</v>
      </c>
      <c r="AI440">
        <f>0</f>
        <v>0</v>
      </c>
      <c r="AJ440" t="e">
        <f>IF(M428,NA(),(G428+H428)/2)</f>
        <v>#N/A</v>
      </c>
      <c r="AK440" s="14" t="str">
        <f>IF(OR(M428,AP440=0),"",D428)</f>
        <v/>
      </c>
      <c r="AL440" t="e">
        <f>NA()</f>
        <v>#N/A</v>
      </c>
      <c r="AM440" s="14" t="str">
        <f>""</f>
        <v/>
      </c>
      <c r="AN440">
        <f>IF(M428,IF(F428&gt;=0,H428,G428),NA())</f>
        <v>1.2999999999999994</v>
      </c>
      <c r="AO440" s="12" t="str">
        <f>IF(AP440=0,IF(M428,FIXED(ROUND(F428/$G$420,$H$420),$H$420)&amp;$I$420,""),AA428)</f>
        <v>1,3</v>
      </c>
      <c r="AP440">
        <v>0</v>
      </c>
      <c r="AQ440">
        <f>H428</f>
        <v>1.2999999999999994</v>
      </c>
      <c r="AW440">
        <f>10</f>
        <v>10</v>
      </c>
      <c r="AX440">
        <f>(H425+$E$420*IF(AND(M425,$L$420=1,F425&gt;=0),22,3))</f>
        <v>5.4686047749443381</v>
      </c>
    </row>
    <row r="441" spans="29:51" x14ac:dyDescent="0.25">
      <c r="AD441" t="s">
        <v>391</v>
      </c>
      <c r="AE441">
        <f>U428</f>
        <v>0</v>
      </c>
      <c r="AF441">
        <f>0</f>
        <v>0</v>
      </c>
      <c r="AG441">
        <f>0</f>
        <v>0</v>
      </c>
      <c r="AH441">
        <f>V428</f>
        <v>1.4000000000000015</v>
      </c>
      <c r="AI441">
        <f>W428</f>
        <v>0</v>
      </c>
      <c r="AJ441" t="e">
        <f>NA()</f>
        <v>#N/A</v>
      </c>
      <c r="AK441" s="14" t="str">
        <f>""</f>
        <v/>
      </c>
      <c r="AL441" t="e">
        <f>IF(Y428,NA(),(S428+T428)/2)</f>
        <v>#N/A</v>
      </c>
      <c r="AM441" s="14" t="str">
        <f>IF(OR(Y428,AP441=0),"",P428)</f>
        <v/>
      </c>
      <c r="AN441">
        <f>IF(Y428,IF(R428&gt;=0,T428,S428),NA())</f>
        <v>1.4000000000000015</v>
      </c>
      <c r="AO441" s="12" t="str">
        <f>IF(AP441=0,IF(Y428,FIXED(ROUND(R428/$G$420,$H$420),$H$420)&amp;$I$420,""),AB428)</f>
        <v>1,4</v>
      </c>
      <c r="AP441">
        <v>0</v>
      </c>
      <c r="AQ441">
        <f>T428</f>
        <v>1.4000000000000015</v>
      </c>
      <c r="AW441">
        <f>10</f>
        <v>10</v>
      </c>
      <c r="AX441">
        <f>(MAX((H425+$E$420*IF(AND(M425,$L$420=1,F425&gt;=0),22,3)),(T425+$E$420*IF(AND(Y425,$L$420=1,R425&gt;=0),22,3)))+$E$420*12)</f>
        <v>6.9787528340048866</v>
      </c>
    </row>
    <row r="442" spans="29:51" x14ac:dyDescent="0.25">
      <c r="AW442">
        <f>21/2</f>
        <v>10.5</v>
      </c>
      <c r="AX442">
        <f>(MAX((H425+$E$420*IF(AND(M425,$L$420=1,F425&gt;=0),22,3)),(T425+$E$420*IF(AND(Y425,$L$420=1,R425&gt;=0),22,3)))+$E$420*12)</f>
        <v>6.9787528340048866</v>
      </c>
      <c r="AY442" t="str">
        <f>Z425</f>
        <v>-0,1</v>
      </c>
    </row>
    <row r="443" spans="29:51" x14ac:dyDescent="0.25">
      <c r="AW443">
        <f>11</f>
        <v>11</v>
      </c>
      <c r="AX443">
        <f>(MAX((H425+$E$420*IF(AND(M425,$L$420=1,F425&gt;=0),22,3)),(T425+$E$420*IF(AND(Y425,$L$420=1,R425&gt;=0),22,3)))+$E$420*12)</f>
        <v>6.9787528340048866</v>
      </c>
    </row>
    <row r="444" spans="29:51" x14ac:dyDescent="0.25">
      <c r="AW444">
        <f>11</f>
        <v>11</v>
      </c>
      <c r="AX444">
        <f>(T425+$E$420*IF(AND(Y425,$L$420=1,R425&gt;=0),22,3))</f>
        <v>5.3686047749443402</v>
      </c>
    </row>
    <row r="446" spans="29:51" x14ac:dyDescent="0.25">
      <c r="AW446">
        <f>13</f>
        <v>13</v>
      </c>
      <c r="AX446">
        <f>(H426+$E$420*IF(AND(M426,$L$420=1,F426&gt;=0),22,3))</f>
        <v>3.0775370147651362</v>
      </c>
    </row>
    <row r="447" spans="29:51" x14ac:dyDescent="0.25">
      <c r="AW447">
        <f>13</f>
        <v>13</v>
      </c>
      <c r="AX447">
        <f>(MAX((H426+$E$420*IF(AND(M426,$L$420=1,F426&gt;=0),22,3)),(T426+$E$420*IF(AND(Y426,$L$420=1,R426&gt;=0),22,3)))+$E$420*12)</f>
        <v>4.5876850738256847</v>
      </c>
    </row>
    <row r="448" spans="29:51" x14ac:dyDescent="0.25">
      <c r="AW448">
        <f>27/2</f>
        <v>13.5</v>
      </c>
      <c r="AX448">
        <f>(MAX((H426+$E$420*IF(AND(M426,$L$420=1,F426&gt;=0),22,3)),(T426+$E$420*IF(AND(Y426,$L$420=1,R426&gt;=0),22,3)))+$E$420*12)</f>
        <v>4.5876850738256847</v>
      </c>
      <c r="AY448" t="str">
        <f>Z426</f>
        <v>+0,2</v>
      </c>
    </row>
    <row r="449" spans="49:51" x14ac:dyDescent="0.25">
      <c r="AW449">
        <f>14</f>
        <v>14</v>
      </c>
      <c r="AX449">
        <f>(MAX((H426+$E$420*IF(AND(M426,$L$420=1,F426&gt;=0),22,3)),(T426+$E$420*IF(AND(Y426,$L$420=1,R426&gt;=0),22,3)))+$E$420*12)</f>
        <v>4.5876850738256847</v>
      </c>
    </row>
    <row r="450" spans="49:51" x14ac:dyDescent="0.25">
      <c r="AW450">
        <f>14</f>
        <v>14</v>
      </c>
      <c r="AX450">
        <f>(T426+$E$420*IF(AND(Y426,$L$420=1,R426&gt;=0),22,3))</f>
        <v>2.9775370147651383</v>
      </c>
    </row>
    <row r="452" spans="49:51" x14ac:dyDescent="0.25">
      <c r="AW452">
        <f>16</f>
        <v>16</v>
      </c>
      <c r="AX452">
        <f>(H427+$E$420*IF(AND(M427,$L$420=1,F427&gt;=0),22,3))</f>
        <v>2.3775370147651365</v>
      </c>
    </row>
    <row r="453" spans="49:51" x14ac:dyDescent="0.25">
      <c r="AW453">
        <f>16</f>
        <v>16</v>
      </c>
      <c r="AX453">
        <f>(MAX((H427+$E$420*IF(AND(M427,$L$420=1,F427&gt;=0),22,3)),(T427+$E$420*IF(AND(Y427,$L$420=1,R427&gt;=0),22,3)))+$E$420*12)</f>
        <v>3.9876850738256868</v>
      </c>
    </row>
    <row r="454" spans="49:51" x14ac:dyDescent="0.25">
      <c r="AW454">
        <f>33/2</f>
        <v>16.5</v>
      </c>
      <c r="AX454">
        <f>(MAX((H427+$E$420*IF(AND(M427,$L$420=1,F427&gt;=0),22,3)),(T427+$E$420*IF(AND(Y427,$L$420=1,R427&gt;=0),22,3)))+$E$420*12)</f>
        <v>3.9876850738256868</v>
      </c>
      <c r="AY454" t="str">
        <f>Z427</f>
        <v>0,0</v>
      </c>
    </row>
    <row r="455" spans="49:51" x14ac:dyDescent="0.25">
      <c r="AW455">
        <f>17</f>
        <v>17</v>
      </c>
      <c r="AX455">
        <f>(MAX((H427+$E$420*IF(AND(M427,$L$420=1,F427&gt;=0),22,3)),(T427+$E$420*IF(AND(Y427,$L$420=1,R427&gt;=0),22,3)))+$E$420*12)</f>
        <v>3.9876850738256868</v>
      </c>
    </row>
    <row r="456" spans="49:51" x14ac:dyDescent="0.25">
      <c r="AW456">
        <f>17</f>
        <v>17</v>
      </c>
      <c r="AX456">
        <f>(T427+$E$420*IF(AND(Y427,$L$420=1,R427&gt;=0),22,3))</f>
        <v>2.4775370147651383</v>
      </c>
    </row>
    <row r="458" spans="49:51" x14ac:dyDescent="0.25">
      <c r="AW458">
        <f>19</f>
        <v>19</v>
      </c>
      <c r="AX458">
        <f>(H428+$E$420*IF(AND(M428,$L$420=1,F428&gt;=0),22,3))</f>
        <v>4.0686047749443386</v>
      </c>
    </row>
    <row r="459" spans="49:51" x14ac:dyDescent="0.25">
      <c r="AW459">
        <f>19</f>
        <v>19</v>
      </c>
      <c r="AX459">
        <f>(MAX((H428+$E$420*IF(AND(M428,$L$420=1,F428&gt;=0),22,3)),(T428+$E$420*IF(AND(Y428,$L$420=1,R428&gt;=0),22,3)))+$E$420*12)</f>
        <v>5.6787528340048885</v>
      </c>
    </row>
    <row r="460" spans="49:51" x14ac:dyDescent="0.25">
      <c r="AW460">
        <f>39/2</f>
        <v>19.5</v>
      </c>
      <c r="AX460">
        <f>(MAX((H428+$E$420*IF(AND(M428,$L$420=1,F428&gt;=0),22,3)),(T428+$E$420*IF(AND(Y428,$L$420=1,R428&gt;=0),22,3)))+$E$420*12)</f>
        <v>5.6787528340048885</v>
      </c>
      <c r="AY460" t="str">
        <f>Z428</f>
        <v>+0,1</v>
      </c>
    </row>
    <row r="461" spans="49:51" x14ac:dyDescent="0.25">
      <c r="AW461">
        <f>20</f>
        <v>20</v>
      </c>
      <c r="AX461">
        <f>(MAX((H428+$E$420*IF(AND(M428,$L$420=1,F428&gt;=0),22,3)),(T428+$E$420*IF(AND(Y428,$L$420=1,R428&gt;=0),22,3)))+$E$420*12)</f>
        <v>5.6787528340048885</v>
      </c>
    </row>
    <row r="462" spans="49:51" x14ac:dyDescent="0.25">
      <c r="AW462">
        <f>20</f>
        <v>20</v>
      </c>
      <c r="AX462">
        <f>(T428+$E$420*IF(AND(Y428,$L$420=1,R428&gt;=0),22,3))</f>
        <v>4.16860477494434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  <vt:lpstr>E27</vt:lpstr>
      <vt:lpstr>E28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2026-10-14T15:04:37Z</dcterms:created>
  <dcterms:modified xsi:type="dcterms:W3CDTF">2026-10-14T15:05:03Z</dcterms:modified>
</cp:coreProperties>
</file>