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0.xml" ContentType="application/vnd.openxmlformats-officedocument.drawingml.chart+xml"/>
  <Override PartName="/xl/drawings/drawing17.xml" ContentType="application/vnd.openxmlformats-officedocument.drawing+xml"/>
  <Override PartName="/xl/charts/chart11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2.xml" ContentType="application/vnd.openxmlformats-officedocument.drawingml.chart+xml"/>
  <Override PartName="/xl/drawings/drawing20.xml" ContentType="application/vnd.openxmlformats-officedocument.drawing+xml"/>
  <Override PartName="/xl/charts/chart13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4.xml" ContentType="application/vnd.openxmlformats-officedocument.drawingml.chart+xml"/>
  <Override PartName="/xl/drawings/drawing23.xml" ContentType="application/vnd.openxmlformats-officedocument.drawing+xml"/>
  <Override PartName="/xl/charts/chart15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6.xml" ContentType="application/vnd.openxmlformats-officedocument.drawingml.chart+xml"/>
  <Override PartName="/xl/drawings/drawing26.xml" ContentType="application/vnd.openxmlformats-officedocument.drawing+xml"/>
  <Override PartName="/xl/charts/chart17.xml" ContentType="application/vnd.openxmlformats-officedocument.drawingml.chart+xml"/>
  <Override PartName="/xl/drawings/drawing27.xml" ContentType="application/vnd.openxmlformats-officedocument.drawing+xml"/>
  <Override PartName="/xl/charts/chart18.xml" ContentType="application/vnd.openxmlformats-officedocument.drawingml.chart+xml"/>
  <Override PartName="/xl/drawings/drawing28.xml" ContentType="application/vnd.openxmlformats-officedocument.drawing+xml"/>
  <Override PartName="/xl/charts/chart19.xml" ContentType="application/vnd.openxmlformats-officedocument.drawingml.chart+xml"/>
  <Override PartName="/xl/drawings/drawing29.xml" ContentType="application/vnd.openxmlformats-officedocument.drawing+xml"/>
  <Override PartName="/xl/charts/chart20.xml" ContentType="application/vnd.openxmlformats-officedocument.drawingml.chart+xml"/>
  <Override PartName="/xl/drawings/drawing30.xml" ContentType="application/vnd.openxmlformats-officedocument.drawing+xml"/>
  <Override PartName="/xl/charts/chart21.xml" ContentType="application/vnd.openxmlformats-officedocument.drawingml.chart+xml"/>
  <Override PartName="/xl/drawings/drawing31.xml" ContentType="application/vnd.openxmlformats-officedocument.drawing+xml"/>
  <Override PartName="/xl/charts/chart22.xml" ContentType="application/vnd.openxmlformats-officedocument.drawingml.chart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23.xml" ContentType="application/vnd.openxmlformats-officedocument.drawingml.chart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24.xml" ContentType="application/vnd.openxmlformats-officedocument.drawingml.chart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38.xml" ContentType="application/vnd.openxmlformats-officedocument.drawing+xml"/>
  <Override PartName="/xl/charts/chart27.xml" ContentType="application/vnd.openxmlformats-officedocument.drawingml.chart+xml"/>
  <Override PartName="/xl/drawings/drawing39.xml" ContentType="application/vnd.openxmlformats-officedocument.drawing+xml"/>
  <Override PartName="/xl/charts/chart28.xml" ContentType="application/vnd.openxmlformats-officedocument.drawingml.chart+xml"/>
  <Override PartName="/xl/drawings/drawing40.xml" ContentType="application/vnd.openxmlformats-officedocument.drawing+xml"/>
  <Override PartName="/xl/charts/chart2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8_{9E8EAC4C-CE52-480D-ACB8-33E733FA2118}" xr6:coauthVersionLast="47" xr6:coauthVersionMax="47" xr10:uidLastSave="{00000000-0000-0000-0000-000000000000}"/>
  <bookViews>
    <workbookView xWindow="-120" yWindow="-120" windowWidth="20730" windowHeight="11040" xr2:uid="{2F9E0D5D-2F04-44E4-8C0A-85CDF1EF2753}"/>
  </bookViews>
  <sheets>
    <sheet name="Indice" sheetId="1" r:id="rId1"/>
    <sheet name="Dados" sheetId="2" r:id="rId2"/>
    <sheet name="Lojas" sheetId="3" r:id="rId3"/>
    <sheet name="Obras" sheetId="4" r:id="rId4"/>
    <sheet name="E01" sheetId="5" r:id="rId5"/>
    <sheet name="E02" sheetId="7" r:id="rId6"/>
    <sheet name="E03" sheetId="8" r:id="rId7"/>
    <sheet name="E04" sheetId="9" r:id="rId8"/>
    <sheet name="E05" sheetId="10" r:id="rId9"/>
    <sheet name="E06" sheetId="11" r:id="rId10"/>
    <sheet name="E07" sheetId="12" r:id="rId11"/>
    <sheet name="E08" sheetId="13" r:id="rId12"/>
    <sheet name="E09" sheetId="14" r:id="rId13"/>
    <sheet name="E10" sheetId="15" r:id="rId14"/>
    <sheet name="E11" sheetId="16" r:id="rId15"/>
    <sheet name="E12" sheetId="17" r:id="rId16"/>
    <sheet name="E13" sheetId="18" r:id="rId17"/>
    <sheet name="E14" sheetId="19" r:id="rId18"/>
    <sheet name="E15" sheetId="20" r:id="rId19"/>
    <sheet name="E16" sheetId="21" r:id="rId20"/>
    <sheet name="E17" sheetId="22" r:id="rId21"/>
    <sheet name="E18" sheetId="23" r:id="rId22"/>
    <sheet name="E19" sheetId="24" r:id="rId23"/>
    <sheet name="E20" sheetId="25" r:id="rId24"/>
    <sheet name="E21" sheetId="26" r:id="rId25"/>
    <sheet name="E22" sheetId="27" r:id="rId26"/>
    <sheet name="E23" sheetId="28" r:id="rId27"/>
    <sheet name="E24" sheetId="29" r:id="rId28"/>
    <sheet name="E25" sheetId="30" r:id="rId29"/>
    <sheet name="E26" sheetId="31" r:id="rId30"/>
    <sheet name="E27" sheetId="32" r:id="rId31"/>
    <sheet name="E28" sheetId="33" r:id="rId32"/>
    <sheet name="_ThinQQ" sheetId="6" state="veryHidden" r:id="rId33"/>
  </sheets>
  <definedNames>
    <definedName name="_xlnm._FilterDatabase" localSheetId="1" hidden="1">Dados!$A$1:$L$1</definedName>
    <definedName name="tqq_0cm1ae" hidden="1">_ThinQQ!$A$285:$D$291</definedName>
    <definedName name="tqq_24phpw" hidden="1">_ThinQQ!$A$14:$E$23</definedName>
    <definedName name="tqq_24w66l" hidden="1">_ThinQQ!$A$360:$E$373</definedName>
    <definedName name="tqq_5hyhr9" hidden="1">_ThinQQ!$A$293:$J$302</definedName>
    <definedName name="tqq_69ni49" hidden="1">_ThinQQ!$A$98:$K$107</definedName>
    <definedName name="tqq_6lcho3" hidden="1">_ThinQQ!$A$3:$E$12</definedName>
    <definedName name="tqq_6xul2z" hidden="1">_ThinQQ!$A$339:$F$348</definedName>
    <definedName name="tqq_9013ju" hidden="1">_ThinQQ!$A$58:$E$64</definedName>
    <definedName name="tqq_asbn4p" hidden="1">_ThinQQ!$A$375:$BF$418</definedName>
    <definedName name="tqq_d37c54" hidden="1">_ThinQQ!$A$48:$T$56</definedName>
    <definedName name="tqq_dqi1le" hidden="1">_ThinQQ!$A$25:$G$31</definedName>
    <definedName name="tqq_fj0lk9" hidden="1">_ThinQQ!$A$315:$N$324</definedName>
    <definedName name="tqq_fq8cek" hidden="1">_ThinQQ!$A$326:$E$329</definedName>
    <definedName name="tqq_hlqgje" hidden="1">_ThinQQ!$A$191:$S$232</definedName>
    <definedName name="tqq_hnpqa2" hidden="1">_ThinQQ!$A$355:$E$358</definedName>
    <definedName name="tqq_ik962d" hidden="1">_ThinQQ!$A$109:$K$118</definedName>
    <definedName name="tqq_jd1umr" hidden="1">_ThinQQ!$A$420:$BF$463</definedName>
    <definedName name="tqq_n8o9m6" hidden="1">_ThinQQ!$A$135:$Q$161</definedName>
    <definedName name="tqq_o6euy7" hidden="1">_ThinQQ!$A$277:$D$283</definedName>
    <definedName name="tqq_omxd5y" hidden="1">_ThinQQ!$A$120:$E$133</definedName>
    <definedName name="tqq_pfbcck" hidden="1">_ThinQQ!$A$77:$G$86</definedName>
    <definedName name="tqq_sj84kc" hidden="1">_ThinQQ!$A$163:$Q$189</definedName>
    <definedName name="tqq_sumrrh" hidden="1">_ThinQQ!$A$331:$O$337</definedName>
    <definedName name="tqq_t0puxk" hidden="1">_ThinQQ!$A$234:$S$275</definedName>
    <definedName name="tqq_t3w2hb" hidden="1">_ThinQQ!$A$66:$E$75</definedName>
    <definedName name="tqq_w0j8na" hidden="1">_ThinQQ!$A$33:$E$46</definedName>
    <definedName name="tqq_zf3g17" hidden="1">_ThinQQ!$A$88:$T$96</definedName>
    <definedName name="tqq_zmyivq" hidden="1">_ThinQQ!$A$350:$E$353</definedName>
    <definedName name="tqq_zotoff" hidden="1">_ThinQQ!$A$304:$H$313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423" i="6" l="1"/>
  <c r="BE423" i="6"/>
  <c r="BF422" i="6"/>
  <c r="BE422" i="6"/>
  <c r="BD423" i="6"/>
  <c r="BC423" i="6"/>
  <c r="BB423" i="6"/>
  <c r="BD422" i="6"/>
  <c r="BC422" i="6"/>
  <c r="BB422" i="6"/>
  <c r="BA428" i="6"/>
  <c r="AZ428" i="6"/>
  <c r="AX462" i="6"/>
  <c r="AW462" i="6"/>
  <c r="AX461" i="6"/>
  <c r="AW461" i="6"/>
  <c r="AX460" i="6"/>
  <c r="AW460" i="6"/>
  <c r="AX459" i="6"/>
  <c r="AW459" i="6"/>
  <c r="AX458" i="6"/>
  <c r="AW458" i="6"/>
  <c r="BA427" i="6"/>
  <c r="AZ427" i="6"/>
  <c r="AX456" i="6"/>
  <c r="AW456" i="6"/>
  <c r="AX455" i="6"/>
  <c r="AW455" i="6"/>
  <c r="AX454" i="6"/>
  <c r="AW454" i="6"/>
  <c r="AX453" i="6"/>
  <c r="AW453" i="6"/>
  <c r="AX452" i="6"/>
  <c r="AW452" i="6"/>
  <c r="BA426" i="6"/>
  <c r="AZ426" i="6"/>
  <c r="AX450" i="6"/>
  <c r="AW450" i="6"/>
  <c r="AX449" i="6"/>
  <c r="AW449" i="6"/>
  <c r="AX448" i="6"/>
  <c r="AW448" i="6"/>
  <c r="AX447" i="6"/>
  <c r="AW447" i="6"/>
  <c r="AX446" i="6"/>
  <c r="AW446" i="6"/>
  <c r="BA425" i="6"/>
  <c r="AZ425" i="6"/>
  <c r="AX444" i="6"/>
  <c r="AW444" i="6"/>
  <c r="AX443" i="6"/>
  <c r="AW443" i="6"/>
  <c r="AX442" i="6"/>
  <c r="AW442" i="6"/>
  <c r="AX441" i="6"/>
  <c r="AW441" i="6"/>
  <c r="AX440" i="6"/>
  <c r="AW440" i="6"/>
  <c r="BA424" i="6"/>
  <c r="AZ424" i="6"/>
  <c r="AX438" i="6"/>
  <c r="AW438" i="6"/>
  <c r="AX437" i="6"/>
  <c r="AW437" i="6"/>
  <c r="AX436" i="6"/>
  <c r="AW436" i="6"/>
  <c r="AX435" i="6"/>
  <c r="AW435" i="6"/>
  <c r="AX434" i="6"/>
  <c r="AW434" i="6"/>
  <c r="BA423" i="6"/>
  <c r="AZ423" i="6"/>
  <c r="AX432" i="6"/>
  <c r="AW432" i="6"/>
  <c r="AX431" i="6"/>
  <c r="AW431" i="6"/>
  <c r="AY430" i="6"/>
  <c r="AX430" i="6"/>
  <c r="AW430" i="6"/>
  <c r="AX429" i="6"/>
  <c r="AW429" i="6"/>
  <c r="AX428" i="6"/>
  <c r="AW428" i="6"/>
  <c r="BA422" i="6"/>
  <c r="AZ422" i="6"/>
  <c r="AX426" i="6"/>
  <c r="AW426" i="6"/>
  <c r="AX425" i="6"/>
  <c r="AW425" i="6"/>
  <c r="AX424" i="6"/>
  <c r="AW424" i="6"/>
  <c r="AX423" i="6"/>
  <c r="AW423" i="6"/>
  <c r="AX422" i="6"/>
  <c r="AW422" i="6"/>
  <c r="AV427" i="6"/>
  <c r="AU427" i="6"/>
  <c r="AT427" i="6"/>
  <c r="AS427" i="6"/>
  <c r="AR427" i="6"/>
  <c r="AV426" i="6"/>
  <c r="AU426" i="6"/>
  <c r="AT426" i="6"/>
  <c r="AS426" i="6"/>
  <c r="AR426" i="6"/>
  <c r="AV425" i="6"/>
  <c r="AU425" i="6"/>
  <c r="AT425" i="6"/>
  <c r="AS425" i="6"/>
  <c r="AR425" i="6"/>
  <c r="AV424" i="6"/>
  <c r="AU424" i="6"/>
  <c r="AT424" i="6"/>
  <c r="AS424" i="6"/>
  <c r="AR424" i="6"/>
  <c r="AV423" i="6"/>
  <c r="AU423" i="6"/>
  <c r="AT423" i="6"/>
  <c r="AS423" i="6"/>
  <c r="AR423" i="6"/>
  <c r="AV422" i="6"/>
  <c r="AU422" i="6"/>
  <c r="AT422" i="6"/>
  <c r="AS422" i="6"/>
  <c r="AR422" i="6"/>
  <c r="AQ441" i="6"/>
  <c r="AN441" i="6"/>
  <c r="AO441" i="6"/>
  <c r="AM441" i="6"/>
  <c r="AL441" i="6"/>
  <c r="AK441" i="6"/>
  <c r="AJ441" i="6"/>
  <c r="AI441" i="6"/>
  <c r="AH441" i="6"/>
  <c r="AG441" i="6"/>
  <c r="AF441" i="6"/>
  <c r="AE441" i="6"/>
  <c r="AQ440" i="6"/>
  <c r="AN440" i="6"/>
  <c r="AO440" i="6"/>
  <c r="AM440" i="6"/>
  <c r="AL440" i="6"/>
  <c r="AK440" i="6"/>
  <c r="AJ440" i="6"/>
  <c r="AI440" i="6"/>
  <c r="AH440" i="6"/>
  <c r="AG440" i="6"/>
  <c r="AF440" i="6"/>
  <c r="AE440" i="6"/>
  <c r="AC440" i="6"/>
  <c r="AQ439" i="6"/>
  <c r="AO439" i="6"/>
  <c r="AN439" i="6"/>
  <c r="AM439" i="6"/>
  <c r="AL439" i="6"/>
  <c r="AK439" i="6"/>
  <c r="AJ439" i="6"/>
  <c r="AE439" i="6"/>
  <c r="AF439" i="6"/>
  <c r="AG439" i="6"/>
  <c r="AH439" i="6"/>
  <c r="AI439" i="6"/>
  <c r="AQ438" i="6"/>
  <c r="AN438" i="6"/>
  <c r="AO438" i="6"/>
  <c r="AM438" i="6"/>
  <c r="AL438" i="6"/>
  <c r="AK438" i="6"/>
  <c r="AJ438" i="6"/>
  <c r="AI438" i="6"/>
  <c r="AH438" i="6"/>
  <c r="AG438" i="6"/>
  <c r="AF438" i="6"/>
  <c r="AE438" i="6"/>
  <c r="AQ437" i="6"/>
  <c r="AN437" i="6"/>
  <c r="AO437" i="6"/>
  <c r="AM437" i="6"/>
  <c r="AL437" i="6"/>
  <c r="AK437" i="6"/>
  <c r="AJ437" i="6"/>
  <c r="AI437" i="6"/>
  <c r="AH437" i="6"/>
  <c r="AG437" i="6"/>
  <c r="AF437" i="6"/>
  <c r="AE437" i="6"/>
  <c r="AC437" i="6"/>
  <c r="AQ436" i="6"/>
  <c r="AO436" i="6"/>
  <c r="AN436" i="6"/>
  <c r="AM436" i="6"/>
  <c r="AL436" i="6"/>
  <c r="AK436" i="6"/>
  <c r="AJ436" i="6"/>
  <c r="AE436" i="6"/>
  <c r="AF436" i="6"/>
  <c r="AG436" i="6"/>
  <c r="AH436" i="6"/>
  <c r="AI436" i="6"/>
  <c r="AQ435" i="6"/>
  <c r="AN435" i="6"/>
  <c r="AO435" i="6"/>
  <c r="AM435" i="6"/>
  <c r="AL435" i="6"/>
  <c r="AK435" i="6"/>
  <c r="AJ435" i="6"/>
  <c r="AI435" i="6"/>
  <c r="AH435" i="6"/>
  <c r="AG435" i="6"/>
  <c r="AF435" i="6"/>
  <c r="AE435" i="6"/>
  <c r="AQ434" i="6"/>
  <c r="AN434" i="6"/>
  <c r="AO434" i="6"/>
  <c r="AM434" i="6"/>
  <c r="AL434" i="6"/>
  <c r="AK434" i="6"/>
  <c r="AJ434" i="6"/>
  <c r="AI434" i="6"/>
  <c r="AH434" i="6"/>
  <c r="AG434" i="6"/>
  <c r="AF434" i="6"/>
  <c r="AE434" i="6"/>
  <c r="AC434" i="6"/>
  <c r="AQ433" i="6"/>
  <c r="AO433" i="6"/>
  <c r="AN433" i="6"/>
  <c r="AM433" i="6"/>
  <c r="AL433" i="6"/>
  <c r="AK433" i="6"/>
  <c r="AJ433" i="6"/>
  <c r="AE433" i="6"/>
  <c r="AF433" i="6"/>
  <c r="AG433" i="6"/>
  <c r="AH433" i="6"/>
  <c r="AI433" i="6"/>
  <c r="AQ432" i="6"/>
  <c r="AN432" i="6"/>
  <c r="AO432" i="6"/>
  <c r="AM432" i="6"/>
  <c r="AL432" i="6"/>
  <c r="AK432" i="6"/>
  <c r="AJ432" i="6"/>
  <c r="AI432" i="6"/>
  <c r="AH432" i="6"/>
  <c r="AG432" i="6"/>
  <c r="AF432" i="6"/>
  <c r="AE432" i="6"/>
  <c r="AQ431" i="6"/>
  <c r="AN431" i="6"/>
  <c r="AO431" i="6"/>
  <c r="AM431" i="6"/>
  <c r="AL431" i="6"/>
  <c r="AK431" i="6"/>
  <c r="AJ431" i="6"/>
  <c r="AI431" i="6"/>
  <c r="AH431" i="6"/>
  <c r="AG431" i="6"/>
  <c r="AF431" i="6"/>
  <c r="AE431" i="6"/>
  <c r="AC431" i="6"/>
  <c r="AQ430" i="6"/>
  <c r="AO430" i="6"/>
  <c r="AN430" i="6"/>
  <c r="AM430" i="6"/>
  <c r="AL430" i="6"/>
  <c r="AK430" i="6"/>
  <c r="AJ430" i="6"/>
  <c r="AE430" i="6"/>
  <c r="AF430" i="6"/>
  <c r="AG430" i="6"/>
  <c r="AH430" i="6"/>
  <c r="AI430" i="6"/>
  <c r="AQ429" i="6"/>
  <c r="AN429" i="6"/>
  <c r="AM429" i="6"/>
  <c r="AL429" i="6"/>
  <c r="AK429" i="6"/>
  <c r="AJ429" i="6"/>
  <c r="AI429" i="6"/>
  <c r="AH429" i="6"/>
  <c r="AG429" i="6"/>
  <c r="AF429" i="6"/>
  <c r="AE429" i="6"/>
  <c r="AQ428" i="6"/>
  <c r="AN428" i="6"/>
  <c r="AM428" i="6"/>
  <c r="AL428" i="6"/>
  <c r="AK428" i="6"/>
  <c r="AJ428" i="6"/>
  <c r="AI428" i="6"/>
  <c r="AH428" i="6"/>
  <c r="AG428" i="6"/>
  <c r="AF428" i="6"/>
  <c r="AE428" i="6"/>
  <c r="AC428" i="6"/>
  <c r="AQ427" i="6"/>
  <c r="AO427" i="6"/>
  <c r="AN427" i="6"/>
  <c r="AM427" i="6"/>
  <c r="AL427" i="6"/>
  <c r="AK427" i="6"/>
  <c r="AJ427" i="6"/>
  <c r="AE427" i="6"/>
  <c r="AF427" i="6"/>
  <c r="AG427" i="6"/>
  <c r="AH427" i="6"/>
  <c r="AI427" i="6"/>
  <c r="AQ426" i="6"/>
  <c r="AN426" i="6"/>
  <c r="AM426" i="6"/>
  <c r="AL426" i="6"/>
  <c r="AK426" i="6"/>
  <c r="AJ426" i="6"/>
  <c r="AI426" i="6"/>
  <c r="AH426" i="6"/>
  <c r="AG426" i="6"/>
  <c r="AF426" i="6"/>
  <c r="AE426" i="6"/>
  <c r="AQ425" i="6"/>
  <c r="AN425" i="6"/>
  <c r="AM425" i="6"/>
  <c r="AL425" i="6"/>
  <c r="AK425" i="6"/>
  <c r="AJ425" i="6"/>
  <c r="AI425" i="6"/>
  <c r="AH425" i="6"/>
  <c r="AG425" i="6"/>
  <c r="AF425" i="6"/>
  <c r="AE425" i="6"/>
  <c r="AC425" i="6"/>
  <c r="AQ424" i="6"/>
  <c r="AO424" i="6"/>
  <c r="AN424" i="6"/>
  <c r="AM424" i="6"/>
  <c r="AL424" i="6"/>
  <c r="AK424" i="6"/>
  <c r="AJ424" i="6"/>
  <c r="AE424" i="6"/>
  <c r="AF424" i="6"/>
  <c r="AG424" i="6"/>
  <c r="AH424" i="6"/>
  <c r="AI424" i="6"/>
  <c r="AQ423" i="6"/>
  <c r="AN423" i="6"/>
  <c r="AM423" i="6"/>
  <c r="AL423" i="6"/>
  <c r="AK423" i="6"/>
  <c r="AJ423" i="6"/>
  <c r="AI423" i="6"/>
  <c r="AH423" i="6"/>
  <c r="AG423" i="6"/>
  <c r="AF423" i="6"/>
  <c r="AE423" i="6"/>
  <c r="AQ422" i="6"/>
  <c r="AN422" i="6"/>
  <c r="AM422" i="6"/>
  <c r="AL422" i="6"/>
  <c r="AK422" i="6"/>
  <c r="AJ422" i="6"/>
  <c r="AI422" i="6"/>
  <c r="AH422" i="6"/>
  <c r="AG422" i="6"/>
  <c r="AF422" i="6"/>
  <c r="AE422" i="6"/>
  <c r="AC422" i="6"/>
  <c r="Z428" i="6"/>
  <c r="AY460" i="6" s="1"/>
  <c r="AB428" i="6"/>
  <c r="X428" i="6"/>
  <c r="Y428" i="6"/>
  <c r="W428" i="6"/>
  <c r="V428" i="6"/>
  <c r="U428" i="6"/>
  <c r="T428" i="6"/>
  <c r="S428" i="6"/>
  <c r="R428" i="6"/>
  <c r="Q428" i="6"/>
  <c r="P428" i="6"/>
  <c r="O428" i="6"/>
  <c r="N428" i="6"/>
  <c r="AA428" i="6"/>
  <c r="L428" i="6"/>
  <c r="M428" i="6"/>
  <c r="K428" i="6"/>
  <c r="J428" i="6"/>
  <c r="I428" i="6"/>
  <c r="H428" i="6"/>
  <c r="G428" i="6"/>
  <c r="F428" i="6"/>
  <c r="E428" i="6"/>
  <c r="D428" i="6"/>
  <c r="C428" i="6"/>
  <c r="B428" i="6"/>
  <c r="A428" i="6"/>
  <c r="Z427" i="6"/>
  <c r="AY454" i="6" s="1"/>
  <c r="AB427" i="6"/>
  <c r="X427" i="6"/>
  <c r="Y427" i="6"/>
  <c r="W427" i="6"/>
  <c r="V427" i="6"/>
  <c r="U427" i="6"/>
  <c r="T427" i="6"/>
  <c r="S427" i="6"/>
  <c r="R427" i="6"/>
  <c r="Q427" i="6"/>
  <c r="P427" i="6"/>
  <c r="O427" i="6"/>
  <c r="N427" i="6"/>
  <c r="AA427" i="6"/>
  <c r="L427" i="6"/>
  <c r="M427" i="6"/>
  <c r="K427" i="6"/>
  <c r="J427" i="6"/>
  <c r="I427" i="6"/>
  <c r="H427" i="6"/>
  <c r="G427" i="6"/>
  <c r="F427" i="6"/>
  <c r="E427" i="6"/>
  <c r="D427" i="6"/>
  <c r="C427" i="6"/>
  <c r="B427" i="6"/>
  <c r="A427" i="6"/>
  <c r="Z426" i="6"/>
  <c r="AY448" i="6" s="1"/>
  <c r="AB426" i="6"/>
  <c r="X426" i="6"/>
  <c r="Y426" i="6"/>
  <c r="W426" i="6"/>
  <c r="V426" i="6"/>
  <c r="U426" i="6"/>
  <c r="T426" i="6"/>
  <c r="S426" i="6"/>
  <c r="R426" i="6"/>
  <c r="Q426" i="6"/>
  <c r="P426" i="6"/>
  <c r="O426" i="6"/>
  <c r="N426" i="6"/>
  <c r="AA426" i="6"/>
  <c r="L426" i="6"/>
  <c r="M426" i="6"/>
  <c r="K426" i="6"/>
  <c r="J426" i="6"/>
  <c r="I426" i="6"/>
  <c r="H426" i="6"/>
  <c r="G426" i="6"/>
  <c r="F426" i="6"/>
  <c r="E426" i="6"/>
  <c r="D426" i="6"/>
  <c r="C426" i="6"/>
  <c r="B426" i="6"/>
  <c r="A426" i="6"/>
  <c r="Z425" i="6"/>
  <c r="AY442" i="6" s="1"/>
  <c r="AB425" i="6"/>
  <c r="X425" i="6"/>
  <c r="Y425" i="6"/>
  <c r="W425" i="6"/>
  <c r="V425" i="6"/>
  <c r="U425" i="6"/>
  <c r="T425" i="6"/>
  <c r="S425" i="6"/>
  <c r="R425" i="6"/>
  <c r="Q425" i="6"/>
  <c r="P425" i="6"/>
  <c r="O425" i="6"/>
  <c r="N425" i="6"/>
  <c r="AA425" i="6"/>
  <c r="L425" i="6"/>
  <c r="M425" i="6"/>
  <c r="K425" i="6"/>
  <c r="J425" i="6"/>
  <c r="I425" i="6"/>
  <c r="H425" i="6"/>
  <c r="G425" i="6"/>
  <c r="F425" i="6"/>
  <c r="E425" i="6"/>
  <c r="D425" i="6"/>
  <c r="C425" i="6"/>
  <c r="B425" i="6"/>
  <c r="A425" i="6"/>
  <c r="Z424" i="6"/>
  <c r="AY436" i="6" s="1"/>
  <c r="AB424" i="6"/>
  <c r="AO429" i="6" s="1"/>
  <c r="X424" i="6"/>
  <c r="Y424" i="6"/>
  <c r="W424" i="6"/>
  <c r="V424" i="6"/>
  <c r="U424" i="6"/>
  <c r="T424" i="6"/>
  <c r="S424" i="6"/>
  <c r="R424" i="6"/>
  <c r="Q424" i="6"/>
  <c r="P424" i="6"/>
  <c r="O424" i="6"/>
  <c r="N424" i="6"/>
  <c r="AA424" i="6"/>
  <c r="AO428" i="6" s="1"/>
  <c r="L424" i="6"/>
  <c r="M424" i="6"/>
  <c r="K424" i="6"/>
  <c r="J424" i="6"/>
  <c r="I424" i="6"/>
  <c r="H424" i="6"/>
  <c r="G424" i="6"/>
  <c r="F424" i="6"/>
  <c r="E424" i="6"/>
  <c r="D424" i="6"/>
  <c r="C424" i="6"/>
  <c r="B424" i="6"/>
  <c r="A424" i="6"/>
  <c r="Z423" i="6"/>
  <c r="AB423" i="6"/>
  <c r="AO426" i="6" s="1"/>
  <c r="X423" i="6"/>
  <c r="Y423" i="6"/>
  <c r="W423" i="6"/>
  <c r="V423" i="6"/>
  <c r="U423" i="6"/>
  <c r="T423" i="6"/>
  <c r="S423" i="6"/>
  <c r="R423" i="6"/>
  <c r="Q423" i="6"/>
  <c r="P423" i="6"/>
  <c r="O423" i="6"/>
  <c r="N423" i="6"/>
  <c r="AA423" i="6"/>
  <c r="AO425" i="6" s="1"/>
  <c r="L423" i="6"/>
  <c r="M423" i="6"/>
  <c r="K423" i="6"/>
  <c r="J423" i="6"/>
  <c r="I423" i="6"/>
  <c r="H423" i="6"/>
  <c r="G423" i="6"/>
  <c r="F423" i="6"/>
  <c r="E423" i="6"/>
  <c r="D423" i="6"/>
  <c r="C423" i="6"/>
  <c r="B423" i="6"/>
  <c r="A423" i="6"/>
  <c r="Z422" i="6"/>
  <c r="AY424" i="6" s="1"/>
  <c r="AB422" i="6"/>
  <c r="AO423" i="6" s="1"/>
  <c r="X422" i="6"/>
  <c r="Y422" i="6"/>
  <c r="W422" i="6"/>
  <c r="V422" i="6"/>
  <c r="U422" i="6"/>
  <c r="T422" i="6"/>
  <c r="S422" i="6"/>
  <c r="R422" i="6"/>
  <c r="Q422" i="6"/>
  <c r="P422" i="6"/>
  <c r="O422" i="6"/>
  <c r="N422" i="6"/>
  <c r="AA422" i="6"/>
  <c r="AO422" i="6" s="1"/>
  <c r="L422" i="6"/>
  <c r="M422" i="6"/>
  <c r="K422" i="6"/>
  <c r="J422" i="6"/>
  <c r="I422" i="6"/>
  <c r="H422" i="6"/>
  <c r="G422" i="6"/>
  <c r="F422" i="6"/>
  <c r="E422" i="6"/>
  <c r="D422" i="6"/>
  <c r="C422" i="6"/>
  <c r="B422" i="6"/>
  <c r="A422" i="6"/>
  <c r="C420" i="6"/>
  <c r="BF378" i="6"/>
  <c r="BE378" i="6"/>
  <c r="BF377" i="6"/>
  <c r="BE377" i="6"/>
  <c r="BD378" i="6"/>
  <c r="BC378" i="6"/>
  <c r="BB378" i="6"/>
  <c r="BD377" i="6"/>
  <c r="BC377" i="6"/>
  <c r="BB377" i="6"/>
  <c r="BA383" i="6"/>
  <c r="AZ383" i="6"/>
  <c r="AX417" i="6"/>
  <c r="AW417" i="6"/>
  <c r="AX416" i="6"/>
  <c r="AW416" i="6"/>
  <c r="AY415" i="6"/>
  <c r="AX415" i="6"/>
  <c r="AW415" i="6"/>
  <c r="AX414" i="6"/>
  <c r="AW414" i="6"/>
  <c r="AX413" i="6"/>
  <c r="AW413" i="6"/>
  <c r="BA382" i="6"/>
  <c r="AZ382" i="6"/>
  <c r="AX411" i="6"/>
  <c r="AW411" i="6"/>
  <c r="AX410" i="6"/>
  <c r="AW410" i="6"/>
  <c r="AX409" i="6"/>
  <c r="AW409" i="6"/>
  <c r="AX408" i="6"/>
  <c r="AW408" i="6"/>
  <c r="AX407" i="6"/>
  <c r="AW407" i="6"/>
  <c r="BA381" i="6"/>
  <c r="AZ381" i="6"/>
  <c r="AX405" i="6"/>
  <c r="AW405" i="6"/>
  <c r="AX404" i="6"/>
  <c r="AW404" i="6"/>
  <c r="AX403" i="6"/>
  <c r="AW403" i="6"/>
  <c r="AX402" i="6"/>
  <c r="AW402" i="6"/>
  <c r="AX401" i="6"/>
  <c r="AW401" i="6"/>
  <c r="BA380" i="6"/>
  <c r="AZ380" i="6"/>
  <c r="AX399" i="6"/>
  <c r="AW399" i="6"/>
  <c r="AX398" i="6"/>
  <c r="AW398" i="6"/>
  <c r="AX397" i="6"/>
  <c r="AW397" i="6"/>
  <c r="AX396" i="6"/>
  <c r="AW396" i="6"/>
  <c r="AX395" i="6"/>
  <c r="AW395" i="6"/>
  <c r="BA379" i="6"/>
  <c r="AZ379" i="6"/>
  <c r="AX393" i="6"/>
  <c r="AW393" i="6"/>
  <c r="AX392" i="6"/>
  <c r="AW392" i="6"/>
  <c r="AX391" i="6"/>
  <c r="AW391" i="6"/>
  <c r="AX390" i="6"/>
  <c r="AW390" i="6"/>
  <c r="AX389" i="6"/>
  <c r="AW389" i="6"/>
  <c r="BA378" i="6"/>
  <c r="AZ378" i="6"/>
  <c r="AX387" i="6"/>
  <c r="AW387" i="6"/>
  <c r="AX386" i="6"/>
  <c r="AW386" i="6"/>
  <c r="AX385" i="6"/>
  <c r="AW385" i="6"/>
  <c r="AX384" i="6"/>
  <c r="AW384" i="6"/>
  <c r="AX383" i="6"/>
  <c r="AW383" i="6"/>
  <c r="BA377" i="6"/>
  <c r="AZ377" i="6"/>
  <c r="AX381" i="6"/>
  <c r="AW381" i="6"/>
  <c r="AX380" i="6"/>
  <c r="AW380" i="6"/>
  <c r="AY379" i="6"/>
  <c r="AX379" i="6"/>
  <c r="AW379" i="6"/>
  <c r="AX378" i="6"/>
  <c r="AW378" i="6"/>
  <c r="AX377" i="6"/>
  <c r="AW377" i="6"/>
  <c r="AV382" i="6"/>
  <c r="AU382" i="6"/>
  <c r="AT382" i="6"/>
  <c r="AS382" i="6"/>
  <c r="AR382" i="6"/>
  <c r="AV381" i="6"/>
  <c r="AU381" i="6"/>
  <c r="AT381" i="6"/>
  <c r="AS381" i="6"/>
  <c r="AR381" i="6"/>
  <c r="AV380" i="6"/>
  <c r="AU380" i="6"/>
  <c r="AT380" i="6"/>
  <c r="AS380" i="6"/>
  <c r="AR380" i="6"/>
  <c r="AV379" i="6"/>
  <c r="AU379" i="6"/>
  <c r="AT379" i="6"/>
  <c r="AS379" i="6"/>
  <c r="AR379" i="6"/>
  <c r="AV378" i="6"/>
  <c r="AU378" i="6"/>
  <c r="AT378" i="6"/>
  <c r="AS378" i="6"/>
  <c r="AR378" i="6"/>
  <c r="AV377" i="6"/>
  <c r="AU377" i="6"/>
  <c r="AT377" i="6"/>
  <c r="AS377" i="6"/>
  <c r="AR377" i="6"/>
  <c r="AQ396" i="6"/>
  <c r="AN396" i="6"/>
  <c r="AO396" i="6"/>
  <c r="AM396" i="6"/>
  <c r="AL396" i="6"/>
  <c r="AK396" i="6"/>
  <c r="AJ396" i="6"/>
  <c r="AI396" i="6"/>
  <c r="AH396" i="6"/>
  <c r="AG396" i="6"/>
  <c r="AF396" i="6"/>
  <c r="AE396" i="6"/>
  <c r="AQ395" i="6"/>
  <c r="AN395" i="6"/>
  <c r="AO395" i="6"/>
  <c r="AM395" i="6"/>
  <c r="AL395" i="6"/>
  <c r="AK395" i="6"/>
  <c r="AJ395" i="6"/>
  <c r="AI395" i="6"/>
  <c r="AH395" i="6"/>
  <c r="AG395" i="6"/>
  <c r="AF395" i="6"/>
  <c r="AE395" i="6"/>
  <c r="AC395" i="6"/>
  <c r="AQ394" i="6"/>
  <c r="AO394" i="6"/>
  <c r="AN394" i="6"/>
  <c r="AM394" i="6"/>
  <c r="AL394" i="6"/>
  <c r="AK394" i="6"/>
  <c r="AJ394" i="6"/>
  <c r="AE394" i="6"/>
  <c r="AF394" i="6"/>
  <c r="AG394" i="6"/>
  <c r="AH394" i="6"/>
  <c r="AI394" i="6"/>
  <c r="AQ393" i="6"/>
  <c r="AN393" i="6"/>
  <c r="AO393" i="6"/>
  <c r="AM393" i="6"/>
  <c r="AL393" i="6"/>
  <c r="AK393" i="6"/>
  <c r="AJ393" i="6"/>
  <c r="AI393" i="6"/>
  <c r="AH393" i="6"/>
  <c r="AG393" i="6"/>
  <c r="AF393" i="6"/>
  <c r="AE393" i="6"/>
  <c r="AQ392" i="6"/>
  <c r="AN392" i="6"/>
  <c r="AO392" i="6"/>
  <c r="AM392" i="6"/>
  <c r="AL392" i="6"/>
  <c r="AK392" i="6"/>
  <c r="AJ392" i="6"/>
  <c r="AI392" i="6"/>
  <c r="AH392" i="6"/>
  <c r="AG392" i="6"/>
  <c r="AF392" i="6"/>
  <c r="AE392" i="6"/>
  <c r="AC392" i="6"/>
  <c r="AQ391" i="6"/>
  <c r="AO391" i="6"/>
  <c r="AN391" i="6"/>
  <c r="AM391" i="6"/>
  <c r="AL391" i="6"/>
  <c r="AK391" i="6"/>
  <c r="AJ391" i="6"/>
  <c r="AE391" i="6"/>
  <c r="AF391" i="6"/>
  <c r="AG391" i="6"/>
  <c r="AH391" i="6"/>
  <c r="AI391" i="6"/>
  <c r="AQ390" i="6"/>
  <c r="AN390" i="6"/>
  <c r="AO390" i="6"/>
  <c r="AM390" i="6"/>
  <c r="AL390" i="6"/>
  <c r="AK390" i="6"/>
  <c r="AJ390" i="6"/>
  <c r="AI390" i="6"/>
  <c r="AH390" i="6"/>
  <c r="AG390" i="6"/>
  <c r="AF390" i="6"/>
  <c r="AE390" i="6"/>
  <c r="AQ389" i="6"/>
  <c r="AN389" i="6"/>
  <c r="AO389" i="6"/>
  <c r="AM389" i="6"/>
  <c r="AL389" i="6"/>
  <c r="AK389" i="6"/>
  <c r="AJ389" i="6"/>
  <c r="AI389" i="6"/>
  <c r="AH389" i="6"/>
  <c r="AG389" i="6"/>
  <c r="AF389" i="6"/>
  <c r="AE389" i="6"/>
  <c r="AC389" i="6"/>
  <c r="AQ388" i="6"/>
  <c r="AO388" i="6"/>
  <c r="AN388" i="6"/>
  <c r="AM388" i="6"/>
  <c r="AL388" i="6"/>
  <c r="AK388" i="6"/>
  <c r="AJ388" i="6"/>
  <c r="AE388" i="6"/>
  <c r="AF388" i="6"/>
  <c r="AG388" i="6"/>
  <c r="AH388" i="6"/>
  <c r="AI388" i="6"/>
  <c r="AQ387" i="6"/>
  <c r="AN387" i="6"/>
  <c r="AO387" i="6"/>
  <c r="AM387" i="6"/>
  <c r="AL387" i="6"/>
  <c r="AK387" i="6"/>
  <c r="AJ387" i="6"/>
  <c r="AI387" i="6"/>
  <c r="AH387" i="6"/>
  <c r="AG387" i="6"/>
  <c r="AF387" i="6"/>
  <c r="AE387" i="6"/>
  <c r="AQ386" i="6"/>
  <c r="AN386" i="6"/>
  <c r="AO386" i="6"/>
  <c r="AM386" i="6"/>
  <c r="AL386" i="6"/>
  <c r="AK386" i="6"/>
  <c r="AJ386" i="6"/>
  <c r="AI386" i="6"/>
  <c r="AH386" i="6"/>
  <c r="AG386" i="6"/>
  <c r="AF386" i="6"/>
  <c r="AE386" i="6"/>
  <c r="AC386" i="6"/>
  <c r="AQ385" i="6"/>
  <c r="AO385" i="6"/>
  <c r="AN385" i="6"/>
  <c r="AM385" i="6"/>
  <c r="AL385" i="6"/>
  <c r="AK385" i="6"/>
  <c r="AJ385" i="6"/>
  <c r="AE385" i="6"/>
  <c r="AF385" i="6"/>
  <c r="AG385" i="6"/>
  <c r="AH385" i="6"/>
  <c r="AI385" i="6"/>
  <c r="AQ384" i="6"/>
  <c r="AN384" i="6"/>
  <c r="AM384" i="6"/>
  <c r="AL384" i="6"/>
  <c r="AK384" i="6"/>
  <c r="AJ384" i="6"/>
  <c r="AI384" i="6"/>
  <c r="AH384" i="6"/>
  <c r="AG384" i="6"/>
  <c r="AF384" i="6"/>
  <c r="AE384" i="6"/>
  <c r="AQ383" i="6"/>
  <c r="AN383" i="6"/>
  <c r="AM383" i="6"/>
  <c r="AL383" i="6"/>
  <c r="AK383" i="6"/>
  <c r="AJ383" i="6"/>
  <c r="AI383" i="6"/>
  <c r="AH383" i="6"/>
  <c r="AG383" i="6"/>
  <c r="AF383" i="6"/>
  <c r="AE383" i="6"/>
  <c r="AC383" i="6"/>
  <c r="AQ382" i="6"/>
  <c r="AO382" i="6"/>
  <c r="AN382" i="6"/>
  <c r="AM382" i="6"/>
  <c r="AL382" i="6"/>
  <c r="AK382" i="6"/>
  <c r="AJ382" i="6"/>
  <c r="AE382" i="6"/>
  <c r="AF382" i="6"/>
  <c r="AG382" i="6"/>
  <c r="AH382" i="6"/>
  <c r="AI382" i="6"/>
  <c r="AQ381" i="6"/>
  <c r="AN381" i="6"/>
  <c r="AM381" i="6"/>
  <c r="AL381" i="6"/>
  <c r="AK381" i="6"/>
  <c r="AJ381" i="6"/>
  <c r="AI381" i="6"/>
  <c r="AH381" i="6"/>
  <c r="AG381" i="6"/>
  <c r="AF381" i="6"/>
  <c r="AE381" i="6"/>
  <c r="AQ380" i="6"/>
  <c r="AN380" i="6"/>
  <c r="AM380" i="6"/>
  <c r="AL380" i="6"/>
  <c r="AK380" i="6"/>
  <c r="AJ380" i="6"/>
  <c r="AI380" i="6"/>
  <c r="AH380" i="6"/>
  <c r="AG380" i="6"/>
  <c r="AF380" i="6"/>
  <c r="AE380" i="6"/>
  <c r="AC380" i="6"/>
  <c r="AQ379" i="6"/>
  <c r="AO379" i="6"/>
  <c r="AN379" i="6"/>
  <c r="AM379" i="6"/>
  <c r="AL379" i="6"/>
  <c r="AK379" i="6"/>
  <c r="AJ379" i="6"/>
  <c r="AE379" i="6"/>
  <c r="AF379" i="6"/>
  <c r="AG379" i="6"/>
  <c r="AH379" i="6"/>
  <c r="AI379" i="6"/>
  <c r="AQ378" i="6"/>
  <c r="AN378" i="6"/>
  <c r="AM378" i="6"/>
  <c r="AL378" i="6"/>
  <c r="AK378" i="6"/>
  <c r="AJ378" i="6"/>
  <c r="AI378" i="6"/>
  <c r="AH378" i="6"/>
  <c r="AG378" i="6"/>
  <c r="AF378" i="6"/>
  <c r="AE378" i="6"/>
  <c r="AQ377" i="6"/>
  <c r="AN377" i="6"/>
  <c r="AM377" i="6"/>
  <c r="AL377" i="6"/>
  <c r="AK377" i="6"/>
  <c r="AJ377" i="6"/>
  <c r="AI377" i="6"/>
  <c r="AH377" i="6"/>
  <c r="AG377" i="6"/>
  <c r="AF377" i="6"/>
  <c r="AE377" i="6"/>
  <c r="AC377" i="6"/>
  <c r="Z383" i="6"/>
  <c r="AB383" i="6"/>
  <c r="X383" i="6"/>
  <c r="Y383" i="6"/>
  <c r="W383" i="6"/>
  <c r="V383" i="6"/>
  <c r="U383" i="6"/>
  <c r="T383" i="6"/>
  <c r="S383" i="6"/>
  <c r="R383" i="6"/>
  <c r="Q383" i="6"/>
  <c r="P383" i="6"/>
  <c r="O383" i="6"/>
  <c r="N383" i="6"/>
  <c r="AA383" i="6"/>
  <c r="L383" i="6"/>
  <c r="M383" i="6"/>
  <c r="K383" i="6"/>
  <c r="J383" i="6"/>
  <c r="I383" i="6"/>
  <c r="H383" i="6"/>
  <c r="G383" i="6"/>
  <c r="F383" i="6"/>
  <c r="E383" i="6"/>
  <c r="D383" i="6"/>
  <c r="C383" i="6"/>
  <c r="B383" i="6"/>
  <c r="A383" i="6"/>
  <c r="Z382" i="6"/>
  <c r="AY409" i="6" s="1"/>
  <c r="AB382" i="6"/>
  <c r="X382" i="6"/>
  <c r="Y382" i="6"/>
  <c r="W382" i="6"/>
  <c r="V382" i="6"/>
  <c r="U382" i="6"/>
  <c r="T382" i="6"/>
  <c r="S382" i="6"/>
  <c r="R382" i="6"/>
  <c r="Q382" i="6"/>
  <c r="P382" i="6"/>
  <c r="O382" i="6"/>
  <c r="N382" i="6"/>
  <c r="AA382" i="6"/>
  <c r="L382" i="6"/>
  <c r="M382" i="6"/>
  <c r="K382" i="6"/>
  <c r="J382" i="6"/>
  <c r="I382" i="6"/>
  <c r="H382" i="6"/>
  <c r="G382" i="6"/>
  <c r="F382" i="6"/>
  <c r="E382" i="6"/>
  <c r="D382" i="6"/>
  <c r="C382" i="6"/>
  <c r="B382" i="6"/>
  <c r="A382" i="6"/>
  <c r="Z381" i="6"/>
  <c r="AY403" i="6" s="1"/>
  <c r="AB381" i="6"/>
  <c r="X381" i="6"/>
  <c r="Y381" i="6"/>
  <c r="W381" i="6"/>
  <c r="V381" i="6"/>
  <c r="U381" i="6"/>
  <c r="T381" i="6"/>
  <c r="S381" i="6"/>
  <c r="R381" i="6"/>
  <c r="Q381" i="6"/>
  <c r="P381" i="6"/>
  <c r="O381" i="6"/>
  <c r="N381" i="6"/>
  <c r="AA381" i="6"/>
  <c r="L381" i="6"/>
  <c r="M381" i="6"/>
  <c r="K381" i="6"/>
  <c r="J381" i="6"/>
  <c r="I381" i="6"/>
  <c r="H381" i="6"/>
  <c r="G381" i="6"/>
  <c r="F381" i="6"/>
  <c r="E381" i="6"/>
  <c r="D381" i="6"/>
  <c r="C381" i="6"/>
  <c r="B381" i="6"/>
  <c r="A381" i="6"/>
  <c r="Z380" i="6"/>
  <c r="AY397" i="6" s="1"/>
  <c r="AB380" i="6"/>
  <c r="X380" i="6"/>
  <c r="Y380" i="6"/>
  <c r="W380" i="6"/>
  <c r="V380" i="6"/>
  <c r="U380" i="6"/>
  <c r="T380" i="6"/>
  <c r="S380" i="6"/>
  <c r="R380" i="6"/>
  <c r="Q380" i="6"/>
  <c r="P380" i="6"/>
  <c r="O380" i="6"/>
  <c r="N380" i="6"/>
  <c r="AA380" i="6"/>
  <c r="L380" i="6"/>
  <c r="M380" i="6"/>
  <c r="K380" i="6"/>
  <c r="J380" i="6"/>
  <c r="I380" i="6"/>
  <c r="H380" i="6"/>
  <c r="G380" i="6"/>
  <c r="F380" i="6"/>
  <c r="E380" i="6"/>
  <c r="D380" i="6"/>
  <c r="C380" i="6"/>
  <c r="B380" i="6"/>
  <c r="A380" i="6"/>
  <c r="Z379" i="6"/>
  <c r="AY391" i="6" s="1"/>
  <c r="AB379" i="6"/>
  <c r="AO384" i="6" s="1"/>
  <c r="X379" i="6"/>
  <c r="Y379" i="6"/>
  <c r="W379" i="6"/>
  <c r="V379" i="6"/>
  <c r="U379" i="6"/>
  <c r="T379" i="6"/>
  <c r="S379" i="6"/>
  <c r="R379" i="6"/>
  <c r="Q379" i="6"/>
  <c r="P379" i="6"/>
  <c r="O379" i="6"/>
  <c r="N379" i="6"/>
  <c r="AA379" i="6"/>
  <c r="AO383" i="6" s="1"/>
  <c r="L379" i="6"/>
  <c r="M379" i="6"/>
  <c r="K379" i="6"/>
  <c r="J379" i="6"/>
  <c r="I379" i="6"/>
  <c r="H379" i="6"/>
  <c r="G379" i="6"/>
  <c r="F379" i="6"/>
  <c r="E379" i="6"/>
  <c r="D379" i="6"/>
  <c r="C379" i="6"/>
  <c r="B379" i="6"/>
  <c r="A379" i="6"/>
  <c r="Z378" i="6"/>
  <c r="AY385" i="6" s="1"/>
  <c r="AB378" i="6"/>
  <c r="AO381" i="6" s="1"/>
  <c r="X378" i="6"/>
  <c r="Y378" i="6"/>
  <c r="W378" i="6"/>
  <c r="V378" i="6"/>
  <c r="U378" i="6"/>
  <c r="T378" i="6"/>
  <c r="S378" i="6"/>
  <c r="R378" i="6"/>
  <c r="Q378" i="6"/>
  <c r="P378" i="6"/>
  <c r="O378" i="6"/>
  <c r="N378" i="6"/>
  <c r="AA378" i="6"/>
  <c r="AO380" i="6" s="1"/>
  <c r="L378" i="6"/>
  <c r="M378" i="6"/>
  <c r="K378" i="6"/>
  <c r="J378" i="6"/>
  <c r="I378" i="6"/>
  <c r="H378" i="6"/>
  <c r="G378" i="6"/>
  <c r="F378" i="6"/>
  <c r="E378" i="6"/>
  <c r="D378" i="6"/>
  <c r="C378" i="6"/>
  <c r="B378" i="6"/>
  <c r="A378" i="6"/>
  <c r="Z377" i="6"/>
  <c r="AB377" i="6"/>
  <c r="AO378" i="6" s="1"/>
  <c r="X377" i="6"/>
  <c r="Y377" i="6"/>
  <c r="W377" i="6"/>
  <c r="V377" i="6"/>
  <c r="U377" i="6"/>
  <c r="T377" i="6"/>
  <c r="S377" i="6"/>
  <c r="R377" i="6"/>
  <c r="Q377" i="6"/>
  <c r="P377" i="6"/>
  <c r="O377" i="6"/>
  <c r="N377" i="6"/>
  <c r="AA377" i="6"/>
  <c r="AO377" i="6" s="1"/>
  <c r="L377" i="6"/>
  <c r="M377" i="6"/>
  <c r="K377" i="6"/>
  <c r="J377" i="6"/>
  <c r="I377" i="6"/>
  <c r="H377" i="6"/>
  <c r="G377" i="6"/>
  <c r="F377" i="6"/>
  <c r="E377" i="6"/>
  <c r="D377" i="6"/>
  <c r="C377" i="6"/>
  <c r="B377" i="6"/>
  <c r="A377" i="6"/>
  <c r="C375" i="6"/>
  <c r="E373" i="6"/>
  <c r="D373" i="6"/>
  <c r="C373" i="6"/>
  <c r="B373" i="6"/>
  <c r="A373" i="6"/>
  <c r="E372" i="6"/>
  <c r="D372" i="6"/>
  <c r="C372" i="6"/>
  <c r="B372" i="6"/>
  <c r="A372" i="6"/>
  <c r="E371" i="6"/>
  <c r="D371" i="6"/>
  <c r="C371" i="6"/>
  <c r="B371" i="6"/>
  <c r="A371" i="6"/>
  <c r="E370" i="6"/>
  <c r="D370" i="6"/>
  <c r="C370" i="6"/>
  <c r="B370" i="6"/>
  <c r="A370" i="6"/>
  <c r="E369" i="6"/>
  <c r="D369" i="6"/>
  <c r="C369" i="6"/>
  <c r="B369" i="6"/>
  <c r="A369" i="6"/>
  <c r="E368" i="6"/>
  <c r="D368" i="6"/>
  <c r="C368" i="6"/>
  <c r="B368" i="6"/>
  <c r="A368" i="6"/>
  <c r="E367" i="6"/>
  <c r="D367" i="6"/>
  <c r="C367" i="6"/>
  <c r="B367" i="6"/>
  <c r="A367" i="6"/>
  <c r="E366" i="6"/>
  <c r="D366" i="6"/>
  <c r="C366" i="6"/>
  <c r="B366" i="6"/>
  <c r="A366" i="6"/>
  <c r="E365" i="6"/>
  <c r="D365" i="6"/>
  <c r="C365" i="6"/>
  <c r="B365" i="6"/>
  <c r="A365" i="6"/>
  <c r="E364" i="6"/>
  <c r="D364" i="6"/>
  <c r="C364" i="6"/>
  <c r="B364" i="6"/>
  <c r="A364" i="6"/>
  <c r="E363" i="6"/>
  <c r="D363" i="6"/>
  <c r="C363" i="6"/>
  <c r="B363" i="6"/>
  <c r="A363" i="6"/>
  <c r="E362" i="6"/>
  <c r="D362" i="6"/>
  <c r="C362" i="6"/>
  <c r="B362" i="6"/>
  <c r="A362" i="6"/>
  <c r="C360" i="6"/>
  <c r="E358" i="6"/>
  <c r="D358" i="6"/>
  <c r="C358" i="6"/>
  <c r="B358" i="6"/>
  <c r="A358" i="6"/>
  <c r="E357" i="6"/>
  <c r="D357" i="6"/>
  <c r="C357" i="6"/>
  <c r="B357" i="6"/>
  <c r="A357" i="6"/>
  <c r="C355" i="6"/>
  <c r="E353" i="6"/>
  <c r="D353" i="6"/>
  <c r="C353" i="6"/>
  <c r="B353" i="6"/>
  <c r="A353" i="6"/>
  <c r="E352" i="6"/>
  <c r="D352" i="6"/>
  <c r="C352" i="6"/>
  <c r="B352" i="6"/>
  <c r="A352" i="6"/>
  <c r="C350" i="6"/>
  <c r="F341" i="6"/>
  <c r="F342" i="6"/>
  <c r="F343" i="6"/>
  <c r="F344" i="6"/>
  <c r="F345" i="6"/>
  <c r="F346" i="6"/>
  <c r="F347" i="6"/>
  <c r="F348" i="6"/>
  <c r="E348" i="6"/>
  <c r="D348" i="6"/>
  <c r="C348" i="6"/>
  <c r="B348" i="6"/>
  <c r="E347" i="6" s="1"/>
  <c r="A348" i="6"/>
  <c r="D347" i="6"/>
  <c r="C347" i="6"/>
  <c r="B347" i="6"/>
  <c r="A347" i="6"/>
  <c r="E346" i="6"/>
  <c r="D346" i="6"/>
  <c r="C346" i="6"/>
  <c r="B346" i="6"/>
  <c r="E345" i="6" s="1"/>
  <c r="A346" i="6"/>
  <c r="D345" i="6"/>
  <c r="C345" i="6"/>
  <c r="B345" i="6"/>
  <c r="E344" i="6" s="1"/>
  <c r="A345" i="6"/>
  <c r="D344" i="6"/>
  <c r="C344" i="6"/>
  <c r="B344" i="6"/>
  <c r="E343" i="6" s="1"/>
  <c r="A344" i="6"/>
  <c r="D343" i="6"/>
  <c r="C343" i="6"/>
  <c r="B343" i="6"/>
  <c r="A343" i="6"/>
  <c r="D342" i="6"/>
  <c r="C342" i="6"/>
  <c r="B342" i="6"/>
  <c r="A342" i="6"/>
  <c r="D341" i="6"/>
  <c r="C341" i="6"/>
  <c r="B341" i="6"/>
  <c r="A341" i="6"/>
  <c r="C339" i="6"/>
  <c r="D24" i="28"/>
  <c r="C24" i="28"/>
  <c r="B24" i="28"/>
  <c r="D16" i="28"/>
  <c r="D17" i="28"/>
  <c r="D18" i="28"/>
  <c r="D19" i="28"/>
  <c r="D20" i="28"/>
  <c r="D21" i="28"/>
  <c r="D22" i="28"/>
  <c r="D23" i="28"/>
  <c r="C23" i="28"/>
  <c r="C22" i="28"/>
  <c r="C21" i="28"/>
  <c r="C20" i="28"/>
  <c r="C19" i="28"/>
  <c r="C18" i="28"/>
  <c r="C17" i="28"/>
  <c r="C16" i="28"/>
  <c r="J333" i="6"/>
  <c r="K333" i="6"/>
  <c r="L333" i="6"/>
  <c r="O333" i="6" s="1"/>
  <c r="M333" i="6"/>
  <c r="N333" i="6"/>
  <c r="J334" i="6"/>
  <c r="K334" i="6"/>
  <c r="L334" i="6"/>
  <c r="M334" i="6"/>
  <c r="N334" i="6"/>
  <c r="O334" i="6"/>
  <c r="J335" i="6"/>
  <c r="K335" i="6"/>
  <c r="L335" i="6"/>
  <c r="O335" i="6" s="1"/>
  <c r="M335" i="6"/>
  <c r="N335" i="6"/>
  <c r="J336" i="6"/>
  <c r="K336" i="6"/>
  <c r="L336" i="6"/>
  <c r="M336" i="6"/>
  <c r="N336" i="6"/>
  <c r="O336" i="6"/>
  <c r="J337" i="6"/>
  <c r="K337" i="6"/>
  <c r="L337" i="6"/>
  <c r="O337" i="6" s="1"/>
  <c r="M337" i="6"/>
  <c r="N337" i="6"/>
  <c r="H337" i="6"/>
  <c r="G337" i="6"/>
  <c r="F337" i="6"/>
  <c r="E337" i="6"/>
  <c r="D337" i="6"/>
  <c r="C337" i="6"/>
  <c r="B337" i="6"/>
  <c r="A337" i="6"/>
  <c r="H336" i="6"/>
  <c r="G336" i="6"/>
  <c r="F336" i="6"/>
  <c r="E336" i="6"/>
  <c r="D336" i="6"/>
  <c r="C336" i="6"/>
  <c r="B336" i="6"/>
  <c r="A336" i="6"/>
  <c r="H335" i="6"/>
  <c r="G335" i="6"/>
  <c r="F335" i="6"/>
  <c r="E335" i="6"/>
  <c r="D335" i="6"/>
  <c r="C335" i="6"/>
  <c r="B335" i="6"/>
  <c r="A335" i="6"/>
  <c r="H334" i="6"/>
  <c r="G334" i="6"/>
  <c r="F334" i="6"/>
  <c r="E334" i="6"/>
  <c r="D334" i="6"/>
  <c r="C334" i="6"/>
  <c r="B334" i="6"/>
  <c r="A334" i="6"/>
  <c r="H333" i="6"/>
  <c r="G333" i="6"/>
  <c r="F333" i="6"/>
  <c r="E333" i="6"/>
  <c r="D333" i="6"/>
  <c r="C333" i="6"/>
  <c r="B333" i="6"/>
  <c r="A333" i="6"/>
  <c r="C331" i="6"/>
  <c r="E329" i="6"/>
  <c r="D329" i="6"/>
  <c r="C329" i="6"/>
  <c r="B329" i="6"/>
  <c r="A329" i="6"/>
  <c r="E328" i="6"/>
  <c r="D328" i="6"/>
  <c r="C328" i="6"/>
  <c r="B328" i="6"/>
  <c r="A328" i="6"/>
  <c r="C326" i="6"/>
  <c r="F315" i="6"/>
  <c r="E315" i="6"/>
  <c r="N324" i="6"/>
  <c r="K324" i="6"/>
  <c r="H324" i="6"/>
  <c r="M324" i="6"/>
  <c r="J324" i="6"/>
  <c r="G324" i="6"/>
  <c r="L324" i="6"/>
  <c r="I324" i="6"/>
  <c r="F324" i="6"/>
  <c r="E324" i="6"/>
  <c r="D324" i="6"/>
  <c r="C324" i="6"/>
  <c r="B324" i="6"/>
  <c r="A324" i="6"/>
  <c r="N323" i="6"/>
  <c r="K323" i="6"/>
  <c r="H323" i="6"/>
  <c r="M323" i="6"/>
  <c r="J323" i="6"/>
  <c r="G323" i="6"/>
  <c r="L323" i="6"/>
  <c r="I323" i="6"/>
  <c r="F323" i="6"/>
  <c r="E323" i="6"/>
  <c r="D323" i="6"/>
  <c r="C323" i="6"/>
  <c r="B323" i="6"/>
  <c r="A323" i="6"/>
  <c r="N322" i="6"/>
  <c r="K322" i="6"/>
  <c r="H322" i="6"/>
  <c r="M322" i="6"/>
  <c r="J322" i="6"/>
  <c r="G322" i="6"/>
  <c r="L322" i="6"/>
  <c r="I322" i="6"/>
  <c r="F322" i="6"/>
  <c r="E322" i="6"/>
  <c r="D322" i="6"/>
  <c r="C322" i="6"/>
  <c r="B322" i="6"/>
  <c r="A322" i="6"/>
  <c r="N321" i="6"/>
  <c r="K321" i="6"/>
  <c r="H321" i="6"/>
  <c r="M321" i="6"/>
  <c r="J321" i="6"/>
  <c r="G321" i="6"/>
  <c r="L321" i="6"/>
  <c r="I321" i="6"/>
  <c r="F321" i="6"/>
  <c r="E321" i="6"/>
  <c r="D321" i="6"/>
  <c r="C321" i="6"/>
  <c r="B321" i="6"/>
  <c r="A321" i="6"/>
  <c r="N320" i="6"/>
  <c r="K320" i="6"/>
  <c r="H320" i="6"/>
  <c r="M320" i="6"/>
  <c r="J320" i="6"/>
  <c r="G320" i="6"/>
  <c r="L320" i="6"/>
  <c r="I320" i="6"/>
  <c r="F320" i="6"/>
  <c r="E320" i="6"/>
  <c r="D320" i="6"/>
  <c r="C320" i="6"/>
  <c r="B320" i="6"/>
  <c r="A320" i="6"/>
  <c r="N319" i="6"/>
  <c r="K319" i="6"/>
  <c r="H319" i="6"/>
  <c r="M319" i="6"/>
  <c r="J319" i="6"/>
  <c r="G319" i="6"/>
  <c r="L319" i="6"/>
  <c r="I319" i="6"/>
  <c r="F319" i="6"/>
  <c r="E319" i="6"/>
  <c r="D319" i="6"/>
  <c r="C319" i="6"/>
  <c r="B319" i="6"/>
  <c r="A319" i="6"/>
  <c r="N318" i="6"/>
  <c r="K318" i="6"/>
  <c r="H318" i="6"/>
  <c r="M318" i="6"/>
  <c r="J318" i="6"/>
  <c r="G318" i="6"/>
  <c r="L318" i="6"/>
  <c r="I318" i="6"/>
  <c r="F318" i="6"/>
  <c r="E318" i="6"/>
  <c r="D318" i="6"/>
  <c r="C318" i="6"/>
  <c r="B318" i="6"/>
  <c r="A318" i="6"/>
  <c r="N317" i="6"/>
  <c r="K317" i="6"/>
  <c r="H317" i="6"/>
  <c r="M317" i="6"/>
  <c r="J317" i="6"/>
  <c r="G317" i="6"/>
  <c r="L317" i="6"/>
  <c r="I317" i="6"/>
  <c r="F317" i="6"/>
  <c r="E317" i="6"/>
  <c r="D317" i="6"/>
  <c r="C317" i="6"/>
  <c r="B317" i="6"/>
  <c r="A317" i="6"/>
  <c r="C315" i="6"/>
  <c r="F304" i="6"/>
  <c r="E304" i="6"/>
  <c r="H313" i="6"/>
  <c r="G313" i="6"/>
  <c r="F313" i="6"/>
  <c r="E313" i="6"/>
  <c r="D313" i="6"/>
  <c r="C313" i="6"/>
  <c r="B313" i="6"/>
  <c r="A313" i="6"/>
  <c r="H312" i="6"/>
  <c r="G312" i="6"/>
  <c r="F312" i="6"/>
  <c r="E312" i="6"/>
  <c r="D312" i="6"/>
  <c r="C312" i="6"/>
  <c r="B312" i="6"/>
  <c r="A312" i="6"/>
  <c r="H311" i="6"/>
  <c r="G311" i="6"/>
  <c r="F311" i="6"/>
  <c r="E311" i="6"/>
  <c r="D311" i="6"/>
  <c r="C311" i="6"/>
  <c r="B311" i="6"/>
  <c r="A311" i="6"/>
  <c r="H310" i="6"/>
  <c r="G310" i="6"/>
  <c r="F310" i="6"/>
  <c r="E310" i="6"/>
  <c r="D310" i="6"/>
  <c r="C310" i="6"/>
  <c r="B310" i="6"/>
  <c r="A310" i="6"/>
  <c r="H309" i="6"/>
  <c r="G309" i="6"/>
  <c r="F309" i="6"/>
  <c r="E309" i="6"/>
  <c r="D309" i="6"/>
  <c r="C309" i="6"/>
  <c r="B309" i="6"/>
  <c r="A309" i="6"/>
  <c r="H308" i="6"/>
  <c r="G308" i="6"/>
  <c r="F308" i="6"/>
  <c r="E308" i="6"/>
  <c r="D308" i="6"/>
  <c r="C308" i="6"/>
  <c r="B308" i="6"/>
  <c r="A308" i="6"/>
  <c r="H307" i="6"/>
  <c r="G307" i="6"/>
  <c r="F307" i="6"/>
  <c r="E307" i="6"/>
  <c r="D307" i="6"/>
  <c r="C307" i="6"/>
  <c r="B307" i="6"/>
  <c r="A307" i="6"/>
  <c r="H306" i="6"/>
  <c r="G306" i="6"/>
  <c r="F306" i="6"/>
  <c r="E306" i="6"/>
  <c r="D306" i="6"/>
  <c r="C306" i="6"/>
  <c r="B306" i="6"/>
  <c r="A306" i="6"/>
  <c r="C304" i="6"/>
  <c r="J302" i="6"/>
  <c r="I302" i="6"/>
  <c r="H302" i="6"/>
  <c r="F302" i="6"/>
  <c r="G302" i="6" s="1"/>
  <c r="B302" i="6"/>
  <c r="E302" i="6"/>
  <c r="D302" i="6"/>
  <c r="A302" i="6"/>
  <c r="J301" i="6"/>
  <c r="I301" i="6"/>
  <c r="H301" i="6"/>
  <c r="F301" i="6"/>
  <c r="G301" i="6" s="1"/>
  <c r="B301" i="6"/>
  <c r="E301" i="6"/>
  <c r="D301" i="6"/>
  <c r="A301" i="6"/>
  <c r="J300" i="6"/>
  <c r="I300" i="6"/>
  <c r="H300" i="6"/>
  <c r="F300" i="6"/>
  <c r="G300" i="6" s="1"/>
  <c r="B300" i="6"/>
  <c r="E300" i="6"/>
  <c r="F298" i="6" s="1"/>
  <c r="G298" i="6" s="1"/>
  <c r="D300" i="6"/>
  <c r="A300" i="6"/>
  <c r="J299" i="6"/>
  <c r="I299" i="6"/>
  <c r="H299" i="6"/>
  <c r="F299" i="6"/>
  <c r="G299" i="6" s="1"/>
  <c r="B299" i="6"/>
  <c r="E299" i="6"/>
  <c r="D299" i="6"/>
  <c r="A299" i="6"/>
  <c r="J298" i="6"/>
  <c r="I298" i="6"/>
  <c r="H298" i="6"/>
  <c r="B298" i="6"/>
  <c r="E298" i="6"/>
  <c r="D298" i="6"/>
  <c r="A298" i="6"/>
  <c r="J297" i="6"/>
  <c r="I297" i="6"/>
  <c r="H297" i="6"/>
  <c r="F297" i="6"/>
  <c r="C297" i="6" s="1"/>
  <c r="B297" i="6"/>
  <c r="E297" i="6"/>
  <c r="D297" i="6"/>
  <c r="A297" i="6"/>
  <c r="J296" i="6"/>
  <c r="I296" i="6"/>
  <c r="H296" i="6"/>
  <c r="B296" i="6"/>
  <c r="E296" i="6"/>
  <c r="D296" i="6"/>
  <c r="A296" i="6"/>
  <c r="J295" i="6"/>
  <c r="I295" i="6"/>
  <c r="H295" i="6"/>
  <c r="B295" i="6"/>
  <c r="E295" i="6"/>
  <c r="D295" i="6"/>
  <c r="A295" i="6"/>
  <c r="C293" i="6"/>
  <c r="C291" i="6"/>
  <c r="B291" i="6"/>
  <c r="A291" i="6"/>
  <c r="C290" i="6"/>
  <c r="B290" i="6"/>
  <c r="C289" i="6" s="1"/>
  <c r="A290" i="6"/>
  <c r="B289" i="6"/>
  <c r="C288" i="6" s="1"/>
  <c r="A289" i="6"/>
  <c r="B288" i="6"/>
  <c r="A288" i="6"/>
  <c r="C287" i="6"/>
  <c r="B287" i="6"/>
  <c r="A287" i="6"/>
  <c r="C285" i="6"/>
  <c r="C283" i="6"/>
  <c r="B283" i="6"/>
  <c r="A283" i="6"/>
  <c r="C282" i="6"/>
  <c r="B282" i="6"/>
  <c r="A282" i="6"/>
  <c r="C281" i="6"/>
  <c r="B281" i="6"/>
  <c r="A281" i="6"/>
  <c r="C280" i="6"/>
  <c r="B280" i="6"/>
  <c r="C279" i="6" s="1"/>
  <c r="A280" i="6"/>
  <c r="B279" i="6"/>
  <c r="A279" i="6"/>
  <c r="C277" i="6"/>
  <c r="O236" i="6"/>
  <c r="P236" i="6" s="1"/>
  <c r="O237" i="6"/>
  <c r="P237" i="6"/>
  <c r="Q237" i="6"/>
  <c r="O238" i="6"/>
  <c r="P238" i="6"/>
  <c r="Q238" i="6"/>
  <c r="O239" i="6"/>
  <c r="P239" i="6"/>
  <c r="Q239" i="6"/>
  <c r="O240" i="6"/>
  <c r="P240" i="6" s="1"/>
  <c r="O241" i="6"/>
  <c r="P241" i="6"/>
  <c r="Q241" i="6"/>
  <c r="O242" i="6"/>
  <c r="P242" i="6"/>
  <c r="Q242" i="6"/>
  <c r="O243" i="6"/>
  <c r="P243" i="6"/>
  <c r="Q243" i="6"/>
  <c r="O244" i="6"/>
  <c r="P244" i="6" s="1"/>
  <c r="O245" i="6"/>
  <c r="P245" i="6"/>
  <c r="Q245" i="6"/>
  <c r="O246" i="6"/>
  <c r="P246" i="6"/>
  <c r="Q246" i="6"/>
  <c r="O247" i="6"/>
  <c r="P247" i="6"/>
  <c r="Q247" i="6"/>
  <c r="O248" i="6"/>
  <c r="P248" i="6" s="1"/>
  <c r="O249" i="6"/>
  <c r="P249" i="6"/>
  <c r="Q249" i="6"/>
  <c r="O250" i="6"/>
  <c r="P250" i="6"/>
  <c r="Q250" i="6"/>
  <c r="O251" i="6"/>
  <c r="P251" i="6"/>
  <c r="Q251" i="6"/>
  <c r="O252" i="6"/>
  <c r="P252" i="6" s="1"/>
  <c r="O253" i="6"/>
  <c r="P253" i="6"/>
  <c r="Q253" i="6"/>
  <c r="O254" i="6"/>
  <c r="P254" i="6"/>
  <c r="Q254" i="6"/>
  <c r="O255" i="6"/>
  <c r="P255" i="6"/>
  <c r="Q255" i="6"/>
  <c r="O256" i="6"/>
  <c r="P256" i="6" s="1"/>
  <c r="O257" i="6"/>
  <c r="P257" i="6"/>
  <c r="Q257" i="6"/>
  <c r="O258" i="6"/>
  <c r="P258" i="6"/>
  <c r="Q258" i="6"/>
  <c r="O259" i="6"/>
  <c r="P259" i="6"/>
  <c r="Q259" i="6"/>
  <c r="O260" i="6"/>
  <c r="P260" i="6" s="1"/>
  <c r="O261" i="6"/>
  <c r="P261" i="6"/>
  <c r="Q261" i="6"/>
  <c r="O262" i="6"/>
  <c r="P262" i="6"/>
  <c r="Q262" i="6"/>
  <c r="O263" i="6"/>
  <c r="P263" i="6"/>
  <c r="Q263" i="6"/>
  <c r="O264" i="6"/>
  <c r="P264" i="6" s="1"/>
  <c r="O265" i="6"/>
  <c r="P265" i="6"/>
  <c r="Q265" i="6"/>
  <c r="O266" i="6"/>
  <c r="P266" i="6"/>
  <c r="Q266" i="6"/>
  <c r="O267" i="6"/>
  <c r="P267" i="6"/>
  <c r="Q267" i="6"/>
  <c r="O268" i="6"/>
  <c r="P268" i="6" s="1"/>
  <c r="O269" i="6"/>
  <c r="P269" i="6"/>
  <c r="Q269" i="6"/>
  <c r="O270" i="6"/>
  <c r="P270" i="6"/>
  <c r="Q270" i="6"/>
  <c r="O271" i="6"/>
  <c r="P271" i="6"/>
  <c r="Q271" i="6"/>
  <c r="O272" i="6"/>
  <c r="P272" i="6" s="1"/>
  <c r="O273" i="6"/>
  <c r="P273" i="6"/>
  <c r="Q273" i="6"/>
  <c r="O274" i="6"/>
  <c r="P274" i="6"/>
  <c r="Q274" i="6"/>
  <c r="O275" i="6"/>
  <c r="P275" i="6"/>
  <c r="Q275" i="6"/>
  <c r="N236" i="6"/>
  <c r="M236" i="6"/>
  <c r="L236" i="6"/>
  <c r="S236" i="6"/>
  <c r="R236" i="6"/>
  <c r="A236" i="6"/>
  <c r="B236" i="6"/>
  <c r="C236" i="6"/>
  <c r="D236" i="6"/>
  <c r="E236" i="6"/>
  <c r="F236" i="6"/>
  <c r="G236" i="6"/>
  <c r="H236" i="6"/>
  <c r="I236" i="6"/>
  <c r="J236" i="6"/>
  <c r="A237" i="6"/>
  <c r="B237" i="6"/>
  <c r="F237" i="6" s="1"/>
  <c r="C237" i="6"/>
  <c r="D237" i="6"/>
  <c r="G237" i="6"/>
  <c r="H237" i="6"/>
  <c r="A238" i="6"/>
  <c r="B238" i="6"/>
  <c r="C238" i="6"/>
  <c r="D238" i="6"/>
  <c r="E238" i="6" s="1"/>
  <c r="H238" i="6"/>
  <c r="A239" i="6"/>
  <c r="B239" i="6"/>
  <c r="C239" i="6"/>
  <c r="D239" i="6"/>
  <c r="G239" i="6" s="1"/>
  <c r="E239" i="6"/>
  <c r="F239" i="6"/>
  <c r="H239" i="6"/>
  <c r="A240" i="6"/>
  <c r="B240" i="6"/>
  <c r="C240" i="6"/>
  <c r="D240" i="6"/>
  <c r="I240" i="6" s="1"/>
  <c r="J240" i="6" s="1"/>
  <c r="E240" i="6"/>
  <c r="F240" i="6"/>
  <c r="G240" i="6"/>
  <c r="H240" i="6"/>
  <c r="C234" i="6"/>
  <c r="O193" i="6"/>
  <c r="P193" i="6" s="1"/>
  <c r="Q193" i="6"/>
  <c r="O194" i="6"/>
  <c r="Q194" i="6" s="1"/>
  <c r="P194" i="6"/>
  <c r="O195" i="6"/>
  <c r="P195" i="6"/>
  <c r="Q195" i="6"/>
  <c r="O196" i="6"/>
  <c r="P196" i="6"/>
  <c r="Q196" i="6"/>
  <c r="O197" i="6"/>
  <c r="P197" i="6" s="1"/>
  <c r="Q197" i="6"/>
  <c r="O198" i="6"/>
  <c r="Q198" i="6" s="1"/>
  <c r="P198" i="6"/>
  <c r="O199" i="6"/>
  <c r="P199" i="6"/>
  <c r="Q199" i="6"/>
  <c r="O200" i="6"/>
  <c r="P200" i="6"/>
  <c r="Q200" i="6"/>
  <c r="O201" i="6"/>
  <c r="P201" i="6" s="1"/>
  <c r="Q201" i="6"/>
  <c r="O202" i="6"/>
  <c r="Q202" i="6" s="1"/>
  <c r="P202" i="6"/>
  <c r="O203" i="6"/>
  <c r="P203" i="6"/>
  <c r="Q203" i="6"/>
  <c r="O204" i="6"/>
  <c r="P204" i="6"/>
  <c r="Q204" i="6"/>
  <c r="O205" i="6"/>
  <c r="P205" i="6" s="1"/>
  <c r="Q205" i="6"/>
  <c r="O206" i="6"/>
  <c r="Q206" i="6" s="1"/>
  <c r="P206" i="6"/>
  <c r="O207" i="6"/>
  <c r="P207" i="6"/>
  <c r="Q207" i="6"/>
  <c r="O208" i="6"/>
  <c r="P208" i="6"/>
  <c r="Q208" i="6"/>
  <c r="O209" i="6"/>
  <c r="P209" i="6" s="1"/>
  <c r="Q209" i="6"/>
  <c r="O210" i="6"/>
  <c r="Q210" i="6" s="1"/>
  <c r="P210" i="6"/>
  <c r="O211" i="6"/>
  <c r="P211" i="6"/>
  <c r="Q211" i="6"/>
  <c r="O212" i="6"/>
  <c r="P212" i="6"/>
  <c r="Q212" i="6"/>
  <c r="O213" i="6"/>
  <c r="P213" i="6" s="1"/>
  <c r="Q213" i="6"/>
  <c r="O214" i="6"/>
  <c r="Q214" i="6" s="1"/>
  <c r="P214" i="6"/>
  <c r="O215" i="6"/>
  <c r="P215" i="6"/>
  <c r="Q215" i="6"/>
  <c r="O216" i="6"/>
  <c r="P216" i="6"/>
  <c r="Q216" i="6"/>
  <c r="O217" i="6"/>
  <c r="P217" i="6" s="1"/>
  <c r="Q217" i="6"/>
  <c r="O218" i="6"/>
  <c r="Q218" i="6" s="1"/>
  <c r="P218" i="6"/>
  <c r="O219" i="6"/>
  <c r="P219" i="6"/>
  <c r="Q219" i="6"/>
  <c r="O220" i="6"/>
  <c r="P220" i="6"/>
  <c r="Q220" i="6"/>
  <c r="O221" i="6"/>
  <c r="P221" i="6" s="1"/>
  <c r="Q221" i="6"/>
  <c r="O222" i="6"/>
  <c r="Q222" i="6" s="1"/>
  <c r="P222" i="6"/>
  <c r="O223" i="6"/>
  <c r="P223" i="6"/>
  <c r="Q223" i="6"/>
  <c r="O224" i="6"/>
  <c r="P224" i="6"/>
  <c r="Q224" i="6"/>
  <c r="O225" i="6"/>
  <c r="P225" i="6" s="1"/>
  <c r="Q225" i="6"/>
  <c r="O226" i="6"/>
  <c r="Q226" i="6" s="1"/>
  <c r="P226" i="6"/>
  <c r="O227" i="6"/>
  <c r="P227" i="6"/>
  <c r="Q227" i="6"/>
  <c r="O228" i="6"/>
  <c r="P228" i="6"/>
  <c r="Q228" i="6"/>
  <c r="O229" i="6"/>
  <c r="P229" i="6" s="1"/>
  <c r="Q229" i="6"/>
  <c r="O230" i="6"/>
  <c r="Q230" i="6" s="1"/>
  <c r="P230" i="6"/>
  <c r="O231" i="6"/>
  <c r="P231" i="6"/>
  <c r="Q231" i="6"/>
  <c r="O232" i="6"/>
  <c r="P232" i="6"/>
  <c r="Q232" i="6"/>
  <c r="N193" i="6"/>
  <c r="M193" i="6"/>
  <c r="L193" i="6"/>
  <c r="S193" i="6"/>
  <c r="R193" i="6"/>
  <c r="A193" i="6"/>
  <c r="B193" i="6"/>
  <c r="C193" i="6"/>
  <c r="D193" i="6"/>
  <c r="E193" i="6"/>
  <c r="F193" i="6"/>
  <c r="G193" i="6"/>
  <c r="H193" i="6"/>
  <c r="I193" i="6"/>
  <c r="J193" i="6"/>
  <c r="A194" i="6"/>
  <c r="B194" i="6"/>
  <c r="E194" i="6" s="1"/>
  <c r="C194" i="6"/>
  <c r="D194" i="6"/>
  <c r="G194" i="6"/>
  <c r="H194" i="6"/>
  <c r="A195" i="6"/>
  <c r="B195" i="6"/>
  <c r="C195" i="6"/>
  <c r="D195" i="6"/>
  <c r="E195" i="6" s="1"/>
  <c r="H195" i="6"/>
  <c r="A196" i="6"/>
  <c r="B196" i="6"/>
  <c r="C196" i="6"/>
  <c r="D196" i="6"/>
  <c r="G196" i="6" s="1"/>
  <c r="E196" i="6"/>
  <c r="F196" i="6"/>
  <c r="H196" i="6"/>
  <c r="C191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P187" i="6"/>
  <c r="O187" i="6"/>
  <c r="N187" i="6"/>
  <c r="M187" i="6"/>
  <c r="J187" i="6"/>
  <c r="G189" i="6"/>
  <c r="G188" i="6"/>
  <c r="G186" i="6"/>
  <c r="G185" i="6"/>
  <c r="G187" i="6"/>
  <c r="L187" i="6"/>
  <c r="I187" i="6"/>
  <c r="F189" i="6"/>
  <c r="F188" i="6"/>
  <c r="F186" i="6"/>
  <c r="F185" i="6"/>
  <c r="F187" i="6"/>
  <c r="K187" i="6"/>
  <c r="H187" i="6"/>
  <c r="E189" i="6"/>
  <c r="E188" i="6"/>
  <c r="E186" i="6"/>
  <c r="E185" i="6"/>
  <c r="E187" i="6"/>
  <c r="A189" i="6"/>
  <c r="A188" i="6"/>
  <c r="A187" i="6"/>
  <c r="A186" i="6"/>
  <c r="A185" i="6"/>
  <c r="C187" i="6"/>
  <c r="A184" i="6" s="1"/>
  <c r="D187" i="6"/>
  <c r="P182" i="6"/>
  <c r="N182" i="6"/>
  <c r="J182" i="6"/>
  <c r="G184" i="6"/>
  <c r="G183" i="6"/>
  <c r="G181" i="6"/>
  <c r="G180" i="6"/>
  <c r="G182" i="6"/>
  <c r="I182" i="6"/>
  <c r="F184" i="6"/>
  <c r="F183" i="6"/>
  <c r="F181" i="6"/>
  <c r="F180" i="6"/>
  <c r="F182" i="6"/>
  <c r="K182" i="6"/>
  <c r="H182" i="6"/>
  <c r="E184" i="6"/>
  <c r="E183" i="6"/>
  <c r="E181" i="6"/>
  <c r="E180" i="6"/>
  <c r="E182" i="6"/>
  <c r="A183" i="6"/>
  <c r="L182" i="6" s="1"/>
  <c r="A182" i="6"/>
  <c r="A181" i="6"/>
  <c r="A180" i="6"/>
  <c r="C182" i="6"/>
  <c r="A179" i="6" s="1"/>
  <c r="D182" i="6"/>
  <c r="P177" i="6"/>
  <c r="N177" i="6"/>
  <c r="J177" i="6"/>
  <c r="G179" i="6"/>
  <c r="G178" i="6"/>
  <c r="G176" i="6"/>
  <c r="G175" i="6"/>
  <c r="G177" i="6"/>
  <c r="I177" i="6"/>
  <c r="F179" i="6"/>
  <c r="F178" i="6"/>
  <c r="F176" i="6"/>
  <c r="F175" i="6"/>
  <c r="F177" i="6"/>
  <c r="H177" i="6"/>
  <c r="E179" i="6"/>
  <c r="E178" i="6"/>
  <c r="E176" i="6"/>
  <c r="E175" i="6"/>
  <c r="E177" i="6"/>
  <c r="C177" i="6"/>
  <c r="D177" i="6"/>
  <c r="P172" i="6"/>
  <c r="N172" i="6"/>
  <c r="J172" i="6"/>
  <c r="G174" i="6"/>
  <c r="G173" i="6"/>
  <c r="G171" i="6"/>
  <c r="G170" i="6"/>
  <c r="G172" i="6"/>
  <c r="I172" i="6"/>
  <c r="F174" i="6"/>
  <c r="F173" i="6"/>
  <c r="F171" i="6"/>
  <c r="F170" i="6"/>
  <c r="F172" i="6"/>
  <c r="H172" i="6"/>
  <c r="E174" i="6"/>
  <c r="E173" i="6"/>
  <c r="E171" i="6"/>
  <c r="E170" i="6"/>
  <c r="E172" i="6"/>
  <c r="C172" i="6"/>
  <c r="D172" i="6"/>
  <c r="P167" i="6"/>
  <c r="N167" i="6"/>
  <c r="J167" i="6"/>
  <c r="G169" i="6"/>
  <c r="G168" i="6"/>
  <c r="G166" i="6"/>
  <c r="G165" i="6"/>
  <c r="G167" i="6"/>
  <c r="I167" i="6"/>
  <c r="F169" i="6"/>
  <c r="F168" i="6"/>
  <c r="F166" i="6"/>
  <c r="F165" i="6"/>
  <c r="F167" i="6"/>
  <c r="H167" i="6"/>
  <c r="E169" i="6"/>
  <c r="E168" i="6"/>
  <c r="E166" i="6"/>
  <c r="E165" i="6"/>
  <c r="E167" i="6"/>
  <c r="A166" i="6"/>
  <c r="A165" i="6"/>
  <c r="C167" i="6"/>
  <c r="D167" i="6"/>
  <c r="H165" i="6"/>
  <c r="I165" i="6"/>
  <c r="J165" i="6"/>
  <c r="K165" i="6"/>
  <c r="L165" i="6"/>
  <c r="M165" i="6"/>
  <c r="N165" i="6"/>
  <c r="O165" i="6"/>
  <c r="P165" i="6"/>
  <c r="H166" i="6"/>
  <c r="I166" i="6"/>
  <c r="J166" i="6"/>
  <c r="K166" i="6"/>
  <c r="L166" i="6"/>
  <c r="M166" i="6"/>
  <c r="N166" i="6"/>
  <c r="O166" i="6"/>
  <c r="P166" i="6"/>
  <c r="H168" i="6"/>
  <c r="I168" i="6"/>
  <c r="J168" i="6"/>
  <c r="K168" i="6"/>
  <c r="L168" i="6"/>
  <c r="M168" i="6"/>
  <c r="N168" i="6"/>
  <c r="O168" i="6"/>
  <c r="P168" i="6"/>
  <c r="H169" i="6"/>
  <c r="I169" i="6"/>
  <c r="J169" i="6"/>
  <c r="K169" i="6"/>
  <c r="L169" i="6"/>
  <c r="M169" i="6"/>
  <c r="N169" i="6"/>
  <c r="O169" i="6"/>
  <c r="P169" i="6"/>
  <c r="H170" i="6"/>
  <c r="I170" i="6"/>
  <c r="J170" i="6"/>
  <c r="K170" i="6"/>
  <c r="L170" i="6"/>
  <c r="M170" i="6"/>
  <c r="N170" i="6"/>
  <c r="O170" i="6"/>
  <c r="P170" i="6"/>
  <c r="H171" i="6"/>
  <c r="I171" i="6"/>
  <c r="J171" i="6"/>
  <c r="K171" i="6"/>
  <c r="L171" i="6"/>
  <c r="M171" i="6"/>
  <c r="N171" i="6"/>
  <c r="O171" i="6"/>
  <c r="P171" i="6"/>
  <c r="H173" i="6"/>
  <c r="I173" i="6"/>
  <c r="J173" i="6"/>
  <c r="K173" i="6"/>
  <c r="L173" i="6"/>
  <c r="M173" i="6"/>
  <c r="N173" i="6"/>
  <c r="O173" i="6"/>
  <c r="P173" i="6"/>
  <c r="H174" i="6"/>
  <c r="I174" i="6"/>
  <c r="J174" i="6"/>
  <c r="K174" i="6"/>
  <c r="L174" i="6"/>
  <c r="M174" i="6"/>
  <c r="N174" i="6"/>
  <c r="O174" i="6"/>
  <c r="P174" i="6"/>
  <c r="H175" i="6"/>
  <c r="I175" i="6"/>
  <c r="J175" i="6"/>
  <c r="K175" i="6"/>
  <c r="L175" i="6"/>
  <c r="M175" i="6"/>
  <c r="N175" i="6"/>
  <c r="O175" i="6"/>
  <c r="P175" i="6"/>
  <c r="H176" i="6"/>
  <c r="I176" i="6"/>
  <c r="J176" i="6"/>
  <c r="K176" i="6"/>
  <c r="L176" i="6"/>
  <c r="M176" i="6"/>
  <c r="N176" i="6"/>
  <c r="O176" i="6"/>
  <c r="P176" i="6"/>
  <c r="H178" i="6"/>
  <c r="I178" i="6"/>
  <c r="J178" i="6"/>
  <c r="K178" i="6"/>
  <c r="L178" i="6"/>
  <c r="M178" i="6"/>
  <c r="N178" i="6"/>
  <c r="O178" i="6"/>
  <c r="P178" i="6"/>
  <c r="H179" i="6"/>
  <c r="I179" i="6"/>
  <c r="J179" i="6"/>
  <c r="K179" i="6"/>
  <c r="L179" i="6"/>
  <c r="M179" i="6"/>
  <c r="N179" i="6"/>
  <c r="O179" i="6"/>
  <c r="P179" i="6"/>
  <c r="H180" i="6"/>
  <c r="I180" i="6"/>
  <c r="J180" i="6"/>
  <c r="K180" i="6"/>
  <c r="L180" i="6"/>
  <c r="M180" i="6"/>
  <c r="N180" i="6"/>
  <c r="O180" i="6"/>
  <c r="P180" i="6"/>
  <c r="H181" i="6"/>
  <c r="I181" i="6"/>
  <c r="J181" i="6"/>
  <c r="K181" i="6"/>
  <c r="L181" i="6"/>
  <c r="M181" i="6"/>
  <c r="N181" i="6"/>
  <c r="O181" i="6"/>
  <c r="P181" i="6"/>
  <c r="H183" i="6"/>
  <c r="I183" i="6"/>
  <c r="J183" i="6"/>
  <c r="K183" i="6"/>
  <c r="L183" i="6"/>
  <c r="M183" i="6"/>
  <c r="N183" i="6"/>
  <c r="O183" i="6"/>
  <c r="P183" i="6"/>
  <c r="H184" i="6"/>
  <c r="I184" i="6"/>
  <c r="J184" i="6"/>
  <c r="K184" i="6"/>
  <c r="L184" i="6"/>
  <c r="M184" i="6"/>
  <c r="N184" i="6"/>
  <c r="O184" i="6"/>
  <c r="P184" i="6"/>
  <c r="H185" i="6"/>
  <c r="I185" i="6"/>
  <c r="J185" i="6"/>
  <c r="K185" i="6"/>
  <c r="L185" i="6"/>
  <c r="M185" i="6"/>
  <c r="N185" i="6"/>
  <c r="O185" i="6"/>
  <c r="P185" i="6"/>
  <c r="H186" i="6"/>
  <c r="I186" i="6"/>
  <c r="J186" i="6"/>
  <c r="K186" i="6"/>
  <c r="L186" i="6"/>
  <c r="M186" i="6"/>
  <c r="N186" i="6"/>
  <c r="O186" i="6"/>
  <c r="P186" i="6"/>
  <c r="H188" i="6"/>
  <c r="I188" i="6"/>
  <c r="J188" i="6"/>
  <c r="K188" i="6"/>
  <c r="L188" i="6"/>
  <c r="M188" i="6"/>
  <c r="N188" i="6"/>
  <c r="O188" i="6"/>
  <c r="P188" i="6"/>
  <c r="H189" i="6"/>
  <c r="I189" i="6"/>
  <c r="J189" i="6"/>
  <c r="K189" i="6"/>
  <c r="L189" i="6"/>
  <c r="M189" i="6"/>
  <c r="N189" i="6"/>
  <c r="O189" i="6"/>
  <c r="P189" i="6"/>
  <c r="C163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P159" i="6"/>
  <c r="O159" i="6"/>
  <c r="N159" i="6"/>
  <c r="M159" i="6"/>
  <c r="J159" i="6"/>
  <c r="G161" i="6"/>
  <c r="G160" i="6"/>
  <c r="G158" i="6"/>
  <c r="G157" i="6"/>
  <c r="G159" i="6"/>
  <c r="L159" i="6"/>
  <c r="I159" i="6"/>
  <c r="F161" i="6"/>
  <c r="F160" i="6"/>
  <c r="F158" i="6"/>
  <c r="F157" i="6"/>
  <c r="F159" i="6"/>
  <c r="K159" i="6"/>
  <c r="H159" i="6"/>
  <c r="E161" i="6"/>
  <c r="E160" i="6"/>
  <c r="E158" i="6"/>
  <c r="E157" i="6"/>
  <c r="E159" i="6"/>
  <c r="A161" i="6"/>
  <c r="A160" i="6"/>
  <c r="A159" i="6"/>
  <c r="A158" i="6"/>
  <c r="A157" i="6"/>
  <c r="B159" i="6"/>
  <c r="C159" i="6"/>
  <c r="D159" i="6"/>
  <c r="P154" i="6"/>
  <c r="N154" i="6"/>
  <c r="J154" i="6"/>
  <c r="G156" i="6"/>
  <c r="G155" i="6"/>
  <c r="G153" i="6"/>
  <c r="G152" i="6"/>
  <c r="G154" i="6"/>
  <c r="I154" i="6"/>
  <c r="F156" i="6"/>
  <c r="F155" i="6"/>
  <c r="F153" i="6"/>
  <c r="F152" i="6"/>
  <c r="F154" i="6"/>
  <c r="K154" i="6"/>
  <c r="H154" i="6"/>
  <c r="E156" i="6"/>
  <c r="E155" i="6"/>
  <c r="E153" i="6"/>
  <c r="E152" i="6"/>
  <c r="E154" i="6"/>
  <c r="A156" i="6"/>
  <c r="A155" i="6"/>
  <c r="L154" i="6" s="1"/>
  <c r="A154" i="6"/>
  <c r="A153" i="6"/>
  <c r="M154" i="6" s="1"/>
  <c r="A152" i="6"/>
  <c r="C154" i="6"/>
  <c r="D154" i="6"/>
  <c r="P149" i="6"/>
  <c r="N149" i="6"/>
  <c r="J149" i="6"/>
  <c r="G151" i="6"/>
  <c r="G150" i="6"/>
  <c r="G148" i="6"/>
  <c r="G147" i="6"/>
  <c r="G149" i="6"/>
  <c r="I149" i="6"/>
  <c r="F151" i="6"/>
  <c r="F150" i="6"/>
  <c r="F148" i="6"/>
  <c r="F147" i="6"/>
  <c r="F149" i="6"/>
  <c r="K149" i="6"/>
  <c r="H149" i="6"/>
  <c r="E151" i="6"/>
  <c r="E150" i="6"/>
  <c r="E148" i="6"/>
  <c r="E147" i="6"/>
  <c r="E149" i="6"/>
  <c r="A151" i="6"/>
  <c r="A150" i="6"/>
  <c r="A149" i="6"/>
  <c r="A148" i="6"/>
  <c r="B149" i="6" s="1"/>
  <c r="A147" i="6"/>
  <c r="C149" i="6"/>
  <c r="D149" i="6"/>
  <c r="P144" i="6"/>
  <c r="N144" i="6"/>
  <c r="J144" i="6"/>
  <c r="G146" i="6"/>
  <c r="G145" i="6"/>
  <c r="G143" i="6"/>
  <c r="G142" i="6"/>
  <c r="G144" i="6"/>
  <c r="I144" i="6"/>
  <c r="F146" i="6"/>
  <c r="F145" i="6"/>
  <c r="F143" i="6"/>
  <c r="F142" i="6"/>
  <c r="F144" i="6"/>
  <c r="H144" i="6"/>
  <c r="E146" i="6"/>
  <c r="E145" i="6"/>
  <c r="E143" i="6"/>
  <c r="E142" i="6"/>
  <c r="E144" i="6"/>
  <c r="A146" i="6"/>
  <c r="A145" i="6"/>
  <c r="K144" i="6" s="1"/>
  <c r="A144" i="6"/>
  <c r="A143" i="6"/>
  <c r="A142" i="6"/>
  <c r="C144" i="6"/>
  <c r="D144" i="6"/>
  <c r="P139" i="6"/>
  <c r="N139" i="6"/>
  <c r="J139" i="6"/>
  <c r="G141" i="6"/>
  <c r="G140" i="6"/>
  <c r="G138" i="6"/>
  <c r="G137" i="6"/>
  <c r="G139" i="6"/>
  <c r="I139" i="6"/>
  <c r="F141" i="6"/>
  <c r="F140" i="6"/>
  <c r="F138" i="6"/>
  <c r="F137" i="6"/>
  <c r="F139" i="6"/>
  <c r="H139" i="6"/>
  <c r="E141" i="6"/>
  <c r="E140" i="6"/>
  <c r="E138" i="6"/>
  <c r="E137" i="6"/>
  <c r="E139" i="6"/>
  <c r="A141" i="6"/>
  <c r="A140" i="6"/>
  <c r="B139" i="6" s="1"/>
  <c r="A139" i="6"/>
  <c r="A138" i="6"/>
  <c r="A137" i="6"/>
  <c r="C139" i="6"/>
  <c r="D139" i="6"/>
  <c r="H137" i="6"/>
  <c r="I137" i="6"/>
  <c r="J137" i="6"/>
  <c r="K137" i="6"/>
  <c r="L137" i="6"/>
  <c r="M137" i="6"/>
  <c r="N137" i="6"/>
  <c r="O137" i="6"/>
  <c r="P137" i="6"/>
  <c r="H138" i="6"/>
  <c r="I138" i="6"/>
  <c r="J138" i="6"/>
  <c r="K138" i="6"/>
  <c r="L138" i="6"/>
  <c r="M138" i="6"/>
  <c r="N138" i="6"/>
  <c r="O138" i="6"/>
  <c r="P138" i="6"/>
  <c r="H140" i="6"/>
  <c r="I140" i="6"/>
  <c r="J140" i="6"/>
  <c r="K140" i="6"/>
  <c r="L140" i="6"/>
  <c r="M140" i="6"/>
  <c r="N140" i="6"/>
  <c r="O140" i="6"/>
  <c r="P140" i="6"/>
  <c r="H141" i="6"/>
  <c r="I141" i="6"/>
  <c r="J141" i="6"/>
  <c r="K141" i="6"/>
  <c r="L141" i="6"/>
  <c r="M141" i="6"/>
  <c r="N141" i="6"/>
  <c r="O141" i="6"/>
  <c r="P141" i="6"/>
  <c r="H142" i="6"/>
  <c r="I142" i="6"/>
  <c r="J142" i="6"/>
  <c r="K142" i="6"/>
  <c r="L142" i="6"/>
  <c r="M142" i="6"/>
  <c r="N142" i="6"/>
  <c r="O142" i="6"/>
  <c r="P142" i="6"/>
  <c r="H143" i="6"/>
  <c r="I143" i="6"/>
  <c r="J143" i="6"/>
  <c r="K143" i="6"/>
  <c r="L143" i="6"/>
  <c r="M143" i="6"/>
  <c r="N143" i="6"/>
  <c r="O143" i="6"/>
  <c r="P143" i="6"/>
  <c r="H145" i="6"/>
  <c r="I145" i="6"/>
  <c r="J145" i="6"/>
  <c r="K145" i="6"/>
  <c r="L145" i="6"/>
  <c r="M145" i="6"/>
  <c r="N145" i="6"/>
  <c r="O145" i="6"/>
  <c r="P145" i="6"/>
  <c r="H146" i="6"/>
  <c r="I146" i="6"/>
  <c r="J146" i="6"/>
  <c r="K146" i="6"/>
  <c r="L146" i="6"/>
  <c r="M146" i="6"/>
  <c r="N146" i="6"/>
  <c r="O146" i="6"/>
  <c r="P146" i="6"/>
  <c r="H147" i="6"/>
  <c r="I147" i="6"/>
  <c r="J147" i="6"/>
  <c r="K147" i="6"/>
  <c r="L147" i="6"/>
  <c r="M147" i="6"/>
  <c r="N147" i="6"/>
  <c r="O147" i="6"/>
  <c r="P147" i="6"/>
  <c r="H148" i="6"/>
  <c r="I148" i="6"/>
  <c r="J148" i="6"/>
  <c r="K148" i="6"/>
  <c r="L148" i="6"/>
  <c r="M148" i="6"/>
  <c r="N148" i="6"/>
  <c r="O148" i="6"/>
  <c r="P148" i="6"/>
  <c r="H150" i="6"/>
  <c r="I150" i="6"/>
  <c r="J150" i="6"/>
  <c r="K150" i="6"/>
  <c r="L150" i="6"/>
  <c r="M150" i="6"/>
  <c r="N150" i="6"/>
  <c r="O150" i="6"/>
  <c r="P150" i="6"/>
  <c r="H151" i="6"/>
  <c r="I151" i="6"/>
  <c r="J151" i="6"/>
  <c r="K151" i="6"/>
  <c r="L151" i="6"/>
  <c r="M151" i="6"/>
  <c r="N151" i="6"/>
  <c r="O151" i="6"/>
  <c r="P151" i="6"/>
  <c r="H152" i="6"/>
  <c r="I152" i="6"/>
  <c r="J152" i="6"/>
  <c r="K152" i="6"/>
  <c r="L152" i="6"/>
  <c r="M152" i="6"/>
  <c r="N152" i="6"/>
  <c r="O152" i="6"/>
  <c r="P152" i="6"/>
  <c r="H153" i="6"/>
  <c r="I153" i="6"/>
  <c r="J153" i="6"/>
  <c r="K153" i="6"/>
  <c r="L153" i="6"/>
  <c r="M153" i="6"/>
  <c r="N153" i="6"/>
  <c r="O153" i="6"/>
  <c r="P153" i="6"/>
  <c r="H155" i="6"/>
  <c r="I155" i="6"/>
  <c r="J155" i="6"/>
  <c r="K155" i="6"/>
  <c r="L155" i="6"/>
  <c r="M155" i="6"/>
  <c r="N155" i="6"/>
  <c r="O155" i="6"/>
  <c r="P155" i="6"/>
  <c r="H156" i="6"/>
  <c r="I156" i="6"/>
  <c r="J156" i="6"/>
  <c r="K156" i="6"/>
  <c r="L156" i="6"/>
  <c r="M156" i="6"/>
  <c r="N156" i="6"/>
  <c r="O156" i="6"/>
  <c r="P156" i="6"/>
  <c r="H157" i="6"/>
  <c r="I157" i="6"/>
  <c r="J157" i="6"/>
  <c r="K157" i="6"/>
  <c r="L157" i="6"/>
  <c r="M157" i="6"/>
  <c r="N157" i="6"/>
  <c r="O157" i="6"/>
  <c r="P157" i="6"/>
  <c r="H158" i="6"/>
  <c r="I158" i="6"/>
  <c r="J158" i="6"/>
  <c r="K158" i="6"/>
  <c r="L158" i="6"/>
  <c r="M158" i="6"/>
  <c r="N158" i="6"/>
  <c r="O158" i="6"/>
  <c r="P158" i="6"/>
  <c r="H160" i="6"/>
  <c r="I160" i="6"/>
  <c r="J160" i="6"/>
  <c r="K160" i="6"/>
  <c r="L160" i="6"/>
  <c r="M160" i="6"/>
  <c r="N160" i="6"/>
  <c r="O160" i="6"/>
  <c r="P160" i="6"/>
  <c r="H161" i="6"/>
  <c r="I161" i="6"/>
  <c r="J161" i="6"/>
  <c r="K161" i="6"/>
  <c r="L161" i="6"/>
  <c r="M161" i="6"/>
  <c r="N161" i="6"/>
  <c r="O161" i="6"/>
  <c r="P161" i="6"/>
  <c r="C135" i="6"/>
  <c r="E133" i="6"/>
  <c r="D133" i="6"/>
  <c r="C133" i="6"/>
  <c r="B133" i="6"/>
  <c r="A133" i="6"/>
  <c r="E132" i="6"/>
  <c r="D132" i="6"/>
  <c r="C132" i="6"/>
  <c r="B132" i="6"/>
  <c r="A132" i="6"/>
  <c r="E131" i="6"/>
  <c r="D131" i="6"/>
  <c r="C131" i="6"/>
  <c r="B131" i="6"/>
  <c r="A131" i="6"/>
  <c r="E130" i="6"/>
  <c r="D130" i="6"/>
  <c r="C130" i="6"/>
  <c r="B130" i="6"/>
  <c r="A130" i="6"/>
  <c r="E129" i="6"/>
  <c r="D129" i="6"/>
  <c r="C129" i="6"/>
  <c r="B129" i="6"/>
  <c r="A129" i="6"/>
  <c r="E128" i="6"/>
  <c r="D128" i="6"/>
  <c r="C128" i="6"/>
  <c r="B128" i="6"/>
  <c r="A128" i="6"/>
  <c r="E127" i="6"/>
  <c r="D127" i="6"/>
  <c r="C127" i="6"/>
  <c r="B127" i="6"/>
  <c r="A127" i="6"/>
  <c r="E126" i="6"/>
  <c r="D126" i="6"/>
  <c r="C126" i="6"/>
  <c r="B126" i="6"/>
  <c r="A126" i="6"/>
  <c r="E125" i="6"/>
  <c r="D125" i="6"/>
  <c r="C125" i="6"/>
  <c r="B125" i="6"/>
  <c r="A125" i="6"/>
  <c r="E124" i="6"/>
  <c r="D124" i="6"/>
  <c r="C124" i="6"/>
  <c r="B124" i="6"/>
  <c r="A124" i="6"/>
  <c r="E123" i="6"/>
  <c r="D123" i="6"/>
  <c r="C123" i="6"/>
  <c r="B123" i="6"/>
  <c r="A123" i="6"/>
  <c r="E122" i="6"/>
  <c r="D122" i="6"/>
  <c r="C122" i="6"/>
  <c r="B122" i="6"/>
  <c r="A122" i="6"/>
  <c r="C120" i="6"/>
  <c r="K118" i="6"/>
  <c r="J118" i="6"/>
  <c r="I118" i="6"/>
  <c r="F118" i="6"/>
  <c r="H118" i="6"/>
  <c r="E118" i="6"/>
  <c r="G118" i="6"/>
  <c r="D118" i="6"/>
  <c r="C118" i="6"/>
  <c r="B118" i="6"/>
  <c r="A118" i="6"/>
  <c r="K117" i="6"/>
  <c r="J117" i="6"/>
  <c r="I117" i="6"/>
  <c r="F117" i="6"/>
  <c r="H117" i="6"/>
  <c r="E117" i="6"/>
  <c r="G117" i="6"/>
  <c r="D117" i="6"/>
  <c r="C117" i="6"/>
  <c r="B117" i="6"/>
  <c r="A117" i="6"/>
  <c r="K116" i="6"/>
  <c r="J116" i="6"/>
  <c r="I116" i="6"/>
  <c r="F116" i="6"/>
  <c r="H116" i="6"/>
  <c r="E116" i="6"/>
  <c r="G116" i="6"/>
  <c r="D116" i="6"/>
  <c r="C116" i="6"/>
  <c r="B116" i="6"/>
  <c r="A116" i="6"/>
  <c r="K115" i="6"/>
  <c r="J115" i="6"/>
  <c r="I115" i="6"/>
  <c r="F115" i="6"/>
  <c r="H115" i="6"/>
  <c r="E115" i="6"/>
  <c r="G115" i="6"/>
  <c r="D115" i="6"/>
  <c r="C115" i="6"/>
  <c r="B115" i="6"/>
  <c r="A115" i="6"/>
  <c r="K114" i="6"/>
  <c r="J114" i="6"/>
  <c r="I114" i="6"/>
  <c r="F114" i="6"/>
  <c r="H114" i="6"/>
  <c r="E114" i="6"/>
  <c r="G114" i="6"/>
  <c r="D114" i="6"/>
  <c r="C114" i="6"/>
  <c r="B114" i="6"/>
  <c r="A114" i="6"/>
  <c r="K113" i="6"/>
  <c r="J113" i="6"/>
  <c r="I113" i="6"/>
  <c r="F113" i="6"/>
  <c r="H113" i="6"/>
  <c r="E113" i="6"/>
  <c r="G113" i="6"/>
  <c r="D113" i="6"/>
  <c r="C113" i="6"/>
  <c r="B113" i="6"/>
  <c r="A113" i="6"/>
  <c r="K112" i="6"/>
  <c r="J112" i="6"/>
  <c r="I112" i="6"/>
  <c r="F112" i="6"/>
  <c r="H112" i="6"/>
  <c r="E112" i="6"/>
  <c r="G112" i="6"/>
  <c r="D112" i="6"/>
  <c r="C112" i="6"/>
  <c r="B112" i="6"/>
  <c r="A112" i="6"/>
  <c r="K111" i="6"/>
  <c r="J111" i="6"/>
  <c r="I111" i="6"/>
  <c r="F111" i="6"/>
  <c r="H111" i="6"/>
  <c r="E111" i="6"/>
  <c r="G111" i="6"/>
  <c r="D111" i="6"/>
  <c r="C111" i="6"/>
  <c r="B111" i="6"/>
  <c r="A111" i="6"/>
  <c r="C109" i="6"/>
  <c r="K107" i="6"/>
  <c r="J107" i="6"/>
  <c r="I107" i="6"/>
  <c r="F107" i="6"/>
  <c r="H107" i="6"/>
  <c r="E107" i="6"/>
  <c r="G107" i="6"/>
  <c r="D107" i="6"/>
  <c r="B107" i="6"/>
  <c r="K106" i="6" s="1"/>
  <c r="A107" i="6"/>
  <c r="J106" i="6"/>
  <c r="I106" i="6"/>
  <c r="C106" i="6" s="1"/>
  <c r="F106" i="6"/>
  <c r="H106" i="6"/>
  <c r="E106" i="6"/>
  <c r="G106" i="6"/>
  <c r="D106" i="6"/>
  <c r="B106" i="6"/>
  <c r="K105" i="6" s="1"/>
  <c r="A106" i="6"/>
  <c r="J105" i="6"/>
  <c r="I105" i="6"/>
  <c r="F105" i="6"/>
  <c r="H105" i="6"/>
  <c r="E105" i="6"/>
  <c r="G105" i="6"/>
  <c r="D105" i="6"/>
  <c r="C105" i="6" s="1"/>
  <c r="B105" i="6"/>
  <c r="A105" i="6"/>
  <c r="K104" i="6"/>
  <c r="J104" i="6"/>
  <c r="I104" i="6"/>
  <c r="F104" i="6"/>
  <c r="H104" i="6"/>
  <c r="E104" i="6"/>
  <c r="C104" i="6" s="1"/>
  <c r="G104" i="6"/>
  <c r="D104" i="6"/>
  <c r="B104" i="6"/>
  <c r="A104" i="6"/>
  <c r="J103" i="6"/>
  <c r="I103" i="6"/>
  <c r="F103" i="6"/>
  <c r="H103" i="6"/>
  <c r="E103" i="6"/>
  <c r="G103" i="6"/>
  <c r="D103" i="6"/>
  <c r="B103" i="6"/>
  <c r="A103" i="6"/>
  <c r="J102" i="6"/>
  <c r="I102" i="6"/>
  <c r="F102" i="6"/>
  <c r="H102" i="6"/>
  <c r="E102" i="6"/>
  <c r="G102" i="6"/>
  <c r="C102" i="6" s="1"/>
  <c r="D102" i="6"/>
  <c r="B102" i="6"/>
  <c r="A102" i="6"/>
  <c r="J101" i="6"/>
  <c r="I101" i="6"/>
  <c r="F101" i="6"/>
  <c r="H101" i="6"/>
  <c r="E101" i="6"/>
  <c r="G101" i="6"/>
  <c r="D101" i="6"/>
  <c r="C101" i="6" s="1"/>
  <c r="B101" i="6"/>
  <c r="A101" i="6"/>
  <c r="J100" i="6"/>
  <c r="I100" i="6"/>
  <c r="F100" i="6"/>
  <c r="H100" i="6"/>
  <c r="E100" i="6"/>
  <c r="G100" i="6"/>
  <c r="D100" i="6"/>
  <c r="B100" i="6"/>
  <c r="A100" i="6"/>
  <c r="C98" i="6"/>
  <c r="C96" i="6"/>
  <c r="F90" i="6"/>
  <c r="P90" i="6"/>
  <c r="P91" i="6"/>
  <c r="P92" i="6"/>
  <c r="P94" i="6"/>
  <c r="P95" i="6"/>
  <c r="O90" i="6"/>
  <c r="O93" i="6"/>
  <c r="N90" i="6"/>
  <c r="N93" i="6"/>
  <c r="M91" i="6"/>
  <c r="M92" i="6"/>
  <c r="M93" i="6"/>
  <c r="M94" i="6"/>
  <c r="M95" i="6"/>
  <c r="L91" i="6"/>
  <c r="L92" i="6"/>
  <c r="L93" i="6"/>
  <c r="L94" i="6"/>
  <c r="L95" i="6"/>
  <c r="J90" i="6"/>
  <c r="L90" i="6" s="1"/>
  <c r="Q90" i="6"/>
  <c r="Q91" i="6"/>
  <c r="Q92" i="6"/>
  <c r="Q94" i="6"/>
  <c r="Q95" i="6"/>
  <c r="H90" i="6"/>
  <c r="G90" i="6"/>
  <c r="K90" i="6" s="1"/>
  <c r="M90" i="6" s="1"/>
  <c r="D90" i="6"/>
  <c r="D91" i="6"/>
  <c r="D92" i="6"/>
  <c r="D93" i="6"/>
  <c r="D94" i="6"/>
  <c r="D95" i="6"/>
  <c r="C90" i="6"/>
  <c r="C91" i="6"/>
  <c r="C92" i="6"/>
  <c r="C93" i="6"/>
  <c r="C94" i="6"/>
  <c r="C95" i="6"/>
  <c r="T96" i="6"/>
  <c r="S96" i="6"/>
  <c r="B96" i="6"/>
  <c r="A96" i="6"/>
  <c r="T95" i="6"/>
  <c r="S95" i="6"/>
  <c r="B95" i="6"/>
  <c r="A95" i="6"/>
  <c r="T94" i="6"/>
  <c r="S94" i="6"/>
  <c r="B94" i="6"/>
  <c r="A94" i="6"/>
  <c r="T93" i="6"/>
  <c r="S93" i="6"/>
  <c r="B93" i="6"/>
  <c r="A93" i="6"/>
  <c r="T92" i="6"/>
  <c r="S92" i="6"/>
  <c r="B92" i="6"/>
  <c r="A92" i="6"/>
  <c r="T91" i="6"/>
  <c r="S91" i="6"/>
  <c r="E91" i="6"/>
  <c r="F91" i="6" s="1"/>
  <c r="B91" i="6"/>
  <c r="A91" i="6"/>
  <c r="T90" i="6"/>
  <c r="S90" i="6"/>
  <c r="E90" i="6"/>
  <c r="B90" i="6"/>
  <c r="A90" i="6"/>
  <c r="C88" i="6"/>
  <c r="G86" i="6"/>
  <c r="F86" i="6"/>
  <c r="E86" i="6"/>
  <c r="D86" i="6"/>
  <c r="C86" i="6"/>
  <c r="B86" i="6"/>
  <c r="A86" i="6"/>
  <c r="G85" i="6"/>
  <c r="F85" i="6"/>
  <c r="E85" i="6"/>
  <c r="D85" i="6"/>
  <c r="C85" i="6"/>
  <c r="B85" i="6"/>
  <c r="A85" i="6"/>
  <c r="G84" i="6"/>
  <c r="F84" i="6"/>
  <c r="E84" i="6"/>
  <c r="D84" i="6"/>
  <c r="C84" i="6"/>
  <c r="B84" i="6"/>
  <c r="A84" i="6"/>
  <c r="G83" i="6"/>
  <c r="F83" i="6"/>
  <c r="E83" i="6"/>
  <c r="D83" i="6"/>
  <c r="C83" i="6"/>
  <c r="B83" i="6"/>
  <c r="A83" i="6"/>
  <c r="G82" i="6"/>
  <c r="F82" i="6"/>
  <c r="E82" i="6"/>
  <c r="D82" i="6"/>
  <c r="C82" i="6"/>
  <c r="B82" i="6"/>
  <c r="A82" i="6"/>
  <c r="G81" i="6"/>
  <c r="F81" i="6"/>
  <c r="E81" i="6"/>
  <c r="D81" i="6"/>
  <c r="C81" i="6"/>
  <c r="B81" i="6"/>
  <c r="A81" i="6"/>
  <c r="G80" i="6"/>
  <c r="F80" i="6"/>
  <c r="E80" i="6"/>
  <c r="D80" i="6"/>
  <c r="C80" i="6"/>
  <c r="B80" i="6"/>
  <c r="A80" i="6"/>
  <c r="G79" i="6"/>
  <c r="F79" i="6"/>
  <c r="E79" i="6"/>
  <c r="D79" i="6"/>
  <c r="C79" i="6"/>
  <c r="B79" i="6"/>
  <c r="A79" i="6"/>
  <c r="C77" i="6"/>
  <c r="E75" i="6"/>
  <c r="D75" i="6"/>
  <c r="C75" i="6"/>
  <c r="B75" i="6"/>
  <c r="A75" i="6"/>
  <c r="E74" i="6"/>
  <c r="D74" i="6"/>
  <c r="C74" i="6"/>
  <c r="B74" i="6"/>
  <c r="A74" i="6"/>
  <c r="E73" i="6"/>
  <c r="D73" i="6"/>
  <c r="C73" i="6"/>
  <c r="B73" i="6"/>
  <c r="A73" i="6"/>
  <c r="E72" i="6"/>
  <c r="D72" i="6"/>
  <c r="C72" i="6"/>
  <c r="B72" i="6"/>
  <c r="A72" i="6"/>
  <c r="E71" i="6"/>
  <c r="D71" i="6"/>
  <c r="C71" i="6"/>
  <c r="B71" i="6"/>
  <c r="A71" i="6"/>
  <c r="E70" i="6"/>
  <c r="D70" i="6"/>
  <c r="C70" i="6"/>
  <c r="B70" i="6"/>
  <c r="A70" i="6"/>
  <c r="E69" i="6"/>
  <c r="D69" i="6"/>
  <c r="C69" i="6"/>
  <c r="B69" i="6"/>
  <c r="A69" i="6"/>
  <c r="E68" i="6"/>
  <c r="D68" i="6"/>
  <c r="C68" i="6"/>
  <c r="B68" i="6"/>
  <c r="A68" i="6"/>
  <c r="C66" i="6"/>
  <c r="E64" i="6"/>
  <c r="D64" i="6"/>
  <c r="C64" i="6"/>
  <c r="B64" i="6"/>
  <c r="E63" i="6" s="1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C58" i="6"/>
  <c r="C56" i="6"/>
  <c r="F50" i="6"/>
  <c r="P50" i="6"/>
  <c r="P51" i="6"/>
  <c r="P52" i="6"/>
  <c r="P54" i="6"/>
  <c r="P55" i="6"/>
  <c r="O50" i="6"/>
  <c r="O53" i="6"/>
  <c r="N50" i="6"/>
  <c r="N53" i="6"/>
  <c r="M51" i="6"/>
  <c r="M52" i="6"/>
  <c r="M53" i="6"/>
  <c r="M54" i="6"/>
  <c r="M55" i="6"/>
  <c r="L51" i="6"/>
  <c r="L52" i="6"/>
  <c r="L53" i="6"/>
  <c r="L54" i="6"/>
  <c r="L55" i="6"/>
  <c r="J50" i="6"/>
  <c r="L50" i="6" s="1"/>
  <c r="Q50" i="6"/>
  <c r="Q51" i="6"/>
  <c r="Q52" i="6"/>
  <c r="Q54" i="6"/>
  <c r="Q55" i="6"/>
  <c r="H50" i="6"/>
  <c r="G50" i="6"/>
  <c r="K50" i="6" s="1"/>
  <c r="M50" i="6" s="1"/>
  <c r="D50" i="6"/>
  <c r="D51" i="6"/>
  <c r="D52" i="6"/>
  <c r="D53" i="6"/>
  <c r="D54" i="6"/>
  <c r="D55" i="6"/>
  <c r="C50" i="6"/>
  <c r="C51" i="6"/>
  <c r="C52" i="6"/>
  <c r="C53" i="6"/>
  <c r="C54" i="6"/>
  <c r="C55" i="6"/>
  <c r="T56" i="6"/>
  <c r="S56" i="6"/>
  <c r="B56" i="6"/>
  <c r="A56" i="6"/>
  <c r="T55" i="6"/>
  <c r="S55" i="6"/>
  <c r="B55" i="6"/>
  <c r="A55" i="6"/>
  <c r="T54" i="6"/>
  <c r="S54" i="6"/>
  <c r="B54" i="6"/>
  <c r="A54" i="6"/>
  <c r="T53" i="6"/>
  <c r="S53" i="6"/>
  <c r="B53" i="6"/>
  <c r="A53" i="6"/>
  <c r="T52" i="6"/>
  <c r="S52" i="6"/>
  <c r="B52" i="6"/>
  <c r="A52" i="6"/>
  <c r="T51" i="6"/>
  <c r="S51" i="6"/>
  <c r="E51" i="6"/>
  <c r="F51" i="6" s="1"/>
  <c r="B51" i="6"/>
  <c r="A51" i="6"/>
  <c r="T50" i="6"/>
  <c r="S50" i="6"/>
  <c r="E50" i="6"/>
  <c r="B50" i="6"/>
  <c r="A50" i="6"/>
  <c r="C48" i="6"/>
  <c r="E46" i="6"/>
  <c r="D46" i="6"/>
  <c r="C46" i="6"/>
  <c r="B46" i="6"/>
  <c r="A46" i="6"/>
  <c r="E45" i="6"/>
  <c r="D45" i="6"/>
  <c r="C45" i="6"/>
  <c r="B45" i="6"/>
  <c r="A45" i="6"/>
  <c r="E44" i="6"/>
  <c r="D44" i="6"/>
  <c r="C44" i="6"/>
  <c r="B44" i="6"/>
  <c r="A44" i="6"/>
  <c r="E43" i="6"/>
  <c r="D43" i="6"/>
  <c r="C43" i="6"/>
  <c r="B43" i="6"/>
  <c r="A43" i="6"/>
  <c r="E42" i="6"/>
  <c r="D42" i="6"/>
  <c r="C42" i="6"/>
  <c r="B42" i="6"/>
  <c r="A42" i="6"/>
  <c r="E41" i="6"/>
  <c r="D41" i="6"/>
  <c r="C41" i="6"/>
  <c r="B41" i="6"/>
  <c r="A41" i="6"/>
  <c r="E40" i="6"/>
  <c r="D40" i="6"/>
  <c r="C40" i="6"/>
  <c r="B40" i="6"/>
  <c r="A40" i="6"/>
  <c r="E39" i="6"/>
  <c r="D39" i="6"/>
  <c r="C39" i="6"/>
  <c r="B39" i="6"/>
  <c r="A39" i="6"/>
  <c r="E38" i="6"/>
  <c r="D38" i="6"/>
  <c r="C38" i="6"/>
  <c r="B38" i="6"/>
  <c r="A38" i="6"/>
  <c r="E37" i="6"/>
  <c r="D37" i="6"/>
  <c r="C37" i="6"/>
  <c r="B37" i="6"/>
  <c r="A37" i="6"/>
  <c r="E36" i="6"/>
  <c r="D36" i="6"/>
  <c r="C36" i="6"/>
  <c r="B36" i="6"/>
  <c r="A36" i="6"/>
  <c r="E35" i="6"/>
  <c r="D35" i="6"/>
  <c r="C35" i="6"/>
  <c r="B35" i="6"/>
  <c r="A35" i="6"/>
  <c r="C33" i="6"/>
  <c r="G31" i="6"/>
  <c r="F31" i="6"/>
  <c r="E31" i="6"/>
  <c r="D31" i="6"/>
  <c r="C31" i="6"/>
  <c r="B31" i="6"/>
  <c r="A31" i="6"/>
  <c r="G30" i="6"/>
  <c r="F30" i="6"/>
  <c r="E30" i="6"/>
  <c r="D30" i="6"/>
  <c r="C30" i="6"/>
  <c r="B30" i="6"/>
  <c r="A30" i="6"/>
  <c r="G29" i="6"/>
  <c r="F29" i="6"/>
  <c r="E29" i="6"/>
  <c r="D29" i="6"/>
  <c r="C29" i="6"/>
  <c r="B29" i="6"/>
  <c r="A29" i="6"/>
  <c r="G28" i="6"/>
  <c r="F28" i="6"/>
  <c r="E28" i="6"/>
  <c r="D28" i="6"/>
  <c r="C28" i="6"/>
  <c r="B28" i="6"/>
  <c r="A28" i="6"/>
  <c r="G27" i="6"/>
  <c r="F27" i="6"/>
  <c r="E27" i="6"/>
  <c r="D27" i="6"/>
  <c r="C27" i="6"/>
  <c r="B27" i="6"/>
  <c r="A27" i="6"/>
  <c r="C25" i="6"/>
  <c r="E23" i="6"/>
  <c r="D23" i="6"/>
  <c r="C23" i="6"/>
  <c r="B23" i="6"/>
  <c r="A23" i="6"/>
  <c r="E22" i="6"/>
  <c r="D22" i="6"/>
  <c r="C22" i="6"/>
  <c r="B22" i="6"/>
  <c r="A22" i="6"/>
  <c r="E21" i="6"/>
  <c r="D21" i="6"/>
  <c r="C21" i="6"/>
  <c r="B21" i="6"/>
  <c r="A21" i="6"/>
  <c r="E20" i="6"/>
  <c r="D20" i="6"/>
  <c r="C20" i="6"/>
  <c r="B20" i="6"/>
  <c r="A20" i="6"/>
  <c r="E19" i="6"/>
  <c r="D19" i="6"/>
  <c r="C19" i="6"/>
  <c r="B19" i="6"/>
  <c r="A19" i="6"/>
  <c r="E18" i="6"/>
  <c r="D18" i="6"/>
  <c r="C18" i="6"/>
  <c r="B18" i="6"/>
  <c r="A18" i="6"/>
  <c r="E17" i="6"/>
  <c r="D17" i="6"/>
  <c r="C17" i="6"/>
  <c r="B17" i="6"/>
  <c r="A17" i="6"/>
  <c r="E16" i="6"/>
  <c r="D16" i="6"/>
  <c r="C16" i="6"/>
  <c r="B16" i="6"/>
  <c r="A16" i="6"/>
  <c r="C14" i="6"/>
  <c r="E12" i="6"/>
  <c r="D12" i="6"/>
  <c r="C12" i="6"/>
  <c r="B12" i="6"/>
  <c r="A12" i="6"/>
  <c r="E11" i="6"/>
  <c r="D11" i="6"/>
  <c r="C11" i="6"/>
  <c r="B11" i="6"/>
  <c r="E5" i="6" s="1"/>
  <c r="A11" i="6"/>
  <c r="D10" i="6"/>
  <c r="C10" i="6"/>
  <c r="B10" i="6"/>
  <c r="E9" i="6" s="1"/>
  <c r="A10" i="6"/>
  <c r="D9" i="6"/>
  <c r="C9" i="6"/>
  <c r="B9" i="6"/>
  <c r="A9" i="6"/>
  <c r="E8" i="6"/>
  <c r="D8" i="6"/>
  <c r="C8" i="6"/>
  <c r="B8" i="6"/>
  <c r="A8" i="6"/>
  <c r="E7" i="6"/>
  <c r="D7" i="6"/>
  <c r="C7" i="6"/>
  <c r="B7" i="6"/>
  <c r="A7" i="6"/>
  <c r="D6" i="6"/>
  <c r="C6" i="6"/>
  <c r="B6" i="6"/>
  <c r="A6" i="6"/>
  <c r="D5" i="6"/>
  <c r="C5" i="6"/>
  <c r="B5" i="6"/>
  <c r="A5" i="6"/>
  <c r="C3" i="6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E342" i="6" l="1"/>
  <c r="E341" i="6"/>
  <c r="C302" i="6"/>
  <c r="C301" i="6"/>
  <c r="F296" i="6"/>
  <c r="C296" i="6" s="1"/>
  <c r="C300" i="6"/>
  <c r="F295" i="6"/>
  <c r="C299" i="6"/>
  <c r="C298" i="6"/>
  <c r="G297" i="6"/>
  <c r="G296" i="6"/>
  <c r="Q272" i="6"/>
  <c r="Q268" i="6"/>
  <c r="Q264" i="6"/>
  <c r="Q260" i="6"/>
  <c r="Q256" i="6"/>
  <c r="Q252" i="6"/>
  <c r="Q248" i="6"/>
  <c r="Q244" i="6"/>
  <c r="Q236" i="6"/>
  <c r="Q240" i="6"/>
  <c r="E237" i="6"/>
  <c r="I237" i="6"/>
  <c r="J237" i="6" s="1"/>
  <c r="I239" i="6"/>
  <c r="J239" i="6" s="1"/>
  <c r="G238" i="6"/>
  <c r="F238" i="6"/>
  <c r="I238" i="6"/>
  <c r="J238" i="6" s="1"/>
  <c r="I194" i="6"/>
  <c r="J194" i="6" s="1"/>
  <c r="F194" i="6"/>
  <c r="F195" i="6"/>
  <c r="I195" i="6"/>
  <c r="J195" i="6" s="1"/>
  <c r="I196" i="6"/>
  <c r="J196" i="6" s="1"/>
  <c r="G195" i="6"/>
  <c r="B187" i="6"/>
  <c r="M182" i="6"/>
  <c r="O182" i="6"/>
  <c r="B182" i="6"/>
  <c r="A173" i="6"/>
  <c r="A169" i="6"/>
  <c r="A175" i="6"/>
  <c r="A174" i="6"/>
  <c r="A176" i="6"/>
  <c r="A177" i="6"/>
  <c r="A178" i="6"/>
  <c r="B177" i="6" s="1"/>
  <c r="A168" i="6"/>
  <c r="M167" i="6" s="1"/>
  <c r="A170" i="6"/>
  <c r="A171" i="6"/>
  <c r="A172" i="6"/>
  <c r="A167" i="6"/>
  <c r="B144" i="6"/>
  <c r="O154" i="6"/>
  <c r="L149" i="6"/>
  <c r="B154" i="6"/>
  <c r="O149" i="6"/>
  <c r="M149" i="6"/>
  <c r="L144" i="6"/>
  <c r="M144" i="6"/>
  <c r="K139" i="6"/>
  <c r="O144" i="6"/>
  <c r="M139" i="6"/>
  <c r="O139" i="6"/>
  <c r="L139" i="6"/>
  <c r="C107" i="6"/>
  <c r="K102" i="6"/>
  <c r="K103" i="6"/>
  <c r="C103" i="6"/>
  <c r="K101" i="6"/>
  <c r="K100" i="6"/>
  <c r="C100" i="6"/>
  <c r="N96" i="6"/>
  <c r="D96" i="6"/>
  <c r="L96" i="6"/>
  <c r="R90" i="6"/>
  <c r="I90" i="6"/>
  <c r="E92" i="6"/>
  <c r="H91" i="6"/>
  <c r="G91" i="6"/>
  <c r="E62" i="6"/>
  <c r="E61" i="6"/>
  <c r="E60" i="6"/>
  <c r="D56" i="6"/>
  <c r="F56" i="6" s="1"/>
  <c r="L56" i="6"/>
  <c r="R50" i="6"/>
  <c r="I50" i="6"/>
  <c r="G51" i="6"/>
  <c r="H51" i="6"/>
  <c r="J51" i="6" s="1"/>
  <c r="N51" i="6" s="1"/>
  <c r="E52" i="6"/>
  <c r="E10" i="6"/>
  <c r="E6" i="6"/>
  <c r="G295" i="6" l="1"/>
  <c r="G293" i="6"/>
  <c r="F293" i="6"/>
  <c r="C295" i="6"/>
  <c r="L172" i="6"/>
  <c r="L177" i="6"/>
  <c r="O177" i="6"/>
  <c r="M177" i="6"/>
  <c r="K177" i="6"/>
  <c r="O167" i="6"/>
  <c r="B172" i="6"/>
  <c r="L167" i="6"/>
  <c r="K167" i="6"/>
  <c r="B167" i="6"/>
  <c r="K172" i="6"/>
  <c r="M172" i="6"/>
  <c r="O172" i="6"/>
  <c r="F96" i="6"/>
  <c r="M96" i="6"/>
  <c r="O96" i="6"/>
  <c r="R91" i="6"/>
  <c r="K91" i="6"/>
  <c r="O91" i="6" s="1"/>
  <c r="I91" i="6"/>
  <c r="J91" i="6"/>
  <c r="N91" i="6" s="1"/>
  <c r="F92" i="6"/>
  <c r="E93" i="6" s="1"/>
  <c r="F93" i="6" s="1"/>
  <c r="P93" i="6" s="1"/>
  <c r="G92" i="6"/>
  <c r="H92" i="6"/>
  <c r="J92" i="6" s="1"/>
  <c r="N92" i="6" s="1"/>
  <c r="M56" i="6"/>
  <c r="O56" i="6"/>
  <c r="N56" i="6"/>
  <c r="R51" i="6"/>
  <c r="K51" i="6"/>
  <c r="O51" i="6" s="1"/>
  <c r="I51" i="6"/>
  <c r="G52" i="6"/>
  <c r="F52" i="6"/>
  <c r="E53" i="6" s="1"/>
  <c r="F53" i="6" s="1"/>
  <c r="P53" i="6" s="1"/>
  <c r="R92" i="6" l="1"/>
  <c r="K92" i="6"/>
  <c r="O92" i="6" s="1"/>
  <c r="I92" i="6"/>
  <c r="H93" i="6"/>
  <c r="E94" i="6"/>
  <c r="G93" i="6"/>
  <c r="Q93" i="6"/>
  <c r="R93" i="6" s="1"/>
  <c r="R52" i="6"/>
  <c r="K52" i="6"/>
  <c r="O52" i="6" s="1"/>
  <c r="H52" i="6"/>
  <c r="J52" i="6" s="1"/>
  <c r="N52" i="6" s="1"/>
  <c r="H53" i="6"/>
  <c r="J53" i="6" s="1"/>
  <c r="E54" i="6"/>
  <c r="Q53" i="6"/>
  <c r="G53" i="6"/>
  <c r="K93" i="6" l="1"/>
  <c r="I93" i="6"/>
  <c r="J93" i="6"/>
  <c r="F94" i="6"/>
  <c r="E95" i="6" s="1"/>
  <c r="R53" i="6"/>
  <c r="K53" i="6"/>
  <c r="I53" i="6"/>
  <c r="I52" i="6"/>
  <c r="F54" i="6"/>
  <c r="E55" i="6" s="1"/>
  <c r="F95" i="6" l="1"/>
  <c r="E96" i="6" s="1"/>
  <c r="P96" i="6" s="1"/>
  <c r="G94" i="6"/>
  <c r="H94" i="6"/>
  <c r="J94" i="6" s="1"/>
  <c r="N94" i="6" s="1"/>
  <c r="F55" i="6"/>
  <c r="E56" i="6" s="1"/>
  <c r="P56" i="6" s="1"/>
  <c r="G54" i="6"/>
  <c r="H54" i="6"/>
  <c r="R94" i="6" l="1"/>
  <c r="K94" i="6"/>
  <c r="O94" i="6" s="1"/>
  <c r="I94" i="6"/>
  <c r="Q96" i="6"/>
  <c r="H96" i="6"/>
  <c r="G96" i="6"/>
  <c r="H95" i="6"/>
  <c r="G95" i="6"/>
  <c r="H55" i="6"/>
  <c r="J54" i="6"/>
  <c r="N54" i="6" s="1"/>
  <c r="R54" i="6"/>
  <c r="K54" i="6"/>
  <c r="O54" i="6" s="1"/>
  <c r="I54" i="6"/>
  <c r="H56" i="6"/>
  <c r="Q56" i="6"/>
  <c r="R56" i="6" s="1"/>
  <c r="G56" i="6"/>
  <c r="G55" i="6"/>
  <c r="R95" i="6" l="1"/>
  <c r="K95" i="6"/>
  <c r="O95" i="6" s="1"/>
  <c r="I95" i="6"/>
  <c r="J95" i="6"/>
  <c r="N95" i="6" s="1"/>
  <c r="I96" i="6"/>
  <c r="K96" i="6"/>
  <c r="J96" i="6"/>
  <c r="R96" i="6"/>
  <c r="R55" i="6"/>
  <c r="K55" i="6"/>
  <c r="O55" i="6" s="1"/>
  <c r="I55" i="6"/>
  <c r="I56" i="6"/>
  <c r="K56" i="6"/>
  <c r="J56" i="6"/>
  <c r="J55" i="6"/>
  <c r="N55" i="6" s="1"/>
</calcChain>
</file>

<file path=xl/sharedStrings.xml><?xml version="1.0" encoding="utf-8"?>
<sst xmlns="http://schemas.openxmlformats.org/spreadsheetml/2006/main" count="7226" uniqueCount="506">
  <si>
    <t>Loja</t>
  </si>
  <si>
    <t>Cidade</t>
  </si>
  <si>
    <t>Região</t>
  </si>
  <si>
    <t>Departamento</t>
  </si>
  <si>
    <t>Mês</t>
  </si>
  <si>
    <t>Vendas (R$)</t>
  </si>
  <si>
    <t>Custo (R$)</t>
  </si>
  <si>
    <t>Margem (R$)</t>
  </si>
  <si>
    <t>Unidades</t>
  </si>
  <si>
    <t>Ticket médio (R$)</t>
  </si>
  <si>
    <t>Vendas B2C (R$)</t>
  </si>
  <si>
    <t>Vendas B2B (R$)</t>
  </si>
  <si>
    <t>Aurora Centro</t>
  </si>
  <si>
    <t>Vila Aurora</t>
  </si>
  <si>
    <t>Sudeste</t>
  </si>
  <si>
    <t>Cimento e argamassa</t>
  </si>
  <si>
    <t>Pisos</t>
  </si>
  <si>
    <t>Tintas</t>
  </si>
  <si>
    <t>Hidráulica</t>
  </si>
  <si>
    <t>Elétrica</t>
  </si>
  <si>
    <t>Madeiras</t>
  </si>
  <si>
    <t>Ferramentas</t>
  </si>
  <si>
    <t>Ferragens</t>
  </si>
  <si>
    <t>Aurora Norte</t>
  </si>
  <si>
    <t>Porto Sereno</t>
  </si>
  <si>
    <t>Sul</t>
  </si>
  <si>
    <t>Serra Clara</t>
  </si>
  <si>
    <t>Lago Prateado</t>
  </si>
  <si>
    <t>Nordeste</t>
  </si>
  <si>
    <t>Monte Alvorada</t>
  </si>
  <si>
    <t>Campo Dourado</t>
  </si>
  <si>
    <t>Centro-Oeste</t>
  </si>
  <si>
    <t>Rio Turquesa</t>
  </si>
  <si>
    <t>Norte</t>
  </si>
  <si>
    <t>Vendas 2025 (R$ mil)</t>
  </si>
  <si>
    <t>Meta 2026 (R$ mil)</t>
  </si>
  <si>
    <t>Inauguração</t>
  </si>
  <si>
    <t>Obra</t>
  </si>
  <si>
    <t>Início</t>
  </si>
  <si>
    <t>Fim</t>
  </si>
  <si>
    <t>Plano</t>
  </si>
  <si>
    <t>Reforma da fachada (Aurora Centro)</t>
  </si>
  <si>
    <t>Reformas 2026</t>
  </si>
  <si>
    <t>Troca do telhado (Porto Sereno)</t>
  </si>
  <si>
    <t>Novo depósito (Serra Clara)</t>
  </si>
  <si>
    <t>Inauguração do depósito</t>
  </si>
  <si>
    <t>Projeto e licenças</t>
  </si>
  <si>
    <t>Nova loja Vale do Ipê</t>
  </si>
  <si>
    <t>Obra civil</t>
  </si>
  <si>
    <t>Instalações e acabamento</t>
  </si>
  <si>
    <t>Montagem e estoque</t>
  </si>
  <si>
    <t>« Voltar ao índice</t>
  </si>
  <si>
    <t>1) Vendas 2025 por departamento e canal (colunas empilhadas, totais e rótulos)</t>
  </si>
  <si>
    <t>O total de cada coluna fica acima dela e os rótulos dos segmentos acompanham as células. A tabela soma a planilha Dados (SOMASES): mude um valor em Dados e o gráfico muda junto.</t>
  </si>
  <si>
    <t>Como criar no ThinQQ: Inserir gráfico &gt; Colunas &gt; Colunas empilhadas (Totais e Rótulos já vêm ligados).  Valores: R$ mil.</t>
  </si>
  <si>
    <t>B2C</t>
  </si>
  <si>
    <t>B2B</t>
  </si>
  <si>
    <t>ThinQQ - planilha interna de cálculo. Não editar.</t>
  </si>
  <si>
    <t>6lcho3</t>
  </si>
  <si>
    <t>stacked</t>
  </si>
  <si>
    <t>Categoria</t>
  </si>
  <si>
    <t>Total</t>
  </si>
  <si>
    <t>TotalPos</t>
  </si>
  <si>
    <t>Pos</t>
  </si>
  <si>
    <t>VLine</t>
  </si>
  <si>
    <t>numfmt=int;palette=padrao;n=8;legend=right;gap=50;labels=1;totals=1;connectors=0</t>
  </si>
  <si>
    <t>2) Vendas por loja, 2024 x 2025 (colunas agrupadas, espaço muito largo e delta entre barras)</t>
  </si>
  <si>
    <t>O espaço entre os grupos de colunas foi alargado para 120% (as agrupadas nascem com 80%). A seta no alto é um delta: ele compara duas barras quaisquer, aqui a de 2024 da primeira loja com a de 2025 da última (séries e lojas diferentes), e mostra a diferença em valor e em %. Os dois cliques nas barras escolhem as duas pontas; o delta é desenhado pelo ThinQQ e, sem ele instalado, fica como está se os números mudarem.</t>
  </si>
  <si>
    <t>Como criar no ThinQQ: Inserir gráfico &gt; Colunas &gt; Colunas agrupadas; Gráfico selecionado &gt; Espaço &gt; Muito largo (120%); Setas &gt; Delta clicando nas barras (clique na 1.ª e na última barra).  Valores: R$ milhões.</t>
  </si>
  <si>
    <t>24phpw</t>
  </si>
  <si>
    <t>clustered</t>
  </si>
  <si>
    <t>numfmt=dec1;palette=padrao;n=8;legend=right;gap=120;labels=1;totals=0;connectors=0</t>
  </si>
  <si>
    <t>3) Mix de canais B2C/B2B por região (colunas 100% e indicador 100%)</t>
  </si>
  <si>
    <t>Cada coluna é a participação de cada canal nas vendas da região; o indicador "100%" marca o topo comum das colunas.</t>
  </si>
  <si>
    <t>Como criar no ThinQQ: Inserir gráfico &gt; Colunas &gt; Colunas 100% (o Indicador 100% já vem ligado; Mais opções &gt; Indicador 100% liga e desliga).  Valores: R$ mil.</t>
  </si>
  <si>
    <t>dqi1le</t>
  </si>
  <si>
    <t>stacked100</t>
  </si>
  <si>
    <t>Part1</t>
  </si>
  <si>
    <t>Part2</t>
  </si>
  <si>
    <t>numfmt=int;palette=padrao;n=5;legend=right;gap=50;labels=1;totals=1;connectors=0</t>
  </si>
  <si>
    <t>numfmt=int;palette=padrao;n=5;legend=right;gap=50;labels=1;totals=1;connectors=0;ind100=1</t>
  </si>
  <si>
    <t>4) Vendas e custo mensais da loja Aurora Centro (nome no fim da linha)</t>
  </si>
  <si>
    <t>Em vez da legenda, o nome de cada série aparece ao lado do último ponto da linha.</t>
  </si>
  <si>
    <t>Como criar no ThinQQ: Inserir gráfico &gt; Linha e área &gt; Linha; Legenda &gt; Nome no fim da linha.  Valores: R$ mil.</t>
  </si>
  <si>
    <t>Vendas</t>
  </si>
  <si>
    <t>Custo</t>
  </si>
  <si>
    <t>w0j8na</t>
  </si>
  <si>
    <t>line</t>
  </si>
  <si>
    <t>numfmt=int;palette=padrao;n=12;legend=lineend;labels=1;totals=0;connectors=0</t>
  </si>
  <si>
    <t>5) Da receita ao lucro em 2025 (cascata com conectores e seta de diferença)</t>
  </si>
  <si>
    <t>As linhas finas ligam o topo de cada degrau ao próximo. Na tabela, a letra "e" pede uma coluna de total calculada (EBITDA e Lucro). A seta à direita mostra a diferença entre o total da primeira barra (Receita) e o da última (Lucro), em valor e em %. A seta é desenhada pelo ThinQQ: sem ele instalado, fica como está se os números mudarem.</t>
  </si>
  <si>
    <t>Como criar no ThinQQ: Inserir gráfico &gt; Cascata &gt; Cascata (colunas) (Conectores já vêm ligados); Setas &gt; Seta diferença.  Valores: R$ mil.</t>
  </si>
  <si>
    <t>Etapa</t>
  </si>
  <si>
    <t>R$ mil</t>
  </si>
  <si>
    <t>Receita bruta</t>
  </si>
  <si>
    <t>Custo das mercadorias</t>
  </si>
  <si>
    <t>Despesas operacionais</t>
  </si>
  <si>
    <t>EBITDA</t>
  </si>
  <si>
    <t>e</t>
  </si>
  <si>
    <t>Depreciação e juros</t>
  </si>
  <si>
    <t>Impostos</t>
  </si>
  <si>
    <t>Lucro líquido</t>
  </si>
  <si>
    <t>d37c54</t>
  </si>
  <si>
    <t>waterfall</t>
  </si>
  <si>
    <t>Cat</t>
  </si>
  <si>
    <t>Src</t>
  </si>
  <si>
    <t>IsTotal</t>
  </si>
  <si>
    <t>Delta</t>
  </si>
  <si>
    <t>Start</t>
  </si>
  <si>
    <t>End</t>
  </si>
  <si>
    <t>Lo</t>
  </si>
  <si>
    <t>Hi</t>
  </si>
  <si>
    <t>Base</t>
  </si>
  <si>
    <t>PiecePos</t>
  </si>
  <si>
    <t>PieceNeg</t>
  </si>
  <si>
    <t>UpPos</t>
  </si>
  <si>
    <t>UpNeg</t>
  </si>
  <si>
    <t>DownPos</t>
  </si>
  <si>
    <t>DownNeg</t>
  </si>
  <si>
    <t>LabelVal</t>
  </si>
  <si>
    <t>LabelPos</t>
  </si>
  <si>
    <t>BD</t>
  </si>
  <si>
    <t>numfmt=int;palette=padrao;gap=50;totals=0;n=7;labels=1;connectors=1</t>
  </si>
  <si>
    <t>6) Vendas 2025 por região e canal (barras empilhadas e seta de diferença)</t>
  </si>
  <si>
    <t>A seta mostra a diferença entre o total da primeira e o da última região da tabela.</t>
  </si>
  <si>
    <t>Como criar no ThinQQ: Inserir gráfico &gt; Barras &gt; Barras empilhadas; Setas &gt; Seta diferença.  Valores: R$ mil.</t>
  </si>
  <si>
    <t>9013ju</t>
  </si>
  <si>
    <t>barstacked</t>
  </si>
  <si>
    <t>7) Vendas por loja em R$ (barras agrupadas, rótulos em milhares)</t>
  </si>
  <si>
    <t>A tabela está em reais; o formato "Milhares" mostra os rótulos em R$ mil sem mudar os números da tabela.</t>
  </si>
  <si>
    <t>Como criar no ThinQQ: Inserir gráfico &gt; Barras &gt; Barras agrupadas; Formato &gt; Milhares (1.234 → 1).  Valores: R$ na tabela, rótulos em R$ mil.</t>
  </si>
  <si>
    <t>t3w2hb</t>
  </si>
  <si>
    <t>barclustered</t>
  </si>
  <si>
    <t>numfmt=mil;palette=padrao;n=8;legend=right;gap=80;labels=1;totals=0;connectors=0</t>
  </si>
  <si>
    <t>8) Mix de canais B2C/B2B por loja (barras 100%)</t>
  </si>
  <si>
    <t>Participação de cada canal nas vendas de 2025 de cada loja.</t>
  </si>
  <si>
    <t>Como criar no ThinQQ: Inserir gráfico &gt; Barras &gt; Barras 100%.  Valores: R$ mil.</t>
  </si>
  <si>
    <t>pfbcck</t>
  </si>
  <si>
    <t>barstacked100</t>
  </si>
  <si>
    <t>numfmt=int;palette=padrao;n=8;legend=right;gap=50;labels=1;totals=1;connectors=0;ind100=1</t>
  </si>
  <si>
    <t>9) Da receita ao lucro em 2025 (cascata horizontal)</t>
  </si>
  <si>
    <t>A mesma ponte do exemplo 5, na horizontal: os nomes das etapas ficam legíveis à esquerda.</t>
  </si>
  <si>
    <t>Como criar no ThinQQ: Inserir gráfico &gt; Cascata &gt; Cascata (barras).  Valores: R$ mil.</t>
  </si>
  <si>
    <t>zf3g17</t>
  </si>
  <si>
    <t>barwaterfall</t>
  </si>
  <si>
    <t>10) Vendas trimestrais dos três maiores departamentos (área empilhada e linha de valor)</t>
  </si>
  <si>
    <t>A linha tracejada marca a média dos totais trimestrais, com o valor no rótulo à direita.</t>
  </si>
  <si>
    <t>Como criar no ThinQQ: Inserir gráfico &gt; Linha e área &gt; Área empilhada; Mais opções &gt; Linha de valor (média).  Valores: R$ mil.</t>
  </si>
  <si>
    <t>Trimestre</t>
  </si>
  <si>
    <t>T1/24</t>
  </si>
  <si>
    <t>T2/24</t>
  </si>
  <si>
    <t>T3/24</t>
  </si>
  <si>
    <t>T4/24</t>
  </si>
  <si>
    <t>T1/25</t>
  </si>
  <si>
    <t>T2/25</t>
  </si>
  <si>
    <t>T3/25</t>
  </si>
  <si>
    <t>T4/25</t>
  </si>
  <si>
    <t>69ni49</t>
  </si>
  <si>
    <t>area</t>
  </si>
  <si>
    <t>Val1</t>
  </si>
  <si>
    <t>Val2</t>
  </si>
  <si>
    <t>Val3</t>
  </si>
  <si>
    <t>Mid1</t>
  </si>
  <si>
    <t>Mid2</t>
  </si>
  <si>
    <t>Mid3</t>
  </si>
  <si>
    <t>numfmt=int;palette=padrao;n=8;legend=right;labels=1;thinlbl=3.8;totals=1;vline=1</t>
  </si>
  <si>
    <t>11) Participação trimestral dos três maiores departamentos (área 100%)</t>
  </si>
  <si>
    <t>A mesma tabela do exemplo 10, em participação de cada departamento no total do trimestre: pisos ganham espaço.</t>
  </si>
  <si>
    <t>Como criar no ThinQQ: Inserir gráfico &gt; Linha e área &gt; Área 100%.  Valores: R$ mil.</t>
  </si>
  <si>
    <t>ik962d</t>
  </si>
  <si>
    <t>area100</t>
  </si>
  <si>
    <t>numfmt=int;palette=padrao;n=8;legend=right;labels=1;totals=1;ind100=1;thinlbl=</t>
  </si>
  <si>
    <t>12) Vendas por canal e margem % da loja Aurora Centro (combinação com eixo secundário)</t>
  </si>
  <si>
    <t>A linha da margem % (última coluna da tabela) tem a sua própria escala, à direita, num eixo secundário que liga sozinho quando as grandezas diferem muito; o estilo ThinQQ esconde os eixos de valores, o secundário também. Com os totais das colunas ligados, a linha fica numa faixa acima deles.</t>
  </si>
  <si>
    <t>Como criar no ThinQQ: Inserir gráfico &gt; Linha e área &gt; Combinação (colunas + linha); Mais opções &gt; Eixo secundário (linha).  Valores: R$ mil.</t>
  </si>
  <si>
    <t>Margem %</t>
  </si>
  <si>
    <t>omxd5y</t>
  </si>
  <si>
    <t>combo</t>
  </si>
  <si>
    <t>numfmt=int;palette=padrao;n=12;legend=right;gap=50;labels=1;totals=1;connectors=0;secondary=1;primax=3393.83811348914;secmin=0;secmax=.333942390899286</t>
  </si>
  <si>
    <t>13) Regiões x grupos de produto em 2025 (Mekko %)</t>
  </si>
  <si>
    <t>A largura de cada coluna é o peso da região nas vendas; a altura de cada faixa é a participação do grupo de produto na região.</t>
  </si>
  <si>
    <t>Como criar no ThinQQ: Inserir gráfico &gt; Mais tipos &gt; Mekko (%).  Valores: R$ mil.</t>
  </si>
  <si>
    <t>Construção</t>
  </si>
  <si>
    <t>Acabamento</t>
  </si>
  <si>
    <t>Instalações</t>
  </si>
  <si>
    <t>n8o9m6</t>
  </si>
  <si>
    <t>mekko</t>
  </si>
  <si>
    <t>X</t>
  </si>
  <si>
    <t>W</t>
  </si>
  <si>
    <t>Y1</t>
  </si>
  <si>
    <t>Lbl1</t>
  </si>
  <si>
    <t>LblVal1</t>
  </si>
  <si>
    <t>Y2</t>
  </si>
  <si>
    <t>Lbl2</t>
  </si>
  <si>
    <t>LblVal2</t>
  </si>
  <si>
    <t>Y3</t>
  </si>
  <si>
    <t>Lbl3</t>
  </si>
  <si>
    <t>LblVal3</t>
  </si>
  <si>
    <t>TotPos</t>
  </si>
  <si>
    <t>TotLbl</t>
  </si>
  <si>
    <t>CatPos</t>
  </si>
  <si>
    <t>numfmt=pct0;palette=padrao;n=5;legend=right;border=1.5;labels=1;totals=1;ind100=1</t>
  </si>
  <si>
    <t>14) Regiões x grupos, largura = nº de lojas (Mekko em unidades)</t>
  </si>
  <si>
    <t>A largura é o número de lojas da região (coluna Lojas) e a altura são as vendas médias por loja em 2025: a área de cada bloco é a venda total do grupo na região.</t>
  </si>
  <si>
    <t>Como criar no ThinQQ: Inserir gráfico &gt; Mais tipos &gt; Mekko (unidades).  Valores: R$ mil.</t>
  </si>
  <si>
    <t>Lojas</t>
  </si>
  <si>
    <t>sj84kc</t>
  </si>
  <si>
    <t>mekkounits</t>
  </si>
  <si>
    <t>numfmt=int;palette=padrao;n=5;legend=right;border=1.5;labels=1;totals=1</t>
  </si>
  <si>
    <t>15) Reformas de março a maio (Gantt em semanas, com colchete)</t>
  </si>
  <si>
    <t>Cronograma curto: a escala do tempo fica em semanas. O colchete agrupa as duas primeiras obras; a linha sem data de fim vira um marco.</t>
  </si>
  <si>
    <t>Como criar no ThinQQ: Inserir gráfico &gt; Mais tipos &gt; Gantt; Setas &gt; Colchete (Gantt).</t>
  </si>
  <si>
    <t>hlqgje</t>
  </si>
  <si>
    <t>gantt</t>
  </si>
  <si>
    <t>Atividade</t>
  </si>
  <si>
    <t>Inicio</t>
  </si>
  <si>
    <t>IsMs</t>
  </si>
  <si>
    <t>BarStart</t>
  </si>
  <si>
    <t>Dur</t>
  </si>
  <si>
    <t>MsX</t>
  </si>
  <si>
    <t>LblX</t>
  </si>
  <si>
    <t>LblTxt</t>
  </si>
  <si>
    <t>Unit</t>
  </si>
  <si>
    <t>AxisMin</t>
  </si>
  <si>
    <t>AxisMax</t>
  </si>
  <si>
    <t>Tick</t>
  </si>
  <si>
    <t>TickY</t>
  </si>
  <si>
    <t>TickLbl</t>
  </si>
  <si>
    <t>DMin</t>
  </si>
  <si>
    <t>DMax</t>
  </si>
  <si>
    <t>palette=padrao;gap=50;n=4;labels=1</t>
  </si>
  <si>
    <t>16) Plano de abertura de uma nova loja (Gantt em meses)</t>
  </si>
  <si>
    <t>Cronograma de 18 meses: a escala do tempo passa a meses sozinha. A inauguração (sem data de fim) é um marco.</t>
  </si>
  <si>
    <t>Como criar no ThinQQ: Inserir gráfico &gt; Mais tipos &gt; Gantt.</t>
  </si>
  <si>
    <t>t0puxk</t>
  </si>
  <si>
    <t>palette=padrao;gap=50;n=5;labels=1</t>
  </si>
  <si>
    <t>17) Vendas 2025 por região (pizza, rótulos fora)</t>
  </si>
  <si>
    <t>O nome e o valor de cada fatia ficam fora da pizza, legíveis mesmo na fatia pequena (Norte).</t>
  </si>
  <si>
    <t>Como criar no ThinQQ: Inserir gráfico &gt; Mais tipos &gt; Pizza; Mais opções &gt; Rótulos fora da pizza.  Valores: R$ mil.</t>
  </si>
  <si>
    <t>Vendas 2025</t>
  </si>
  <si>
    <t>o6euy7</t>
  </si>
  <si>
    <t>pie</t>
  </si>
  <si>
    <t>Valor</t>
  </si>
  <si>
    <t>Share</t>
  </si>
  <si>
    <t>numfmt=int;palette=padrao;n=5;legend=right;pieout=1;labels=1</t>
  </si>
  <si>
    <t>18) Vendas 2025 por região (rosca, paleta em tons de cinza)</t>
  </si>
  <si>
    <t>A paleta "Tons de cinza" troca as cores de todas as séries de uma vez (útil para impressão).</t>
  </si>
  <si>
    <t>Como criar no ThinQQ: Inserir gráfico &gt; Mais tipos &gt; Rosca; Paleta &gt; Tons de cinza.  Valores: R$ mil.</t>
  </si>
  <si>
    <t>0cm1ae</t>
  </si>
  <si>
    <t>doughnut</t>
  </si>
  <si>
    <t>numfmt=int;palette=cinza;n=5;legend=right;labels=1</t>
  </si>
  <si>
    <t>19) Vendas B2C x B2B por loja (borboleta)</t>
  </si>
  <si>
    <t>B2C à esquerda e B2B à direita, com os nomes das lojas no centro e o total de cada loja à direita.</t>
  </si>
  <si>
    <t>Como criar no ThinQQ: Inserir gráfico &gt; Mais tipos &gt; Borboleta.  Valores: R$ mil.</t>
  </si>
  <si>
    <t>5hyhr9</t>
  </si>
  <si>
    <t>butterfly</t>
  </si>
  <si>
    <t>A</t>
  </si>
  <si>
    <t>B</t>
  </si>
  <si>
    <t>Gap</t>
  </si>
  <si>
    <t>NegGap</t>
  </si>
  <si>
    <t>NegA</t>
  </si>
  <si>
    <t>numfmt=int;palette=padrao;gap=50;n=8;legend=right;labels=1;thinlbl=;outlbl=;outpos=;totals=1</t>
  </si>
  <si>
    <t>20) Ticket médio x margem por loja (dispersão, tendência e quadrantes)</t>
  </si>
  <si>
    <t>Lojas com mais vendas para empresas (B2B) têm ticket maior e margem menor: a tendência tracejada mostra a relação e os eixos cruzam nas médias, formando quadrantes.</t>
  </si>
  <si>
    <t>Como criar no ThinQQ: Inserir gráfico &gt; Mais tipos &gt; Dispersão; Mais opções &gt; Linha de tendência e Quadrantes (médias).  Valores: ticket em R$, margem bruta em %.</t>
  </si>
  <si>
    <t>Margem bruta</t>
  </si>
  <si>
    <t>zotoff</t>
  </si>
  <si>
    <t>scatter</t>
  </si>
  <si>
    <t>Nome</t>
  </si>
  <si>
    <t>Y</t>
  </si>
  <si>
    <t>Tam</t>
  </si>
  <si>
    <t>Grupo</t>
  </si>
  <si>
    <t>Xg1</t>
  </si>
  <si>
    <t>Yg1</t>
  </si>
  <si>
    <t>Sg1</t>
  </si>
  <si>
    <t>xfmt=#.##0;xsrc=#.##0;yfmt=0,0%25;ysrc=0,0%25;palette=padrao;n=8;legend=none;trend=1;quad=1;xscale=240|290|10;yscale=.295|.335|.005;labels=1</t>
  </si>
  <si>
    <t>21) Ticket x margem x vendas por departamento (bolhas)</t>
  </si>
  <si>
    <t>Cada bolha é um departamento: posição = ticket médio e margem, área = vendas de 2025, cor = grupo de produto.</t>
  </si>
  <si>
    <t>Como criar no ThinQQ: Inserir gráfico &gt; Mais tipos &gt; Bolhas.  Valores: ticket em R$, margem bruta em %, vendas em R$ mil.</t>
  </si>
  <si>
    <t>fj0lk9</t>
  </si>
  <si>
    <t>bubble</t>
  </si>
  <si>
    <t>Xg2</t>
  </si>
  <si>
    <t>Yg2</t>
  </si>
  <si>
    <t>Sg2</t>
  </si>
  <si>
    <t>Xg3</t>
  </si>
  <si>
    <t>Yg3</t>
  </si>
  <si>
    <t>Sg3</t>
  </si>
  <si>
    <t>xfmt=#.##0;xsrc=#.##0;yfmt=0,0%25;ysrc=0,0%25;palette=padrao;n=8;legend=right;trend=0;quad=0;yscale=.15|.55|.05;labels=1</t>
  </si>
  <si>
    <t>22) Crescimento 2024-2025 de três departamentos (seta CAGR)</t>
  </si>
  <si>
    <t>A seta mostra a taxa de crescimento anual composta entre os totais das duas colunas. A seta é desenhada pelo ThinQQ: sem ele, continua onde está se os números mudarem.</t>
  </si>
  <si>
    <t>Como criar no ThinQQ: Inserir gráfico &gt; Colunas &gt; Colunas empilhadas; Setas &gt; Seta CAGR.  Valores: R$ mil.</t>
  </si>
  <si>
    <t>Ano</t>
  </si>
  <si>
    <t>fq8cek</t>
  </si>
  <si>
    <t>numfmt=int;palette=padrao;n=2;legend=right;gap=50;labels=1;totals=1;connectors=0</t>
  </si>
  <si>
    <t>23) Participações que somam 100% (soma consistente no gráfico e na tabela)</t>
  </si>
  <si>
    <t>Os rótulos de cada coluna somam exatamente 100%; compare com o exemplo 13, a mesma tabela sem a soma consistente, onde Nordeste e Centro-Oeste somam 101% e Norte 99%. Abaixo, "Arredondar intervalo" grava fórmulas que fazem o mesmo numa tabela comum (compare com o arredondamento simples).</t>
  </si>
  <si>
    <t>Como criar no ThinQQ: Inserir gráfico &gt; Colunas &gt; Colunas 100%; Mais opções &gt; Rótulos com soma consistente; Mais opções &gt; Arredondar intervalo...  Valores: R$ mil e participações.</t>
  </si>
  <si>
    <t>sumrrh</t>
  </si>
  <si>
    <t>Part3</t>
  </si>
  <si>
    <t>V1</t>
  </si>
  <si>
    <t>V2</t>
  </si>
  <si>
    <t>V3</t>
  </si>
  <si>
    <t>Rnd1</t>
  </si>
  <si>
    <t>Rnd2</t>
  </si>
  <si>
    <t>Rnd3</t>
  </si>
  <si>
    <t>RndD</t>
  </si>
  <si>
    <t>numfmt=int;palette=padrao;n=5;legend=right;gap=50;labels=1;totals=1;connectors=0;ind100=1;roundsum=1</t>
  </si>
  <si>
    <t>Arredondar intervalo: loja Campo Dourado, vendas 2025</t>
  </si>
  <si>
    <t>Exata</t>
  </si>
  <si>
    <t>Arredondamento simples</t>
  </si>
  <si>
    <t>Soma consistente</t>
  </si>
  <si>
    <t>24) Cimento e argamassa dominam as vendas: corte de eixo</t>
  </si>
  <si>
    <t>A mesma tabela do exemplo 1: a coluna muito maior é cortada (marca de corte) e o total real continua no rótulo; as demais colunas ganham altura para comparação.</t>
  </si>
  <si>
    <t>Como criar no ThinQQ: Inserir gráfico &gt; Colunas &gt; Colunas empilhadas; Mais opções &gt; Corte de eixo...  Valores: R$ mil.</t>
  </si>
  <si>
    <t>6xul2z</t>
  </si>
  <si>
    <t>LblPos</t>
  </si>
  <si>
    <t>numfmt=int;palette=padrao;n=8;legend=right;gap=50;labels=1;totals=1;connectors=0;vbreak=37000</t>
  </si>
  <si>
    <t>25) A maior e a menor loja lado a lado (mesma escala)</t>
  </si>
  <si>
    <t>Os dois gráficos usam o mesmo eixo de valores: a diferença de tamanho entre as lojas fica visível.</t>
  </si>
  <si>
    <t>Como criar no ThinQQ: Inserir gráfico &gt; Colunas &gt; Colunas agrupadas (duas vezes); Mais opções &gt; Mesma escala.  Valores: R$ mil.</t>
  </si>
  <si>
    <t>zmyivq</t>
  </si>
  <si>
    <t>hnpqa2</t>
  </si>
  <si>
    <t>numfmt=int;palette=padrao;n=2;legend=right;gap=80;labels=1;totals=0;connectors=0;vmin=0;vmax=30000</t>
  </si>
  <si>
    <t>Aurora Centro (R$ mil)</t>
  </si>
  <si>
    <t>Rio Turquesa (R$ mil)</t>
  </si>
  <si>
    <t>26) Vendas mensais da loja Aurora Centro (sem legenda)</t>
  </si>
  <si>
    <t>Com uma série só, a legenda é dispensável: o título da planilha já diz o que é.</t>
  </si>
  <si>
    <t>Como criar no ThinQQ: Inserir gráfico &gt; Linha e área &gt; Linha; Legenda &gt; Nenhuma.  Valores: R$ mil.</t>
  </si>
  <si>
    <t>24w66l</t>
  </si>
  <si>
    <t>numfmt=int;palette=padrao;n=12;legend=none;labels=1;totals=0;connectors=0</t>
  </si>
  <si>
    <t>27) Da receita ao lucro, 2024 x 2025 (cascata comparativa)</t>
  </si>
  <si>
    <t>As duas pontes lado a lado, 2024 à esquerda e 2025 à direita, com os anos escritos dentro das barras da receita. A seta de cada etapa mostra quanto 2025 variou sobre 2024, (2025 - 2024) / 2024 (num custo, "+" quer dizer que o custo cresceu), e o lucro mostra o percentual da receita do próprio ano. Tudo acompanha os números, com ou sem o ThinQQ.</t>
  </si>
  <si>
    <t>Como criar no ThinQQ: Inserir gráfico &gt; Cascata &gt; Cascata comparativa (Setas de variação e Nome dentro das barras já vêm ligados).  Valores: R$ milhões.</t>
  </si>
  <si>
    <t>asbn4p</t>
  </si>
  <si>
    <t>waterfallpair</t>
  </si>
  <si>
    <t>SrcA</t>
  </si>
  <si>
    <t>TotA</t>
  </si>
  <si>
    <t>DA</t>
  </si>
  <si>
    <t>StartA</t>
  </si>
  <si>
    <t>EndA</t>
  </si>
  <si>
    <t>LoA</t>
  </si>
  <si>
    <t>HiA</t>
  </si>
  <si>
    <t>BaseA</t>
  </si>
  <si>
    <t>PPA</t>
  </si>
  <si>
    <t>PNA</t>
  </si>
  <si>
    <t>ValA</t>
  </si>
  <si>
    <t>BigA</t>
  </si>
  <si>
    <t>SrcB</t>
  </si>
  <si>
    <t>TotB</t>
  </si>
  <si>
    <t>DB</t>
  </si>
  <si>
    <t>StartB</t>
  </si>
  <si>
    <t>EndB</t>
  </si>
  <si>
    <t>LoB</t>
  </si>
  <si>
    <t>HiB</t>
  </si>
  <si>
    <t>BaseB</t>
  </si>
  <si>
    <t>PPB</t>
  </si>
  <si>
    <t>PNB</t>
  </si>
  <si>
    <t>ValB</t>
  </si>
  <si>
    <t>BigB</t>
  </si>
  <si>
    <t>ArrowTxt</t>
  </si>
  <si>
    <t>TotTxtA</t>
  </si>
  <si>
    <t>TotTxtB</t>
  </si>
  <si>
    <t>Outer</t>
  </si>
  <si>
    <t>Inner</t>
  </si>
  <si>
    <t>SBase</t>
  </si>
  <si>
    <t>APos</t>
  </si>
  <si>
    <t>ANeg</t>
  </si>
  <si>
    <t>BPos</t>
  </si>
  <si>
    <t>BNeg</t>
  </si>
  <si>
    <t>LblAPos</t>
  </si>
  <si>
    <t>LblAVal</t>
  </si>
  <si>
    <t>LblBPos</t>
  </si>
  <si>
    <t>LblBVal</t>
  </si>
  <si>
    <t>TotTxt</t>
  </si>
  <si>
    <t>LblOn</t>
  </si>
  <si>
    <t>Top</t>
  </si>
  <si>
    <t>CxA</t>
  </si>
  <si>
    <t>CyA</t>
  </si>
  <si>
    <t>CLen</t>
  </si>
  <si>
    <t>CxB</t>
  </si>
  <si>
    <t>CyB</t>
  </si>
  <si>
    <t>PX</t>
  </si>
  <si>
    <t>PY</t>
  </si>
  <si>
    <t>PLbl</t>
  </si>
  <si>
    <t>RX</t>
  </si>
  <si>
    <t>RY</t>
  </si>
  <si>
    <t>NX</t>
  </si>
  <si>
    <t>NY</t>
  </si>
  <si>
    <t>NTxt</t>
  </si>
  <si>
    <t>ZX</t>
  </si>
  <si>
    <t>ZY</t>
  </si>
  <si>
    <t xml:space="preserve"> </t>
  </si>
  <si>
    <t>numfmt=dec1;palette=padrao;gap=30;n=7;totals=1;legend=inbar;labels=1;connectors=1;pairabs=0;pairdiff=1</t>
  </si>
  <si>
    <t>28) As duas maiores lojas: da receita ao lucro em 2025 (variação em valor)</t>
  </si>
  <si>
    <t>A mesma ponte para as duas lojas que mais venderam em 2025; a seta de cada etapa mostra a diferença em R$ milhões entre a segunda loja e a primeira, e os nomes das lojas ficam na legenda.</t>
  </si>
  <si>
    <t>Como criar no ThinQQ: Inserir gráfico &gt; Cascata &gt; Cascata comparativa; Setas &gt; Variação em valor; Legenda &gt; Direita.  Valores: R$ milhões.</t>
  </si>
  <si>
    <t>jd1umr</t>
  </si>
  <si>
    <t>numfmt=dec1;palette=padrao;gap=30;n=7;totals=1;legend=right;labels=1;connectors=1;pairabs=1;pairdiff=1</t>
  </si>
  <si>
    <t>ThinQQ — pasta de demonstração</t>
  </si>
  <si>
    <t>Rede Demo ThinQQ - Materiais de Construção (fictícia): 8 lojas em 5 regiões. Nenhuma empresa ou pessoa real; lojas, cidades e números são inventados (gerados por script).</t>
  </si>
  <si>
    <t>Clique no nome de um exemplo para ir ao gráfico; em cada exemplo, a célula A1 ("Voltar ao índice") traz você de volta. Os dados estão nas planilhas Dados, Lojas e Obras.</t>
  </si>
  <si>
    <t>Os gráficos são gráficos nativos do Excel e continuam ligados às tabelas: funcionam com ou sem o ThinQQ instalado. Setas, colchetes, marcas de corte e a escala do Gantt são recalculados só com o ThinQQ instalado; sem ele ficam como estão se os números mudarem.</t>
  </si>
  <si>
    <t>Nº</t>
  </si>
  <si>
    <t>Exemplo (clique para abrir)</t>
  </si>
  <si>
    <t>Tipo de gráfico</t>
  </si>
  <si>
    <t>Recursos em destaque</t>
  </si>
  <si>
    <t>Como criar no ThinQQ</t>
  </si>
  <si>
    <t>Vendas 2025 por departamento e canal (colunas empilhadas, totais e rótulos)</t>
  </si>
  <si>
    <t>Colunas empilhadas</t>
  </si>
  <si>
    <t>Totais, Rótulos</t>
  </si>
  <si>
    <t>Inserir gráfico &gt; Colunas &gt; Colunas empilhadas (Totais e Rótulos já vêm ligados)</t>
  </si>
  <si>
    <t>Vendas por loja, 2024 x 2025 (colunas agrupadas, espaço muito largo e delta entre barras)</t>
  </si>
  <si>
    <t>Colunas agrupadas</t>
  </si>
  <si>
    <t>Espaço (muito largo), Delta entre barras</t>
  </si>
  <si>
    <t>Inserir gráfico &gt; Colunas &gt; Colunas agrupadas; Gráfico selecionado &gt; Espaço &gt; Muito largo (120%); Setas &gt; Delta clicando nas barras (clique na 1.ª e na última barra)</t>
  </si>
  <si>
    <t>Mix de canais B2C/B2B por região (colunas 100% e indicador 100%)</t>
  </si>
  <si>
    <t>Colunas 100%</t>
  </si>
  <si>
    <t>Indicador 100%</t>
  </si>
  <si>
    <t>Inserir gráfico &gt; Colunas &gt; Colunas 100% (o Indicador 100% já vem ligado; Mais opções &gt; Indicador 100% liga e desliga)</t>
  </si>
  <si>
    <t>Vendas e custo mensais da loja Aurora Centro (nome no fim da linha)</t>
  </si>
  <si>
    <t>Linha</t>
  </si>
  <si>
    <t>Legenda: nome no fim da linha</t>
  </si>
  <si>
    <t>Inserir gráfico &gt; Linha e área &gt; Linha; Legenda &gt; Nome no fim da linha</t>
  </si>
  <si>
    <t>Da receita ao lucro em 2025 (cascata com conectores e seta de diferença)</t>
  </si>
  <si>
    <t>Cascata (colunas)</t>
  </si>
  <si>
    <t>Conectores, Seta diferença</t>
  </si>
  <si>
    <t>Inserir gráfico &gt; Cascata &gt; Cascata (colunas) (Conectores já vêm ligados); Setas &gt; Seta diferença</t>
  </si>
  <si>
    <t>Vendas 2025 por região e canal (barras empilhadas e seta de diferença)</t>
  </si>
  <si>
    <t>Barras empilhadas</t>
  </si>
  <si>
    <t>Seta diferença</t>
  </si>
  <si>
    <t>Inserir gráfico &gt; Barras &gt; Barras empilhadas; Setas &gt; Seta diferença</t>
  </si>
  <si>
    <t>Vendas por loja em R$ (barras agrupadas, rótulos em milhares)</t>
  </si>
  <si>
    <t>Barras agrupadas</t>
  </si>
  <si>
    <t>Formato (milhares)</t>
  </si>
  <si>
    <t>Inserir gráfico &gt; Barras &gt; Barras agrupadas; Formato &gt; Milhares (1.234 → 1)</t>
  </si>
  <si>
    <t>Mix de canais B2C/B2B por loja (barras 100%)</t>
  </si>
  <si>
    <t>Barras 100%</t>
  </si>
  <si>
    <t>—</t>
  </si>
  <si>
    <t>Inserir gráfico &gt; Barras &gt; Barras 100%</t>
  </si>
  <si>
    <t>Da receita ao lucro em 2025 (cascata horizontal)</t>
  </si>
  <si>
    <t>Cascata (barras)</t>
  </si>
  <si>
    <t>Inserir gráfico &gt; Cascata &gt; Cascata (barras)</t>
  </si>
  <si>
    <t>Vendas trimestrais dos três maiores departamentos (área empilhada e linha de valor)</t>
  </si>
  <si>
    <t>Área empilhada</t>
  </si>
  <si>
    <t>Linha de valor (média)</t>
  </si>
  <si>
    <t>Inserir gráfico &gt; Linha e área &gt; Área empilhada; Mais opções &gt; Linha de valor (média)</t>
  </si>
  <si>
    <t>Participação trimestral dos três maiores departamentos (área 100%)</t>
  </si>
  <si>
    <t>Área 100%</t>
  </si>
  <si>
    <t>Inserir gráfico &gt; Linha e área &gt; Área 100%</t>
  </si>
  <si>
    <t>Vendas por canal e margem % da loja Aurora Centro (combinação com eixo secundário)</t>
  </si>
  <si>
    <t>Combinação (colunas + linha)</t>
  </si>
  <si>
    <t>Eixo secundário</t>
  </si>
  <si>
    <t>Inserir gráfico &gt; Linha e área &gt; Combinação (colunas + linha); Mais opções &gt; Eixo secundário (linha)</t>
  </si>
  <si>
    <t>Regiões x grupos de produto em 2025 (Mekko %)</t>
  </si>
  <si>
    <t>Mekko (%)</t>
  </si>
  <si>
    <t>Inserir gráfico &gt; Mais tipos &gt; Mekko (%)</t>
  </si>
  <si>
    <t>Regiões x grupos, largura = nº de lojas (Mekko em unidades)</t>
  </si>
  <si>
    <t>Mekko (unidades)</t>
  </si>
  <si>
    <t>Inserir gráfico &gt; Mais tipos &gt; Mekko (unidades)</t>
  </si>
  <si>
    <t>Reformas de março a maio (Gantt em semanas, com colchete)</t>
  </si>
  <si>
    <t>Gantt</t>
  </si>
  <si>
    <t>Colchete, Escala em semanas</t>
  </si>
  <si>
    <t>Inserir gráfico &gt; Mais tipos &gt; Gantt; Setas &gt; Colchete (Gantt)</t>
  </si>
  <si>
    <t>Plano de abertura de uma nova loja (Gantt em meses)</t>
  </si>
  <si>
    <t>Escala em meses</t>
  </si>
  <si>
    <t>Inserir gráfico &gt; Mais tipos &gt; Gantt</t>
  </si>
  <si>
    <t>Vendas 2025 por região (pizza, rótulos fora)</t>
  </si>
  <si>
    <t>Pizza</t>
  </si>
  <si>
    <t>Rótulos fora da pizza</t>
  </si>
  <si>
    <t>Inserir gráfico &gt; Mais tipos &gt; Pizza; Mais opções &gt; Rótulos fora da pizza</t>
  </si>
  <si>
    <t>Vendas 2025 por região (rosca, paleta em tons de cinza)</t>
  </si>
  <si>
    <t>Rosca</t>
  </si>
  <si>
    <t>Paleta (tons de cinza)</t>
  </si>
  <si>
    <t>Inserir gráfico &gt; Mais tipos &gt; Rosca; Paleta &gt; Tons de cinza</t>
  </si>
  <si>
    <t>Vendas B2C x B2B por loja (borboleta)</t>
  </si>
  <si>
    <t>Borboleta</t>
  </si>
  <si>
    <t>Inserir gráfico &gt; Mais tipos &gt; Borboleta</t>
  </si>
  <si>
    <t>Ticket médio x margem por loja (dispersão, tendência e quadrantes)</t>
  </si>
  <si>
    <t>Dispersão</t>
  </si>
  <si>
    <t>Linha de tendência, Quadrantes (médias)</t>
  </si>
  <si>
    <t>Inserir gráfico &gt; Mais tipos &gt; Dispersão; Mais opções &gt; Linha de tendência e Quadrantes (médias)</t>
  </si>
  <si>
    <t>Ticket x margem x vendas por departamento (bolhas)</t>
  </si>
  <si>
    <t>Bolhas</t>
  </si>
  <si>
    <t>Inserir gráfico &gt; Mais tipos &gt; Bolhas</t>
  </si>
  <si>
    <t>Crescimento 2024-2025 de três departamentos (seta CAGR)</t>
  </si>
  <si>
    <t>Seta CAGR</t>
  </si>
  <si>
    <t>Inserir gráfico &gt; Colunas &gt; Colunas empilhadas; Setas &gt; Seta CAGR</t>
  </si>
  <si>
    <t>Participações que somam 100% (soma consistente no gráfico e na tabela)</t>
  </si>
  <si>
    <t>Rótulos com soma consistente, Arredondar intervalo</t>
  </si>
  <si>
    <t>Inserir gráfico &gt; Colunas &gt; Colunas 100%; Mais opções &gt; Rótulos com soma consistente; Mais opções &gt; Arredondar intervalo...</t>
  </si>
  <si>
    <t>Cimento e argamassa dominam as vendas: corte de eixo</t>
  </si>
  <si>
    <t>Corte de eixo</t>
  </si>
  <si>
    <t>Inserir gráfico &gt; Colunas &gt; Colunas empilhadas; Mais opções &gt; Corte de eixo...</t>
  </si>
  <si>
    <t>A maior e a menor loja lado a lado (mesma escala)</t>
  </si>
  <si>
    <t>Mesma escala</t>
  </si>
  <si>
    <t>Inserir gráfico &gt; Colunas &gt; Colunas agrupadas (duas vezes); Mais opções &gt; Mesma escala</t>
  </si>
  <si>
    <t>Vendas mensais da loja Aurora Centro (sem legenda)</t>
  </si>
  <si>
    <t>Legenda: nenhuma</t>
  </si>
  <si>
    <t>Inserir gráfico &gt; Linha e área &gt; Linha; Legenda &gt; Nenhuma</t>
  </si>
  <si>
    <t>Da receita ao lucro, 2024 x 2025 (cascata comparativa)</t>
  </si>
  <si>
    <t>Cascata comparativa</t>
  </si>
  <si>
    <t>Setas de variação, Nome dentro das barras</t>
  </si>
  <si>
    <t>Inserir gráfico &gt; Cascata &gt; Cascata comparativa (Setas de variação e Nome dentro das barras já vêm ligados)</t>
  </si>
  <si>
    <t>As duas maiores lojas: da receita ao lucro em 2025 (variação em valor)</t>
  </si>
  <si>
    <t>Variação em valor</t>
  </si>
  <si>
    <t>Inserir gráfico &gt; Cascata &gt; Cascata comparativa; Setas &gt; Variação em valor; Legenda &gt; Direita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</si>
</sst>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/mm/yyyy"/>
    <numFmt numFmtId="165" formatCode="mmm/yyyy"/>
    <numFmt numFmtId="166" formatCode="#,##0;\-#,##0;"/>
    <numFmt numFmtId="167" formatCode="#,##0.0"/>
    <numFmt numFmtId="168" formatCode="#,##0.0;\-#,##0.0;"/>
    <numFmt numFmtId="169" formatCode="0%;\-0%;"/>
    <numFmt numFmtId="170" formatCode="mmm/yy"/>
    <numFmt numFmtId="171" formatCode="#,##0,;\-#,##0,;"/>
    <numFmt numFmtId="172" formatCode="&quot;Média &quot;#,##0;&quot;Média &quot;\-#,##0;&quot;Média &quot;#,##0"/>
    <numFmt numFmtId="173" formatCode="0.0%"/>
    <numFmt numFmtId="174" formatCode="dd/mm"/>
    <numFmt numFmtId="175" formatCode="0.00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5379"/>
        <bgColor indexed="64"/>
      </patternFill>
    </fill>
    <fill>
      <patternFill patternType="solid">
        <fgColor rgb="FFECF2F7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4" fontId="0" fillId="0" borderId="0" xfId="0" applyNumberFormat="1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0" fontId="0" fillId="0" borderId="0" xfId="0" applyNumberFormat="1"/>
    <xf numFmtId="1" fontId="0" fillId="0" borderId="0" xfId="0" applyNumberFormat="1"/>
    <xf numFmtId="174" fontId="0" fillId="0" borderId="0" xfId="0" applyNumberFormat="1"/>
    <xf numFmtId="175" fontId="0" fillId="0" borderId="0" xfId="0" applyNumberFormat="1"/>
    <xf numFmtId="9" fontId="0" fillId="0" borderId="0" xfId="0" applyNumberFormat="1"/>
    <xf numFmtId="0" fontId="1" fillId="0" borderId="1" xfId="0" applyFont="1" applyBorder="1"/>
    <xf numFmtId="175" fontId="1" fillId="0" borderId="1" xfId="0" applyNumberFormat="1" applyFont="1" applyBorder="1"/>
    <xf numFmtId="9" fontId="1" fillId="0" borderId="1" xfId="0" applyNumberFormat="1" applyFont="1" applyBorder="1"/>
    <xf numFmtId="0" fontId="1" fillId="0" borderId="0" xfId="0" applyFont="1" applyAlignment="1">
      <alignment horizontal="right" wrapText="1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vertical="top"/>
    </xf>
    <xf numFmtId="0" fontId="0" fillId="0" borderId="3" xfId="0" applyBorder="1" applyAlignment="1">
      <alignment horizontal="center" vertical="top"/>
    </xf>
    <xf numFmtId="0" fontId="2" fillId="0" borderId="3" xfId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3" borderId="3" xfId="0" applyFill="1" applyBorder="1" applyAlignment="1">
      <alignment horizontal="center" vertical="top"/>
    </xf>
    <xf numFmtId="0" fontId="2" fillId="3" borderId="3" xfId="1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'E01'!$B$6</c:f>
              <c:strCache>
                <c:ptCount val="1"/>
                <c:pt idx="0">
                  <c:v>B2C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'E01'!$A$7:$A$14</c:f>
              <c:strCache>
                <c:ptCount val="8"/>
                <c:pt idx="0">
                  <c:v>Cimento e argamassa</c:v>
                </c:pt>
                <c:pt idx="1">
                  <c:v>Pisos</c:v>
                </c:pt>
                <c:pt idx="2">
                  <c:v>Tintas</c:v>
                </c:pt>
                <c:pt idx="3">
                  <c:v>Hidráulica</c:v>
                </c:pt>
                <c:pt idx="4">
                  <c:v>Elétrica</c:v>
                </c:pt>
                <c:pt idx="5">
                  <c:v>Madeiras</c:v>
                </c:pt>
                <c:pt idx="6">
                  <c:v>Ferramentas</c:v>
                </c:pt>
                <c:pt idx="7">
                  <c:v>Ferragens</c:v>
                </c:pt>
              </c:strCache>
            </c:strRef>
          </c:cat>
          <c:val>
            <c:numRef>
              <c:f>'E01'!$B$7:$B$14</c:f>
              <c:numCache>
                <c:formatCode>#,##0</c:formatCode>
                <c:ptCount val="8"/>
                <c:pt idx="0">
                  <c:v>29255</c:v>
                </c:pt>
                <c:pt idx="1">
                  <c:v>15725</c:v>
                </c:pt>
                <c:pt idx="2">
                  <c:v>10401</c:v>
                </c:pt>
                <c:pt idx="3">
                  <c:v>8241</c:v>
                </c:pt>
                <c:pt idx="4">
                  <c:v>7705</c:v>
                </c:pt>
                <c:pt idx="5">
                  <c:v>6234</c:v>
                </c:pt>
                <c:pt idx="6">
                  <c:v>5530</c:v>
                </c:pt>
                <c:pt idx="7">
                  <c:v>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C7-455A-B559-1A57957724E2}"/>
            </c:ext>
          </c:extLst>
        </c:ser>
        <c:ser>
          <c:idx val="1"/>
          <c:order val="1"/>
          <c:tx>
            <c:strRef>
              <c:f>'E01'!$C$6</c:f>
              <c:strCache>
                <c:ptCount val="1"/>
                <c:pt idx="0">
                  <c:v>B2B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'E01'!$A$7:$A$14</c:f>
              <c:strCache>
                <c:ptCount val="8"/>
                <c:pt idx="0">
                  <c:v>Cimento e argamassa</c:v>
                </c:pt>
                <c:pt idx="1">
                  <c:v>Pisos</c:v>
                </c:pt>
                <c:pt idx="2">
                  <c:v>Tintas</c:v>
                </c:pt>
                <c:pt idx="3">
                  <c:v>Hidráulica</c:v>
                </c:pt>
                <c:pt idx="4">
                  <c:v>Elétrica</c:v>
                </c:pt>
                <c:pt idx="5">
                  <c:v>Madeiras</c:v>
                </c:pt>
                <c:pt idx="6">
                  <c:v>Ferramentas</c:v>
                </c:pt>
                <c:pt idx="7">
                  <c:v>Ferragens</c:v>
                </c:pt>
              </c:strCache>
            </c:strRef>
          </c:cat>
          <c:val>
            <c:numRef>
              <c:f>'E01'!$C$7:$C$14</c:f>
              <c:numCache>
                <c:formatCode>#,##0</c:formatCode>
                <c:ptCount val="8"/>
                <c:pt idx="0">
                  <c:v>14069</c:v>
                </c:pt>
                <c:pt idx="1">
                  <c:v>8045</c:v>
                </c:pt>
                <c:pt idx="2">
                  <c:v>5301</c:v>
                </c:pt>
                <c:pt idx="3">
                  <c:v>4076</c:v>
                </c:pt>
                <c:pt idx="4">
                  <c:v>3844</c:v>
                </c:pt>
                <c:pt idx="5">
                  <c:v>3016</c:v>
                </c:pt>
                <c:pt idx="6">
                  <c:v>2780</c:v>
                </c:pt>
                <c:pt idx="7">
                  <c:v>1792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C7-455A-B559-1A5795772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3133448"/>
        <c:axId val="523129488"/>
      </c:barChart>
      <c:lineChart>
        <c:grouping val="standard"/>
        <c:varyColors val="0"/>
        <c:ser>
          <c:idx val="2"/>
          <c:order val="2"/>
          <c:tx>
            <c:v>tqq_total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_ThinQQ!$B$5</c:f>
                  <c:strCache>
                    <c:ptCount val="1"/>
                    <c:pt idx="0">
                      <c:v>43.324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{7EF3FD28-1A26-4829-8D5D-07D3986D0770}</c15:txfldGUID>
                      <c15:f>_ThinQQ!$B$5</c15:f>
                      <c15:dlblFieldTableCache>
                        <c:ptCount val="1"/>
                        <c:pt idx="0">
                          <c:v>43.324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9FC7-455A-B559-1A57957724E2}"/>
                </c:ext>
              </c:extLst>
            </c:dLbl>
            <c:dLbl>
              <c:idx val="1"/>
              <c:tx>
                <c:strRef>
                  <c:f>_ThinQQ!$B$6</c:f>
                  <c:strCache>
                    <c:ptCount val="1"/>
                    <c:pt idx="0">
                      <c:v>23.770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{EF4947A1-FE89-487B-9A40-2005173B7C9B}</c15:txfldGUID>
                      <c15:f>_ThinQQ!$B$6</c15:f>
                      <c15:dlblFieldTableCache>
                        <c:ptCount val="1"/>
                        <c:pt idx="0">
                          <c:v>23.770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9FC7-455A-B559-1A57957724E2}"/>
                </c:ext>
              </c:extLst>
            </c:dLbl>
            <c:dLbl>
              <c:idx val="2"/>
              <c:tx>
                <c:strRef>
                  <c:f>_ThinQQ!$B$7</c:f>
                  <c:strCache>
                    <c:ptCount val="1"/>
                    <c:pt idx="0">
                      <c:v>15.702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{B17E68F7-0412-4D3E-96A3-5B8515F70C72}</c15:txfldGUID>
                      <c15:f>_ThinQQ!$B$7</c15:f>
                      <c15:dlblFieldTableCache>
                        <c:ptCount val="1"/>
                        <c:pt idx="0">
                          <c:v>15.702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9FC7-455A-B559-1A57957724E2}"/>
                </c:ext>
              </c:extLst>
            </c:dLbl>
            <c:dLbl>
              <c:idx val="3"/>
              <c:tx>
                <c:strRef>
                  <c:f>_ThinQQ!$B$8</c:f>
                  <c:strCache>
                    <c:ptCount val="1"/>
                    <c:pt idx="0">
                      <c:v>12.317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{1F134E4B-3E1E-4EE1-BF7A-AC0773A86F08}</c15:txfldGUID>
                      <c15:f>_ThinQQ!$B$8</c15:f>
                      <c15:dlblFieldTableCache>
                        <c:ptCount val="1"/>
                        <c:pt idx="0">
                          <c:v>12.317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9FC7-455A-B559-1A57957724E2}"/>
                </c:ext>
              </c:extLst>
            </c:dLbl>
            <c:dLbl>
              <c:idx val="4"/>
              <c:tx>
                <c:strRef>
                  <c:f>_ThinQQ!$B$9</c:f>
                  <c:strCache>
                    <c:ptCount val="1"/>
                    <c:pt idx="0">
                      <c:v>11.549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{B332446A-ED4B-4501-8BB8-960866652EEF}</c15:txfldGUID>
                      <c15:f>_ThinQQ!$B$9</c15:f>
                      <c15:dlblFieldTableCache>
                        <c:ptCount val="1"/>
                        <c:pt idx="0">
                          <c:v>11.549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9FC7-455A-B559-1A57957724E2}"/>
                </c:ext>
              </c:extLst>
            </c:dLbl>
            <c:dLbl>
              <c:idx val="5"/>
              <c:tx>
                <c:strRef>
                  <c:f>_ThinQQ!$B$10</c:f>
                  <c:strCache>
                    <c:ptCount val="1"/>
                    <c:pt idx="0">
                      <c:v>9.250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{3E0DA86A-16A4-47F8-B3DD-26594376F27E}</c15:txfldGUID>
                      <c15:f>_ThinQQ!$B$10</c15:f>
                      <c15:dlblFieldTableCache>
                        <c:ptCount val="1"/>
                        <c:pt idx="0">
                          <c:v>9.250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9FC7-455A-B559-1A57957724E2}"/>
                </c:ext>
              </c:extLst>
            </c:dLbl>
            <c:dLbl>
              <c:idx val="6"/>
              <c:tx>
                <c:strRef>
                  <c:f>_ThinQQ!$B$11</c:f>
                  <c:strCache>
                    <c:ptCount val="1"/>
                    <c:pt idx="0">
                      <c:v>8.310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{5A630292-7554-4283-A5C8-9F28E87E02EC}</c15:txfldGUID>
                      <c15:f>_ThinQQ!$B$11</c15:f>
                      <c15:dlblFieldTableCache>
                        <c:ptCount val="1"/>
                        <c:pt idx="0">
                          <c:v>8.310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9FC7-455A-B559-1A57957724E2}"/>
                </c:ext>
              </c:extLst>
            </c:dLbl>
            <c:dLbl>
              <c:idx val="7"/>
              <c:tx>
                <c:strRef>
                  <c:f>_ThinQQ!$B$12</c:f>
                  <c:strCache>
                    <c:ptCount val="1"/>
                    <c:pt idx="0">
                      <c:v>5.488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{CB284F1F-AAE7-43BD-8519-7045001DACEE}</c15:txfldGUID>
                      <c15:f>_ThinQQ!$B$12</c15:f>
                      <c15:dlblFieldTableCache>
                        <c:ptCount val="1"/>
                        <c:pt idx="0">
                          <c:v>5.488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9FC7-455A-B559-1A5795772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_ThinQQ!$C$5:$C$12</c:f>
              <c:numCache>
                <c:formatCode>General</c:formatCode>
                <c:ptCount val="8"/>
                <c:pt idx="0">
                  <c:v>43324</c:v>
                </c:pt>
                <c:pt idx="1">
                  <c:v>23770</c:v>
                </c:pt>
                <c:pt idx="2">
                  <c:v>15702</c:v>
                </c:pt>
                <c:pt idx="3">
                  <c:v>12317</c:v>
                </c:pt>
                <c:pt idx="4">
                  <c:v>11549</c:v>
                </c:pt>
                <c:pt idx="5">
                  <c:v>9250</c:v>
                </c:pt>
                <c:pt idx="6">
                  <c:v>8310</c:v>
                </c:pt>
                <c:pt idx="7">
                  <c:v>5488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C7-455A-B559-1A5795772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133448"/>
        <c:axId val="523129488"/>
      </c:lineChart>
      <c:catAx>
        <c:axId val="52313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23129488"/>
        <c:crosses val="autoZero"/>
        <c:auto val="0"/>
        <c:lblAlgn val="ctr"/>
        <c:lblOffset val="100"/>
        <c:noMultiLvlLbl val="0"/>
      </c:catAx>
      <c:valAx>
        <c:axId val="5231294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3133448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1.7741935483870968E-2"/>
          <c:y val="4.1254189594766059E-2"/>
          <c:w val="0.89979591059182118"/>
          <c:h val="0.922079143738567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'E02'!$B$6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.0;\-#,##0.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'E02'!$A$7:$A$14</c:f>
              <c:strCache>
                <c:ptCount val="8"/>
                <c:pt idx="0">
                  <c:v>Aurora Centro</c:v>
                </c:pt>
                <c:pt idx="1">
                  <c:v>Porto Sereno</c:v>
                </c:pt>
                <c:pt idx="2">
                  <c:v>Campo Dourado</c:v>
                </c:pt>
                <c:pt idx="3">
                  <c:v>Aurora Norte</c:v>
                </c:pt>
                <c:pt idx="4">
                  <c:v>Lago Prateado</c:v>
                </c:pt>
                <c:pt idx="5">
                  <c:v>Serra Clara</c:v>
                </c:pt>
                <c:pt idx="6">
                  <c:v>Monte Alvorada</c:v>
                </c:pt>
                <c:pt idx="7">
                  <c:v>Rio Turquesa</c:v>
                </c:pt>
              </c:strCache>
            </c:strRef>
          </c:cat>
          <c:val>
            <c:numRef>
              <c:f>'E02'!$B$7:$B$14</c:f>
              <c:numCache>
                <c:formatCode>#,##0.0</c:formatCode>
                <c:ptCount val="8"/>
                <c:pt idx="0">
                  <c:v>23.3</c:v>
                </c:pt>
                <c:pt idx="1">
                  <c:v>18.5</c:v>
                </c:pt>
                <c:pt idx="2">
                  <c:v>16.2</c:v>
                </c:pt>
                <c:pt idx="3">
                  <c:v>14.8</c:v>
                </c:pt>
                <c:pt idx="4">
                  <c:v>13.4</c:v>
                </c:pt>
                <c:pt idx="5">
                  <c:v>12.1</c:v>
                </c:pt>
                <c:pt idx="6">
                  <c:v>10.199999999999999</c:v>
                </c:pt>
                <c:pt idx="7">
                  <c:v>8.6999999999999993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86-4F27-8724-DF93928926DC}"/>
            </c:ext>
          </c:extLst>
        </c:ser>
        <c:ser>
          <c:idx val="1"/>
          <c:order val="1"/>
          <c:tx>
            <c:strRef>
              <c:f>'E02'!$C$6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.0;\-#,##0.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'E02'!$A$7:$A$14</c:f>
              <c:strCache>
                <c:ptCount val="8"/>
                <c:pt idx="0">
                  <c:v>Aurora Centro</c:v>
                </c:pt>
                <c:pt idx="1">
                  <c:v>Porto Sereno</c:v>
                </c:pt>
                <c:pt idx="2">
                  <c:v>Campo Dourado</c:v>
                </c:pt>
                <c:pt idx="3">
                  <c:v>Aurora Norte</c:v>
                </c:pt>
                <c:pt idx="4">
                  <c:v>Lago Prateado</c:v>
                </c:pt>
                <c:pt idx="5">
                  <c:v>Serra Clara</c:v>
                </c:pt>
                <c:pt idx="6">
                  <c:v>Monte Alvorada</c:v>
                </c:pt>
                <c:pt idx="7">
                  <c:v>Rio Turquesa</c:v>
                </c:pt>
              </c:strCache>
            </c:strRef>
          </c:cat>
          <c:val>
            <c:numRef>
              <c:f>'E02'!$C$7:$C$14</c:f>
              <c:numCache>
                <c:formatCode>#,##0.0</c:formatCode>
                <c:ptCount val="8"/>
                <c:pt idx="0">
                  <c:v>26.2</c:v>
                </c:pt>
                <c:pt idx="1">
                  <c:v>21.1</c:v>
                </c:pt>
                <c:pt idx="2">
                  <c:v>17.7</c:v>
                </c:pt>
                <c:pt idx="3">
                  <c:v>16.100000000000001</c:v>
                </c:pt>
                <c:pt idx="4">
                  <c:v>14.5</c:v>
                </c:pt>
                <c:pt idx="5">
                  <c:v>13.8</c:v>
                </c:pt>
                <c:pt idx="6">
                  <c:v>10.9</c:v>
                </c:pt>
                <c:pt idx="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86-4F27-8724-DF9392892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525896216"/>
        <c:axId val="525892256"/>
      </c:barChart>
      <c:catAx>
        <c:axId val="525896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25892256"/>
        <c:crosses val="autoZero"/>
        <c:auto val="0"/>
        <c:lblAlgn val="ctr"/>
        <c:lblOffset val="100"/>
        <c:noMultiLvlLbl val="0"/>
      </c:catAx>
      <c:valAx>
        <c:axId val="525892256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5896216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10869565217391304"/>
          <c:y val="3.9285714285714285E-2"/>
          <c:w val="0.78861605614515573"/>
          <c:h val="0.9214285714285713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'E03'!$B$6</c:f>
              <c:strCache>
                <c:ptCount val="1"/>
                <c:pt idx="0">
                  <c:v>B2C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_ThinQQ!$D$27</c:f>
                  <c:strCache>
                    <c:ptCount val="1"/>
                    <c:pt idx="0">
                      <c:v>61%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{625389D2-17C9-4BFD-AA08-599591EABF5E}</c15:txfldGUID>
                      <c15:f>_ThinQQ!$D$27</c15:f>
                      <c15:dlblFieldTableCache>
                        <c:ptCount val="1"/>
                        <c:pt idx="0">
                          <c:v>61%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ACE6-4717-BD05-7628F9507939}"/>
                </c:ext>
              </c:extLst>
            </c:dLbl>
            <c:dLbl>
              <c:idx val="1"/>
              <c:tx>
                <c:strRef>
                  <c:f>_ThinQQ!$D$28</c:f>
                  <c:strCache>
                    <c:ptCount val="1"/>
                    <c:pt idx="0">
                      <c:v>67%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{781986FA-00E9-47B0-92F3-2F9C7CE1BD7B}</c15:txfldGUID>
                      <c15:f>_ThinQQ!$D$28</c15:f>
                      <c15:dlblFieldTableCache>
                        <c:ptCount val="1"/>
                        <c:pt idx="0">
                          <c:v>67%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ACE6-4717-BD05-7628F9507939}"/>
                </c:ext>
              </c:extLst>
            </c:dLbl>
            <c:dLbl>
              <c:idx val="2"/>
              <c:tx>
                <c:strRef>
                  <c:f>_ThinQQ!$D$29</c:f>
                  <c:strCache>
                    <c:ptCount val="1"/>
                    <c:pt idx="0">
                      <c:v>76%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{6C0093F8-5052-40B2-BCE9-EEF3498B54B4}</c15:txfldGUID>
                      <c15:f>_ThinQQ!$D$29</c15:f>
                      <c15:dlblFieldTableCache>
                        <c:ptCount val="1"/>
                        <c:pt idx="0">
                          <c:v>76%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ACE6-4717-BD05-7628F9507939}"/>
                </c:ext>
              </c:extLst>
            </c:dLbl>
            <c:dLbl>
              <c:idx val="3"/>
              <c:tx>
                <c:strRef>
                  <c:f>_ThinQQ!$D$30</c:f>
                  <c:strCache>
                    <c:ptCount val="1"/>
                    <c:pt idx="0">
                      <c:v>69%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{F3D9C2D4-2B58-4B07-B500-2D966957741A}</c15:txfldGUID>
                      <c15:f>_ThinQQ!$D$30</c15:f>
                      <c15:dlblFieldTableCache>
                        <c:ptCount val="1"/>
                        <c:pt idx="0">
                          <c:v>69%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ACE6-4717-BD05-7628F9507939}"/>
                </c:ext>
              </c:extLst>
            </c:dLbl>
            <c:dLbl>
              <c:idx val="4"/>
              <c:tx>
                <c:strRef>
                  <c:f>_ThinQQ!$D$31</c:f>
                  <c:strCache>
                    <c:ptCount val="1"/>
                    <c:pt idx="0">
                      <c:v>66%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{FAE8D937-A7CE-49E3-85CF-CB7080D52C74}</c15:txfldGUID>
                      <c15:f>_ThinQQ!$D$31</c15:f>
                      <c15:dlblFieldTableCache>
                        <c:ptCount val="1"/>
                        <c:pt idx="0">
                          <c:v>66%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ACE6-4717-BD05-7628F9507939}"/>
                </c:ext>
              </c:extLst>
            </c:dLbl>
            <c:numFmt formatCode="0%;\-0%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'E03'!$A$7:$A$11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'E03'!$B$7:$B$11</c:f>
              <c:numCache>
                <c:formatCode>#,##0</c:formatCode>
                <c:ptCount val="5"/>
                <c:pt idx="0">
                  <c:v>25677</c:v>
                </c:pt>
                <c:pt idx="1">
                  <c:v>23420</c:v>
                </c:pt>
                <c:pt idx="2">
                  <c:v>19285</c:v>
                </c:pt>
                <c:pt idx="3">
                  <c:v>12171</c:v>
                </c:pt>
                <c:pt idx="4">
                  <c:v>6236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E6-4717-BD05-7628F9507939}"/>
            </c:ext>
          </c:extLst>
        </c:ser>
        <c:ser>
          <c:idx val="1"/>
          <c:order val="1"/>
          <c:tx>
            <c:strRef>
              <c:f>'E03'!$C$6</c:f>
              <c:strCache>
                <c:ptCount val="1"/>
                <c:pt idx="0">
                  <c:v>B2B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_ThinQQ!$E$27</c:f>
                  <c:strCache>
                    <c:ptCount val="1"/>
                    <c:pt idx="0">
                      <c:v>39%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{BF42F751-24AC-4A6C-9F78-F6584584FC37}</c15:txfldGUID>
                      <c15:f>_ThinQQ!$E$27</c15:f>
                      <c15:dlblFieldTableCache>
                        <c:ptCount val="1"/>
                        <c:pt idx="0">
                          <c:v>39%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ACE6-4717-BD05-7628F9507939}"/>
                </c:ext>
              </c:extLst>
            </c:dLbl>
            <c:dLbl>
              <c:idx val="1"/>
              <c:tx>
                <c:strRef>
                  <c:f>_ThinQQ!$E$28</c:f>
                  <c:strCache>
                    <c:ptCount val="1"/>
                    <c:pt idx="0">
                      <c:v>33%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{4EAC7774-1186-4016-8C78-BCEE8FCF1A8C}</c15:txfldGUID>
                      <c15:f>_ThinQQ!$E$28</c15:f>
                      <c15:dlblFieldTableCache>
                        <c:ptCount val="1"/>
                        <c:pt idx="0">
                          <c:v>33%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ACE6-4717-BD05-7628F9507939}"/>
                </c:ext>
              </c:extLst>
            </c:dLbl>
            <c:dLbl>
              <c:idx val="2"/>
              <c:tx>
                <c:strRef>
                  <c:f>_ThinQQ!$E$29</c:f>
                  <c:strCache>
                    <c:ptCount val="1"/>
                    <c:pt idx="0">
                      <c:v>24%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{A4FFFB29-6327-4D84-AA89-7A06FFB9F9AF}</c15:txfldGUID>
                      <c15:f>_ThinQQ!$E$29</c15:f>
                      <c15:dlblFieldTableCache>
                        <c:ptCount val="1"/>
                        <c:pt idx="0">
                          <c:v>24%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ACE6-4717-BD05-7628F9507939}"/>
                </c:ext>
              </c:extLst>
            </c:dLbl>
            <c:dLbl>
              <c:idx val="3"/>
              <c:tx>
                <c:strRef>
                  <c:f>_ThinQQ!$E$30</c:f>
                  <c:strCache>
                    <c:ptCount val="1"/>
                    <c:pt idx="0">
                      <c:v>31%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{0A739155-FBA9-4AC0-B925-BD478B713AE7}</c15:txfldGUID>
                      <c15:f>_ThinQQ!$E$30</c15:f>
                      <c15:dlblFieldTableCache>
                        <c:ptCount val="1"/>
                        <c:pt idx="0">
                          <c:v>31%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ACE6-4717-BD05-7628F9507939}"/>
                </c:ext>
              </c:extLst>
            </c:dLbl>
            <c:dLbl>
              <c:idx val="4"/>
              <c:tx>
                <c:strRef>
                  <c:f>_ThinQQ!$E$31</c:f>
                  <c:strCache>
                    <c:ptCount val="1"/>
                    <c:pt idx="0">
                      <c:v>34%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{4E5C6D01-C262-42F6-A81B-FE6572BCF4E3}</c15:txfldGUID>
                      <c15:f>_ThinQQ!$E$31</c15:f>
                      <c15:dlblFieldTableCache>
                        <c:ptCount val="1"/>
                        <c:pt idx="0">
                          <c:v>34%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ACE6-4717-BD05-7628F9507939}"/>
                </c:ext>
              </c:extLst>
            </c:dLbl>
            <c:numFmt formatCode="0%;\-0%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'E03'!$A$7:$A$11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'E03'!$C$7:$C$11</c:f>
              <c:numCache>
                <c:formatCode>#,##0</c:formatCode>
                <c:ptCount val="5"/>
                <c:pt idx="0">
                  <c:v>16587</c:v>
                </c:pt>
                <c:pt idx="1">
                  <c:v>11485</c:v>
                </c:pt>
                <c:pt idx="2">
                  <c:v>6165</c:v>
                </c:pt>
                <c:pt idx="3">
                  <c:v>5485</c:v>
                </c:pt>
                <c:pt idx="4">
                  <c:v>3199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E6-4717-BD05-7628F9507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8600640"/>
        <c:axId val="528602080"/>
      </c:barChart>
      <c:lineChart>
        <c:grouping val="standard"/>
        <c:varyColors val="0"/>
        <c:ser>
          <c:idx val="2"/>
          <c:order val="2"/>
          <c:tx>
            <c:v>tqq_total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_ThinQQ!$B$27</c:f>
                  <c:strCache>
                    <c:ptCount val="1"/>
                    <c:pt idx="0">
                      <c:v>42.264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{EF61C89E-A308-414D-8420-1B3F20EA7DB1}</c15:txfldGUID>
                      <c15:f>_ThinQQ!$B$27</c15:f>
                      <c15:dlblFieldTableCache>
                        <c:ptCount val="1"/>
                        <c:pt idx="0">
                          <c:v>42.264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ACE6-4717-BD05-7628F9507939}"/>
                </c:ext>
              </c:extLst>
            </c:dLbl>
            <c:dLbl>
              <c:idx val="1"/>
              <c:tx>
                <c:strRef>
                  <c:f>_ThinQQ!$B$28</c:f>
                  <c:strCache>
                    <c:ptCount val="1"/>
                    <c:pt idx="0">
                      <c:v>34.905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{6D6B889A-B48C-43A8-824E-E1363B710E73}</c15:txfldGUID>
                      <c15:f>_ThinQQ!$B$28</c15:f>
                      <c15:dlblFieldTableCache>
                        <c:ptCount val="1"/>
                        <c:pt idx="0">
                          <c:v>34.905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ACE6-4717-BD05-7628F9507939}"/>
                </c:ext>
              </c:extLst>
            </c:dLbl>
            <c:dLbl>
              <c:idx val="2"/>
              <c:tx>
                <c:strRef>
                  <c:f>_ThinQQ!$B$29</c:f>
                  <c:strCache>
                    <c:ptCount val="1"/>
                    <c:pt idx="0">
                      <c:v>25.450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{9F550CE0-C4EB-4E6F-92C9-74ACC2E2580C}</c15:txfldGUID>
                      <c15:f>_ThinQQ!$B$29</c15:f>
                      <c15:dlblFieldTableCache>
                        <c:ptCount val="1"/>
                        <c:pt idx="0">
                          <c:v>25.450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ACE6-4717-BD05-7628F9507939}"/>
                </c:ext>
              </c:extLst>
            </c:dLbl>
            <c:dLbl>
              <c:idx val="3"/>
              <c:tx>
                <c:strRef>
                  <c:f>_ThinQQ!$B$30</c:f>
                  <c:strCache>
                    <c:ptCount val="1"/>
                    <c:pt idx="0">
                      <c:v>17.656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{3691268D-B070-4D27-8851-4A6444F3DA0A}</c15:txfldGUID>
                      <c15:f>_ThinQQ!$B$30</c15:f>
                      <c15:dlblFieldTableCache>
                        <c:ptCount val="1"/>
                        <c:pt idx="0">
                          <c:v>17.656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ACE6-4717-BD05-7628F9507939}"/>
                </c:ext>
              </c:extLst>
            </c:dLbl>
            <c:dLbl>
              <c:idx val="4"/>
              <c:tx>
                <c:strRef>
                  <c:f>_ThinQQ!$B$31</c:f>
                  <c:strCache>
                    <c:ptCount val="1"/>
                    <c:pt idx="0">
                      <c:v>9.435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{7972919D-49BD-457B-8D2B-37B3D8C13B3D}</c15:txfldGUID>
                      <c15:f>_ThinQQ!$B$31</c15:f>
                      <c15:dlblFieldTableCache>
                        <c:ptCount val="1"/>
                        <c:pt idx="0">
                          <c:v>9.435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ACE6-4717-BD05-7628F9507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_ThinQQ!$C$27:$C$31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CE6-4717-BD05-7628F9507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600640"/>
        <c:axId val="528602080"/>
      </c:lineChart>
      <c:catAx>
        <c:axId val="52860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28602080"/>
        <c:crosses val="autoZero"/>
        <c:auto val="0"/>
        <c:lblAlgn val="ctr"/>
        <c:lblOffset val="100"/>
        <c:noMultiLvlLbl val="0"/>
      </c:catAx>
      <c:valAx>
        <c:axId val="52860208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8600640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391304347826087E-2"/>
          <c:y val="3.9285714285714285E-2"/>
          <c:w val="0.84113421550094514"/>
          <c:h val="0.92142857142857137"/>
        </c:manualLayout>
      </c:layout>
      <c:lineChart>
        <c:grouping val="standard"/>
        <c:varyColors val="0"/>
        <c:ser>
          <c:idx val="0"/>
          <c:order val="0"/>
          <c:tx>
            <c:strRef>
              <c:f>'E04'!$B$6</c:f>
              <c:strCache>
                <c:ptCount val="1"/>
                <c:pt idx="0">
                  <c:v>Vendas</c:v>
                </c:pt>
              </c:strCache>
            </c:strRef>
          </c:tx>
          <c:spPr>
            <a:ln w="25400">
              <a:solidFill>
                <a:srgbClr val="1F3864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 w="25400">
                <a:solidFill>
                  <a:srgbClr val="1F3864"/>
                </a:solidFill>
              </a:ln>
            </c:spPr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11-4B7C-A3A2-B6FA8DF27F57}"/>
                </c:ext>
              </c:extLst>
            </c:dLbl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'E04'!$A$7:$A$18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'E04'!$B$7:$B$18</c:f>
              <c:numCache>
                <c:formatCode>#,##0</c:formatCode>
                <c:ptCount val="12"/>
                <c:pt idx="0">
                  <c:v>2072</c:v>
                </c:pt>
                <c:pt idx="1">
                  <c:v>1976</c:v>
                </c:pt>
                <c:pt idx="2">
                  <c:v>1903</c:v>
                </c:pt>
                <c:pt idx="3">
                  <c:v>1890</c:v>
                </c:pt>
                <c:pt idx="4">
                  <c:v>1950</c:v>
                </c:pt>
                <c:pt idx="5">
                  <c:v>2094</c:v>
                </c:pt>
                <c:pt idx="6">
                  <c:v>2248</c:v>
                </c:pt>
                <c:pt idx="7">
                  <c:v>2332</c:v>
                </c:pt>
                <c:pt idx="8">
                  <c:v>2372</c:v>
                </c:pt>
                <c:pt idx="9">
                  <c:v>2444</c:v>
                </c:pt>
                <c:pt idx="10">
                  <c:v>2467</c:v>
                </c:pt>
                <c:pt idx="11">
                  <c:v>2450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11-4B7C-A3A2-B6FA8DF27F57}"/>
            </c:ext>
          </c:extLst>
        </c:ser>
        <c:ser>
          <c:idx val="1"/>
          <c:order val="1"/>
          <c:tx>
            <c:strRef>
              <c:f>'E04'!$C$6</c:f>
              <c:strCache>
                <c:ptCount val="1"/>
                <c:pt idx="0">
                  <c:v>Custo</c:v>
                </c:pt>
              </c:strCache>
            </c:strRef>
          </c:tx>
          <c:spPr>
            <a:ln w="25400">
              <a:solidFill>
                <a:srgbClr val="4472C4"/>
              </a:solidFill>
            </a:ln>
          </c:spPr>
          <c:marker>
            <c:symbol val="circle"/>
            <c:size val="5"/>
            <c:spPr>
              <a:solidFill>
                <a:srgbClr val="4472C4"/>
              </a:solidFill>
              <a:ln w="25400">
                <a:solidFill>
                  <a:srgbClr val="4472C4"/>
                </a:solidFill>
              </a:ln>
            </c:spPr>
          </c:marker>
          <c:dLbls>
            <c:dLbl>
              <c:idx val="11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11-4B7C-A3A2-B6FA8DF27F57}"/>
                </c:ext>
              </c:extLst>
            </c:dLbl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'E04'!$A$7:$A$18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'E04'!$C$7:$C$18</c:f>
              <c:numCache>
                <c:formatCode>#,##0</c:formatCode>
                <c:ptCount val="12"/>
                <c:pt idx="0">
                  <c:v>1420</c:v>
                </c:pt>
                <c:pt idx="1">
                  <c:v>1365</c:v>
                </c:pt>
                <c:pt idx="2">
                  <c:v>1308</c:v>
                </c:pt>
                <c:pt idx="3">
                  <c:v>1295</c:v>
                </c:pt>
                <c:pt idx="4">
                  <c:v>1347</c:v>
                </c:pt>
                <c:pt idx="5">
                  <c:v>1442</c:v>
                </c:pt>
                <c:pt idx="6">
                  <c:v>1546</c:v>
                </c:pt>
                <c:pt idx="7">
                  <c:v>1615</c:v>
                </c:pt>
                <c:pt idx="8">
                  <c:v>1620</c:v>
                </c:pt>
                <c:pt idx="9">
                  <c:v>1674</c:v>
                </c:pt>
                <c:pt idx="10">
                  <c:v>1692</c:v>
                </c:pt>
                <c:pt idx="11">
                  <c:v>1689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11-4B7C-A3A2-B6FA8DF27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603160"/>
        <c:axId val="528599920"/>
      </c:lineChart>
      <c:catAx>
        <c:axId val="5286031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28599920"/>
        <c:crosses val="autoZero"/>
        <c:auto val="0"/>
        <c:lblAlgn val="ctr"/>
        <c:lblOffset val="100"/>
        <c:noMultiLvlLbl val="0"/>
      </c:catAx>
      <c:valAx>
        <c:axId val="52859992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8603160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1.9642857142857142E-2"/>
          <c:y val="3.6666666666666667E-2"/>
          <c:w val="0.81785714285714284"/>
          <c:h val="0.92666666666666664"/>
        </c:manualLayout>
      </c:layout>
      <c:barChart>
        <c:barDir val="col"/>
        <c:grouping val="stacked"/>
        <c:varyColors val="0"/>
        <c:ser>
          <c:idx val="0"/>
          <c:order val="0"/>
          <c:tx>
            <c:v>tqq_base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4472C4">
                      <a:shade val="76000"/>
                    </a:srgbClr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'E05'!$A$7:$A$13</c:f>
              <c:strCache>
                <c:ptCount val="7"/>
                <c:pt idx="0">
                  <c:v>Receita bruta</c:v>
                </c:pt>
                <c:pt idx="1">
                  <c:v>Custo das mercadorias</c:v>
                </c:pt>
                <c:pt idx="2">
                  <c:v>Despesas operacionais</c:v>
                </c:pt>
                <c:pt idx="3">
                  <c:v>EBITDA</c:v>
                </c:pt>
                <c:pt idx="4">
                  <c:v>Depreciação e juros</c:v>
                </c:pt>
                <c:pt idx="5">
                  <c:v>Impostos</c:v>
                </c:pt>
                <c:pt idx="6">
                  <c:v>Lucro líquido</c:v>
                </c:pt>
              </c:strCache>
            </c:strRef>
          </c:cat>
          <c:val>
            <c:numRef>
              <c:f>_ThinQQ!$I$50:$I$56</c:f>
              <c:numCache>
                <c:formatCode>General</c:formatCode>
                <c:ptCount val="7"/>
                <c:pt idx="0">
                  <c:v>0</c:v>
                </c:pt>
                <c:pt idx="1">
                  <c:v>41417</c:v>
                </c:pt>
                <c:pt idx="2">
                  <c:v>14178</c:v>
                </c:pt>
                <c:pt idx="3">
                  <c:v>0</c:v>
                </c:pt>
                <c:pt idx="4">
                  <c:v>10935</c:v>
                </c:pt>
                <c:pt idx="5">
                  <c:v>7217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F-4762-AAF2-8172AC0B4BC7}"/>
            </c:ext>
          </c:extLst>
        </c:ser>
        <c:ser>
          <c:idx val="1"/>
          <c:order val="1"/>
          <c:tx>
            <c:v>tqq_uppos</c:v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'E05'!$A$7:$A$13</c:f>
              <c:strCache>
                <c:ptCount val="7"/>
                <c:pt idx="0">
                  <c:v>Receita bruta</c:v>
                </c:pt>
                <c:pt idx="1">
                  <c:v>Custo das mercadorias</c:v>
                </c:pt>
                <c:pt idx="2">
                  <c:v>Despesas operacionais</c:v>
                </c:pt>
                <c:pt idx="3">
                  <c:v>EBITDA</c:v>
                </c:pt>
                <c:pt idx="4">
                  <c:v>Depreciação e juros</c:v>
                </c:pt>
                <c:pt idx="5">
                  <c:v>Impostos</c:v>
                </c:pt>
                <c:pt idx="6">
                  <c:v>Lucro líquido</c:v>
                </c:pt>
              </c:strCache>
            </c:strRef>
          </c:cat>
          <c:val>
            <c:numRef>
              <c:f>_ThinQQ!$L$50:$L$56</c:f>
              <c:numCache>
                <c:formatCode>General</c:formatCode>
                <c:ptCount val="7"/>
                <c:pt idx="0">
                  <c:v>129710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CF-4762-AAF2-8172AC0B4BC7}"/>
            </c:ext>
          </c:extLst>
        </c:ser>
        <c:ser>
          <c:idx val="2"/>
          <c:order val="2"/>
          <c:tx>
            <c:v>tqq_upneg</c:v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'E05'!$A$7:$A$13</c:f>
              <c:strCache>
                <c:ptCount val="7"/>
                <c:pt idx="0">
                  <c:v>Receita bruta</c:v>
                </c:pt>
                <c:pt idx="1">
                  <c:v>Custo das mercadorias</c:v>
                </c:pt>
                <c:pt idx="2">
                  <c:v>Despesas operacionais</c:v>
                </c:pt>
                <c:pt idx="3">
                  <c:v>EBITDA</c:v>
                </c:pt>
                <c:pt idx="4">
                  <c:v>Depreciação e juros</c:v>
                </c:pt>
                <c:pt idx="5">
                  <c:v>Impostos</c:v>
                </c:pt>
                <c:pt idx="6">
                  <c:v>Lucro líquido</c:v>
                </c:pt>
              </c:strCache>
            </c:strRef>
          </c:cat>
          <c:val>
            <c:numRef>
              <c:f>_ThinQQ!$M$50:$M$56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CF-4762-AAF2-8172AC0B4BC7}"/>
            </c:ext>
          </c:extLst>
        </c:ser>
        <c:ser>
          <c:idx val="3"/>
          <c:order val="3"/>
          <c:tx>
            <c:v>tqq_downpos</c:v>
          </c:tx>
          <c:spPr>
            <a:solidFill>
              <a:srgbClr val="9DC3E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'E05'!$A$7:$A$13</c:f>
              <c:strCache>
                <c:ptCount val="7"/>
                <c:pt idx="0">
                  <c:v>Receita bruta</c:v>
                </c:pt>
                <c:pt idx="1">
                  <c:v>Custo das mercadorias</c:v>
                </c:pt>
                <c:pt idx="2">
                  <c:v>Despesas operacionais</c:v>
                </c:pt>
                <c:pt idx="3">
                  <c:v>EBITDA</c:v>
                </c:pt>
                <c:pt idx="4">
                  <c:v>Depreciação e juros</c:v>
                </c:pt>
                <c:pt idx="5">
                  <c:v>Impostos</c:v>
                </c:pt>
                <c:pt idx="6">
                  <c:v>Lucro líquido</c:v>
                </c:pt>
              </c:strCache>
            </c:strRef>
          </c:cat>
          <c:val>
            <c:numRef>
              <c:f>_ThinQQ!$N$50:$N$56</c:f>
              <c:numCache>
                <c:formatCode>General</c:formatCode>
                <c:ptCount val="7"/>
                <c:pt idx="0">
                  <c:v>0</c:v>
                </c:pt>
                <c:pt idx="1">
                  <c:v>88293</c:v>
                </c:pt>
                <c:pt idx="2">
                  <c:v>27239</c:v>
                </c:pt>
                <c:pt idx="3">
                  <c:v>0</c:v>
                </c:pt>
                <c:pt idx="4">
                  <c:v>3243</c:v>
                </c:pt>
                <c:pt idx="5">
                  <c:v>3718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CF-4762-AAF2-8172AC0B4BC7}"/>
            </c:ext>
          </c:extLst>
        </c:ser>
        <c:ser>
          <c:idx val="4"/>
          <c:order val="4"/>
          <c:tx>
            <c:v>tqq_downneg</c:v>
          </c:tx>
          <c:spPr>
            <a:solidFill>
              <a:srgbClr val="9DC3E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'E05'!$A$7:$A$13</c:f>
              <c:strCache>
                <c:ptCount val="7"/>
                <c:pt idx="0">
                  <c:v>Receita bruta</c:v>
                </c:pt>
                <c:pt idx="1">
                  <c:v>Custo das mercadorias</c:v>
                </c:pt>
                <c:pt idx="2">
                  <c:v>Despesas operacionais</c:v>
                </c:pt>
                <c:pt idx="3">
                  <c:v>EBITDA</c:v>
                </c:pt>
                <c:pt idx="4">
                  <c:v>Depreciação e juros</c:v>
                </c:pt>
                <c:pt idx="5">
                  <c:v>Impostos</c:v>
                </c:pt>
                <c:pt idx="6">
                  <c:v>Lucro líquido</c:v>
                </c:pt>
              </c:strCache>
            </c:strRef>
          </c:cat>
          <c:val>
            <c:numRef>
              <c:f>_ThinQQ!$O$50:$O$56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CF-4762-AAF2-8172AC0B4BC7}"/>
            </c:ext>
          </c:extLst>
        </c:ser>
        <c:ser>
          <c:idx val="5"/>
          <c:order val="5"/>
          <c:tx>
            <c:v>tqq_total</c:v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'E05'!$A$7:$A$13</c:f>
              <c:strCache>
                <c:ptCount val="7"/>
                <c:pt idx="0">
                  <c:v>Receita bruta</c:v>
                </c:pt>
                <c:pt idx="1">
                  <c:v>Custo das mercadorias</c:v>
                </c:pt>
                <c:pt idx="2">
                  <c:v>Despesas operacionais</c:v>
                </c:pt>
                <c:pt idx="3">
                  <c:v>EBITDA</c:v>
                </c:pt>
                <c:pt idx="4">
                  <c:v>Depreciação e juros</c:v>
                </c:pt>
                <c:pt idx="5">
                  <c:v>Impostos</c:v>
                </c:pt>
                <c:pt idx="6">
                  <c:v>Lucro líquido</c:v>
                </c:pt>
              </c:strCache>
            </c:strRef>
          </c:cat>
          <c:val>
            <c:numRef>
              <c:f>_ThinQQ!$P$50:$P$56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14178</c:v>
                </c:pt>
                <c:pt idx="4">
                  <c:v>0</c:v>
                </c:pt>
                <c:pt idx="5">
                  <c:v>0</c:v>
                </c:pt>
                <c:pt idx="6">
                  <c:v>7217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CF-4762-AAF2-8172AC0B4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97378936"/>
        <c:axId val="397379296"/>
      </c:barChart>
      <c:lineChart>
        <c:grouping val="standard"/>
        <c:varyColors val="0"/>
        <c:ser>
          <c:idx val="6"/>
          <c:order val="6"/>
          <c:tx>
            <c:v>tqq_lbl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4472C4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_ThinQQ!$Q$50</c:f>
                  <c:strCache>
                    <c:ptCount val="1"/>
                    <c:pt idx="0">
                      <c:v>129.710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{65CDB004-8E9E-437B-8C2D-8B3918D6C099}</c15:txfldGUID>
                      <c15:f>_ThinQQ!$Q$50</c15:f>
                      <c15:dlblFieldTableCache>
                        <c:ptCount val="1"/>
                        <c:pt idx="0">
                          <c:v>129.710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FFCF-4762-AAF2-8172AC0B4BC7}"/>
                </c:ext>
              </c:extLst>
            </c:dLbl>
            <c:dLbl>
              <c:idx val="1"/>
              <c:tx>
                <c:strRef>
                  <c:f>_ThinQQ!$Q$51</c:f>
                  <c:strCache>
                    <c:ptCount val="1"/>
                    <c:pt idx="0">
                      <c:v>-88.293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{217D706D-3BE4-48AD-818E-A2D343E0C3ED}</c15:txfldGUID>
                      <c15:f>_ThinQQ!$Q$51</c15:f>
                      <c15:dlblFieldTableCache>
                        <c:ptCount val="1"/>
                        <c:pt idx="0">
                          <c:v>-88.293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FFCF-4762-AAF2-8172AC0B4BC7}"/>
                </c:ext>
              </c:extLst>
            </c:dLbl>
            <c:dLbl>
              <c:idx val="2"/>
              <c:tx>
                <c:strRef>
                  <c:f>_ThinQQ!$Q$52</c:f>
                  <c:strCache>
                    <c:ptCount val="1"/>
                    <c:pt idx="0">
                      <c:v>-27.239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{5B91C236-EB80-46AB-ADDC-66AF13967FA1}</c15:txfldGUID>
                      <c15:f>_ThinQQ!$Q$52</c15:f>
                      <c15:dlblFieldTableCache>
                        <c:ptCount val="1"/>
                        <c:pt idx="0">
                          <c:v>-27.239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FFCF-4762-AAF2-8172AC0B4BC7}"/>
                </c:ext>
              </c:extLst>
            </c:dLbl>
            <c:dLbl>
              <c:idx val="3"/>
              <c:tx>
                <c:strRef>
                  <c:f>_ThinQQ!$Q$53</c:f>
                  <c:strCache>
                    <c:ptCount val="1"/>
                    <c:pt idx="0">
                      <c:v>14.178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{B66A35D9-F60A-4D92-B27A-0C8D766DB563}</c15:txfldGUID>
                      <c15:f>_ThinQQ!$Q$53</c15:f>
                      <c15:dlblFieldTableCache>
                        <c:ptCount val="1"/>
                        <c:pt idx="0">
                          <c:v>14.178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FFCF-4762-AAF2-8172AC0B4BC7}"/>
                </c:ext>
              </c:extLst>
            </c:dLbl>
            <c:dLbl>
              <c:idx val="4"/>
              <c:tx>
                <c:strRef>
                  <c:f>_ThinQQ!$Q$54</c:f>
                  <c:strCache>
                    <c:ptCount val="1"/>
                    <c:pt idx="0">
                      <c:v>-3.243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{0B9F9907-0F99-4523-BDBE-E3F1CB8DF3FD}</c15:txfldGUID>
                      <c15:f>_ThinQQ!$Q$54</c15:f>
                      <c15:dlblFieldTableCache>
                        <c:ptCount val="1"/>
                        <c:pt idx="0">
                          <c:v>-3.243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FFCF-4762-AAF2-8172AC0B4BC7}"/>
                </c:ext>
              </c:extLst>
            </c:dLbl>
            <c:dLbl>
              <c:idx val="5"/>
              <c:tx>
                <c:strRef>
                  <c:f>_ThinQQ!$Q$55</c:f>
                  <c:strCache>
                    <c:ptCount val="1"/>
                    <c:pt idx="0">
                      <c:v>-3.718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{BD02FAB4-8D9D-4CDD-9F36-B83BD4B50653}</c15:txfldGUID>
                      <c15:f>_ThinQQ!$Q$55</c15:f>
                      <c15:dlblFieldTableCache>
                        <c:ptCount val="1"/>
                        <c:pt idx="0">
                          <c:v>-3.718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FFCF-4762-AAF2-8172AC0B4BC7}"/>
                </c:ext>
              </c:extLst>
            </c:dLbl>
            <c:dLbl>
              <c:idx val="6"/>
              <c:tx>
                <c:strRef>
                  <c:f>_ThinQQ!$Q$56</c:f>
                  <c:strCache>
                    <c:ptCount val="1"/>
                    <c:pt idx="0">
                      <c:v>7.217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{50C3A8CF-8CCF-41D2-B887-719F62FE21D3}</c15:txfldGUID>
                      <c15:f>_ThinQQ!$Q$56</c15:f>
                      <c15:dlblFieldTableCache>
                        <c:ptCount val="1"/>
                        <c:pt idx="0">
                          <c:v>7.217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FFCF-4762-AAF2-8172AC0B4BC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_ThinQQ!$R$50:$R$56</c:f>
              <c:numCache>
                <c:formatCode>General</c:formatCode>
                <c:ptCount val="7"/>
                <c:pt idx="0">
                  <c:v>129710</c:v>
                </c:pt>
                <c:pt idx="1">
                  <c:v>41417</c:v>
                </c:pt>
                <c:pt idx="2">
                  <c:v>14178</c:v>
                </c:pt>
                <c:pt idx="3">
                  <c:v>14178</c:v>
                </c:pt>
                <c:pt idx="4">
                  <c:v>10935</c:v>
                </c:pt>
                <c:pt idx="5">
                  <c:v>7217</c:v>
                </c:pt>
                <c:pt idx="6">
                  <c:v>7217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FCF-4762-AAF2-8172AC0B4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378936"/>
        <c:axId val="397379296"/>
      </c:lineChart>
      <c:catAx>
        <c:axId val="397378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397379296"/>
        <c:crosses val="autoZero"/>
        <c:auto val="0"/>
        <c:lblAlgn val="ctr"/>
        <c:lblOffset val="100"/>
        <c:noMultiLvlLbl val="0"/>
      </c:catAx>
      <c:valAx>
        <c:axId val="397379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397378936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391304347826087E-2"/>
          <c:y val="3.9285714285714285E-2"/>
          <c:w val="0.84619185676138298"/>
          <c:h val="0.8357142857142857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'E06'!$B$6</c:f>
              <c:strCache>
                <c:ptCount val="1"/>
                <c:pt idx="0">
                  <c:v>B2C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'E06'!$A$7:$A$11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'E06'!$B$7:$B$11</c:f>
              <c:numCache>
                <c:formatCode>#,##0</c:formatCode>
                <c:ptCount val="5"/>
                <c:pt idx="0">
                  <c:v>25677</c:v>
                </c:pt>
                <c:pt idx="1">
                  <c:v>23420</c:v>
                </c:pt>
                <c:pt idx="2">
                  <c:v>19285</c:v>
                </c:pt>
                <c:pt idx="3">
                  <c:v>12171</c:v>
                </c:pt>
                <c:pt idx="4">
                  <c:v>6236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8A-400F-BB04-995DFA33DA9B}"/>
            </c:ext>
          </c:extLst>
        </c:ser>
        <c:ser>
          <c:idx val="1"/>
          <c:order val="1"/>
          <c:tx>
            <c:strRef>
              <c:f>'E06'!$C$6</c:f>
              <c:strCache>
                <c:ptCount val="1"/>
                <c:pt idx="0">
                  <c:v>B2B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'E06'!$A$7:$A$11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'E06'!$C$7:$C$11</c:f>
              <c:numCache>
                <c:formatCode>#,##0</c:formatCode>
                <c:ptCount val="5"/>
                <c:pt idx="0">
                  <c:v>16587</c:v>
                </c:pt>
                <c:pt idx="1">
                  <c:v>11485</c:v>
                </c:pt>
                <c:pt idx="2">
                  <c:v>6165</c:v>
                </c:pt>
                <c:pt idx="3">
                  <c:v>5485</c:v>
                </c:pt>
                <c:pt idx="4">
                  <c:v>3199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8A-400F-BB04-995DFA33D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8440480"/>
        <c:axId val="528437600"/>
      </c:barChart>
      <c:scatterChart>
        <c:scatterStyle val="lineMarker"/>
        <c:varyColors val="0"/>
        <c:ser>
          <c:idx val="2"/>
          <c:order val="2"/>
          <c:tx>
            <c:v>tqq_total</c:v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_ThinQQ!$B$60</c:f>
                  <c:strCache>
                    <c:ptCount val="1"/>
                    <c:pt idx="0">
                      <c:v>42.264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{25128C22-C74E-4CEA-A668-F1E9B156C243}</c15:txfldGUID>
                      <c15:f>_ThinQQ!$B$60</c15:f>
                      <c15:dlblFieldTableCache>
                        <c:ptCount val="1"/>
                        <c:pt idx="0">
                          <c:v>42.264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308A-400F-BB04-995DFA33DA9B}"/>
                </c:ext>
              </c:extLst>
            </c:dLbl>
            <c:dLbl>
              <c:idx val="1"/>
              <c:tx>
                <c:strRef>
                  <c:f>_ThinQQ!$B$61</c:f>
                  <c:strCache>
                    <c:ptCount val="1"/>
                    <c:pt idx="0">
                      <c:v>34.905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{19DB41B8-2445-427C-9EED-E77C58598617}</c15:txfldGUID>
                      <c15:f>_ThinQQ!$B$61</c15:f>
                      <c15:dlblFieldTableCache>
                        <c:ptCount val="1"/>
                        <c:pt idx="0">
                          <c:v>34.905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308A-400F-BB04-995DFA33DA9B}"/>
                </c:ext>
              </c:extLst>
            </c:dLbl>
            <c:dLbl>
              <c:idx val="2"/>
              <c:tx>
                <c:strRef>
                  <c:f>_ThinQQ!$B$62</c:f>
                  <c:strCache>
                    <c:ptCount val="1"/>
                    <c:pt idx="0">
                      <c:v>25.450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{01592C06-7239-48C6-BD46-64D3DE8B573C}</c15:txfldGUID>
                      <c15:f>_ThinQQ!$B$62</c15:f>
                      <c15:dlblFieldTableCache>
                        <c:ptCount val="1"/>
                        <c:pt idx="0">
                          <c:v>25.450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308A-400F-BB04-995DFA33DA9B}"/>
                </c:ext>
              </c:extLst>
            </c:dLbl>
            <c:dLbl>
              <c:idx val="3"/>
              <c:tx>
                <c:strRef>
                  <c:f>_ThinQQ!$B$63</c:f>
                  <c:strCache>
                    <c:ptCount val="1"/>
                    <c:pt idx="0">
                      <c:v>17.656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{BCC61A19-5F26-4A16-9B1C-8229C76C60A1}</c15:txfldGUID>
                      <c15:f>_ThinQQ!$B$63</c15:f>
                      <c15:dlblFieldTableCache>
                        <c:ptCount val="1"/>
                        <c:pt idx="0">
                          <c:v>17.656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308A-400F-BB04-995DFA33DA9B}"/>
                </c:ext>
              </c:extLst>
            </c:dLbl>
            <c:dLbl>
              <c:idx val="4"/>
              <c:tx>
                <c:strRef>
                  <c:f>_ThinQQ!$B$64</c:f>
                  <c:strCache>
                    <c:ptCount val="1"/>
                    <c:pt idx="0">
                      <c:v>9.435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{1A9DE13A-D154-4BCD-8780-4489435A6090}</c15:txfldGUID>
                      <c15:f>_ThinQQ!$B$64</c15:f>
                      <c15:dlblFieldTableCache>
                        <c:ptCount val="1"/>
                        <c:pt idx="0">
                          <c:v>9.435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308A-400F-BB04-995DFA33DA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_ThinQQ!$C$60:$C$64</c:f>
              <c:numCache>
                <c:formatCode>General</c:formatCode>
                <c:ptCount val="5"/>
                <c:pt idx="0">
                  <c:v>42264</c:v>
                </c:pt>
                <c:pt idx="1">
                  <c:v>34905</c:v>
                </c:pt>
                <c:pt idx="2">
                  <c:v>25450</c:v>
                </c:pt>
                <c:pt idx="3">
                  <c:v>17656</c:v>
                </c:pt>
                <c:pt idx="4">
                  <c:v>9435</c:v>
                </c:pt>
              </c:numCache>
            </c:numRef>
          </c:xVal>
          <c:yVal>
            <c:numRef>
              <c:f>_ThinQQ!$D$60:$D$64</c:f>
              <c:numCache>
                <c:formatCode>General</c:formatCode>
                <c:ptCount val="5"/>
                <c:pt idx="0">
                  <c:v>4.5</c:v>
                </c:pt>
                <c:pt idx="1">
                  <c:v>3.5</c:v>
                </c:pt>
                <c:pt idx="2">
                  <c:v>2.5</c:v>
                </c:pt>
                <c:pt idx="3">
                  <c:v>1.5</c:v>
                </c:pt>
                <c:pt idx="4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8A-400F-BB04-995DFA33D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438320"/>
        <c:axId val="528436880"/>
      </c:scatterChart>
      <c:catAx>
        <c:axId val="5284404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28437600"/>
        <c:crosses val="autoZero"/>
        <c:auto val="0"/>
        <c:lblAlgn val="ctr"/>
        <c:lblOffset val="100"/>
        <c:noMultiLvlLbl val="0"/>
      </c:catAx>
      <c:valAx>
        <c:axId val="528437600"/>
        <c:scaling>
          <c:orientation val="minMax"/>
        </c:scaling>
        <c:delete val="0"/>
        <c:axPos val="t"/>
        <c:numFmt formatCode="#,##0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8440480"/>
        <c:crosses val="autoZero"/>
        <c:crossBetween val="between"/>
      </c:valAx>
      <c:valAx>
        <c:axId val="528436880"/>
        <c:scaling>
          <c:orientation val="minMax"/>
          <c:max val="5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8438320"/>
        <c:crosses val="max"/>
        <c:crossBetween val="midCat"/>
      </c:valAx>
      <c:valAx>
        <c:axId val="528438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8436880"/>
        <c:crossBetween val="midCat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'E07'!$B$6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,;\-#,##0,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'E07'!$A$7:$A$14</c:f>
              <c:strCache>
                <c:ptCount val="8"/>
                <c:pt idx="0">
                  <c:v>Aurora Centro</c:v>
                </c:pt>
                <c:pt idx="1">
                  <c:v>Porto Sereno</c:v>
                </c:pt>
                <c:pt idx="2">
                  <c:v>Campo Dourado</c:v>
                </c:pt>
                <c:pt idx="3">
                  <c:v>Aurora Norte</c:v>
                </c:pt>
                <c:pt idx="4">
                  <c:v>Lago Prateado</c:v>
                </c:pt>
                <c:pt idx="5">
                  <c:v>Serra Clara</c:v>
                </c:pt>
                <c:pt idx="6">
                  <c:v>Monte Alvorada</c:v>
                </c:pt>
                <c:pt idx="7">
                  <c:v>Rio Turquesa</c:v>
                </c:pt>
              </c:strCache>
            </c:strRef>
          </c:cat>
          <c:val>
            <c:numRef>
              <c:f>'E07'!$B$7:$B$14</c:f>
              <c:numCache>
                <c:formatCode>#,##0</c:formatCode>
                <c:ptCount val="8"/>
                <c:pt idx="0">
                  <c:v>23323828</c:v>
                </c:pt>
                <c:pt idx="1">
                  <c:v>18479885</c:v>
                </c:pt>
                <c:pt idx="2">
                  <c:v>16236776</c:v>
                </c:pt>
                <c:pt idx="3">
                  <c:v>14773252</c:v>
                </c:pt>
                <c:pt idx="4">
                  <c:v>13402182</c:v>
                </c:pt>
                <c:pt idx="5">
                  <c:v>12087322</c:v>
                </c:pt>
                <c:pt idx="6">
                  <c:v>10205303</c:v>
                </c:pt>
                <c:pt idx="7">
                  <c:v>8715402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C-4B35-8F4C-06F52D2646B9}"/>
            </c:ext>
          </c:extLst>
        </c:ser>
        <c:ser>
          <c:idx val="1"/>
          <c:order val="1"/>
          <c:tx>
            <c:strRef>
              <c:f>'E07'!$C$6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,;\-#,##0,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'E07'!$A$7:$A$14</c:f>
              <c:strCache>
                <c:ptCount val="8"/>
                <c:pt idx="0">
                  <c:v>Aurora Centro</c:v>
                </c:pt>
                <c:pt idx="1">
                  <c:v>Porto Sereno</c:v>
                </c:pt>
                <c:pt idx="2">
                  <c:v>Campo Dourado</c:v>
                </c:pt>
                <c:pt idx="3">
                  <c:v>Aurora Norte</c:v>
                </c:pt>
                <c:pt idx="4">
                  <c:v>Lago Prateado</c:v>
                </c:pt>
                <c:pt idx="5">
                  <c:v>Serra Clara</c:v>
                </c:pt>
                <c:pt idx="6">
                  <c:v>Monte Alvorada</c:v>
                </c:pt>
                <c:pt idx="7">
                  <c:v>Rio Turquesa</c:v>
                </c:pt>
              </c:strCache>
            </c:strRef>
          </c:cat>
          <c:val>
            <c:numRef>
              <c:f>'E07'!$C$7:$C$14</c:f>
              <c:numCache>
                <c:formatCode>#,##0</c:formatCode>
                <c:ptCount val="8"/>
                <c:pt idx="0">
                  <c:v>26200229</c:v>
                </c:pt>
                <c:pt idx="1">
                  <c:v>21085258</c:v>
                </c:pt>
                <c:pt idx="2">
                  <c:v>17656275</c:v>
                </c:pt>
                <c:pt idx="3">
                  <c:v>16064115</c:v>
                </c:pt>
                <c:pt idx="4">
                  <c:v>14531945</c:v>
                </c:pt>
                <c:pt idx="5">
                  <c:v>13819600</c:v>
                </c:pt>
                <c:pt idx="6">
                  <c:v>10917761</c:v>
                </c:pt>
                <c:pt idx="7">
                  <c:v>9435053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6C-4B35-8F4C-06F52D264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18770864"/>
        <c:axId val="518768344"/>
      </c:barChart>
      <c:catAx>
        <c:axId val="5187708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18768344"/>
        <c:crosses val="autoZero"/>
        <c:auto val="0"/>
        <c:lblAlgn val="ctr"/>
        <c:lblOffset val="100"/>
        <c:noMultiLvlLbl val="0"/>
      </c:catAx>
      <c:valAx>
        <c:axId val="518768344"/>
        <c:scaling>
          <c:orientation val="minMax"/>
        </c:scaling>
        <c:delete val="0"/>
        <c:axPos val="t"/>
        <c:numFmt formatCode="#,##0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18770864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391304347826087E-2"/>
          <c:y val="0.10397075244358607"/>
          <c:w val="0.80252909962341645"/>
          <c:h val="0.8567435332706996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'E08'!$B$6</c:f>
              <c:strCache>
                <c:ptCount val="1"/>
                <c:pt idx="0">
                  <c:v>B2C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_ThinQQ!$D$79</c:f>
                  <c:strCache>
                    <c:ptCount val="1"/>
                    <c:pt idx="0">
                      <c:v>57%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{45987254-43B3-49F6-AAF6-0DBB03820126}</c15:txfldGUID>
                      <c15:f>_ThinQQ!$D$79</c15:f>
                      <c15:dlblFieldTableCache>
                        <c:ptCount val="1"/>
                        <c:pt idx="0">
                          <c:v>57%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9579-48F7-8BD2-8EEF300EA7AF}"/>
                </c:ext>
              </c:extLst>
            </c:dLbl>
            <c:dLbl>
              <c:idx val="1"/>
              <c:tx>
                <c:strRef>
                  <c:f>_ThinQQ!$D$80</c:f>
                  <c:strCache>
                    <c:ptCount val="1"/>
                    <c:pt idx="0">
                      <c:v>76%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{876E2102-DBB7-482D-8EC1-E296C2899531}</c15:txfldGUID>
                      <c15:f>_ThinQQ!$D$80</c15:f>
                      <c15:dlblFieldTableCache>
                        <c:ptCount val="1"/>
                        <c:pt idx="0">
                          <c:v>76%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9579-48F7-8BD2-8EEF300EA7AF}"/>
                </c:ext>
              </c:extLst>
            </c:dLbl>
            <c:dLbl>
              <c:idx val="2"/>
              <c:tx>
                <c:strRef>
                  <c:f>_ThinQQ!$D$81</c:f>
                  <c:strCache>
                    <c:ptCount val="1"/>
                    <c:pt idx="0">
                      <c:v>69%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{18471F84-AAFF-4447-B2FE-C186C53262C0}</c15:txfldGUID>
                      <c15:f>_ThinQQ!$D$81</c15:f>
                      <c15:dlblFieldTableCache>
                        <c:ptCount val="1"/>
                        <c:pt idx="0">
                          <c:v>69%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9579-48F7-8BD2-8EEF300EA7AF}"/>
                </c:ext>
              </c:extLst>
            </c:dLbl>
            <c:dLbl>
              <c:idx val="3"/>
              <c:tx>
                <c:strRef>
                  <c:f>_ThinQQ!$D$82</c:f>
                  <c:strCache>
                    <c:ptCount val="1"/>
                    <c:pt idx="0">
                      <c:v>67%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{EF6000B9-5F37-4A34-AB97-FEB5A879A4DC}</c15:txfldGUID>
                      <c15:f>_ThinQQ!$D$82</c15:f>
                      <c15:dlblFieldTableCache>
                        <c:ptCount val="1"/>
                        <c:pt idx="0">
                          <c:v>67%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9579-48F7-8BD2-8EEF300EA7AF}"/>
                </c:ext>
              </c:extLst>
            </c:dLbl>
            <c:dLbl>
              <c:idx val="4"/>
              <c:tx>
                <c:strRef>
                  <c:f>_ThinQQ!$D$83</c:f>
                  <c:strCache>
                    <c:ptCount val="1"/>
                    <c:pt idx="0">
                      <c:v>79%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{967453A1-EEB0-4712-B0C1-30B523FC4C32}</c15:txfldGUID>
                      <c15:f>_ThinQQ!$D$83</c15:f>
                      <c15:dlblFieldTableCache>
                        <c:ptCount val="1"/>
                        <c:pt idx="0">
                          <c:v>79%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9579-48F7-8BD2-8EEF300EA7AF}"/>
                </c:ext>
              </c:extLst>
            </c:dLbl>
            <c:dLbl>
              <c:idx val="5"/>
              <c:tx>
                <c:strRef>
                  <c:f>_ThinQQ!$D$84</c:f>
                  <c:strCache>
                    <c:ptCount val="1"/>
                    <c:pt idx="0">
                      <c:v>53%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{2538B0BD-156A-4F4D-AC18-EA9AE19262FE}</c15:txfldGUID>
                      <c15:f>_ThinQQ!$D$84</c15:f>
                      <c15:dlblFieldTableCache>
                        <c:ptCount val="1"/>
                        <c:pt idx="0">
                          <c:v>53%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9579-48F7-8BD2-8EEF300EA7AF}"/>
                </c:ext>
              </c:extLst>
            </c:dLbl>
            <c:dLbl>
              <c:idx val="6"/>
              <c:tx>
                <c:strRef>
                  <c:f>_ThinQQ!$D$85</c:f>
                  <c:strCache>
                    <c:ptCount val="1"/>
                    <c:pt idx="0">
                      <c:v>72%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{D629934D-3423-4C4F-AAD7-44D0D53EA859}</c15:txfldGUID>
                      <c15:f>_ThinQQ!$D$85</c15:f>
                      <c15:dlblFieldTableCache>
                        <c:ptCount val="1"/>
                        <c:pt idx="0">
                          <c:v>72%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9579-48F7-8BD2-8EEF300EA7AF}"/>
                </c:ext>
              </c:extLst>
            </c:dLbl>
            <c:dLbl>
              <c:idx val="7"/>
              <c:tx>
                <c:strRef>
                  <c:f>_ThinQQ!$D$86</c:f>
                  <c:strCache>
                    <c:ptCount val="1"/>
                    <c:pt idx="0">
                      <c:v>66%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{5D46A0C5-42E6-42F0-81E9-36E031A4E656}</c15:txfldGUID>
                      <c15:f>_ThinQQ!$D$86</c15:f>
                      <c15:dlblFieldTableCache>
                        <c:ptCount val="1"/>
                        <c:pt idx="0">
                          <c:v>66%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9579-48F7-8BD2-8EEF300EA7AF}"/>
                </c:ext>
              </c:extLst>
            </c:dLbl>
            <c:numFmt formatCode="0%;\-0%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'E08'!$A$7:$A$14</c:f>
              <c:strCache>
                <c:ptCount val="8"/>
                <c:pt idx="0">
                  <c:v>Aurora Centro</c:v>
                </c:pt>
                <c:pt idx="1">
                  <c:v>Porto Sereno</c:v>
                </c:pt>
                <c:pt idx="2">
                  <c:v>Campo Dourado</c:v>
                </c:pt>
                <c:pt idx="3">
                  <c:v>Aurora Norte</c:v>
                </c:pt>
                <c:pt idx="4">
                  <c:v>Lago Prateado</c:v>
                </c:pt>
                <c:pt idx="5">
                  <c:v>Serra Clara</c:v>
                </c:pt>
                <c:pt idx="6">
                  <c:v>Monte Alvorada</c:v>
                </c:pt>
                <c:pt idx="7">
                  <c:v>Rio Turquesa</c:v>
                </c:pt>
              </c:strCache>
            </c:strRef>
          </c:cat>
          <c:val>
            <c:numRef>
              <c:f>'E08'!$B$7:$B$14</c:f>
              <c:numCache>
                <c:formatCode>#,##0</c:formatCode>
                <c:ptCount val="8"/>
                <c:pt idx="0">
                  <c:v>14929</c:v>
                </c:pt>
                <c:pt idx="1">
                  <c:v>16058</c:v>
                </c:pt>
                <c:pt idx="2">
                  <c:v>12171</c:v>
                </c:pt>
                <c:pt idx="3">
                  <c:v>10747</c:v>
                </c:pt>
                <c:pt idx="4">
                  <c:v>11461</c:v>
                </c:pt>
                <c:pt idx="5">
                  <c:v>7362</c:v>
                </c:pt>
                <c:pt idx="6">
                  <c:v>7824</c:v>
                </c:pt>
                <c:pt idx="7">
                  <c:v>6236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79-48F7-8BD2-8EEF300EA7AF}"/>
            </c:ext>
          </c:extLst>
        </c:ser>
        <c:ser>
          <c:idx val="1"/>
          <c:order val="1"/>
          <c:tx>
            <c:strRef>
              <c:f>'E08'!$C$6</c:f>
              <c:strCache>
                <c:ptCount val="1"/>
                <c:pt idx="0">
                  <c:v>B2B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_ThinQQ!$E$79</c:f>
                  <c:strCache>
                    <c:ptCount val="1"/>
                    <c:pt idx="0">
                      <c:v>43%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{04393076-57CA-45D1-A3BC-20A5B43B67E5}</c15:txfldGUID>
                      <c15:f>_ThinQQ!$E$79</c15:f>
                      <c15:dlblFieldTableCache>
                        <c:ptCount val="1"/>
                        <c:pt idx="0">
                          <c:v>43%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9579-48F7-8BD2-8EEF300EA7AF}"/>
                </c:ext>
              </c:extLst>
            </c:dLbl>
            <c:dLbl>
              <c:idx val="1"/>
              <c:tx>
                <c:strRef>
                  <c:f>_ThinQQ!$E$80</c:f>
                  <c:strCache>
                    <c:ptCount val="1"/>
                    <c:pt idx="0">
                      <c:v>24%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{A0BA88E6-4693-444A-ABF3-01E43AE2FCBD}</c15:txfldGUID>
                      <c15:f>_ThinQQ!$E$80</c15:f>
                      <c15:dlblFieldTableCache>
                        <c:ptCount val="1"/>
                        <c:pt idx="0">
                          <c:v>24%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9579-48F7-8BD2-8EEF300EA7AF}"/>
                </c:ext>
              </c:extLst>
            </c:dLbl>
            <c:dLbl>
              <c:idx val="2"/>
              <c:tx>
                <c:strRef>
                  <c:f>_ThinQQ!$E$81</c:f>
                  <c:strCache>
                    <c:ptCount val="1"/>
                    <c:pt idx="0">
                      <c:v>31%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{01EB64BC-235D-4E61-BBAF-1CF0C20623AD}</c15:txfldGUID>
                      <c15:f>_ThinQQ!$E$81</c15:f>
                      <c15:dlblFieldTableCache>
                        <c:ptCount val="1"/>
                        <c:pt idx="0">
                          <c:v>31%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9579-48F7-8BD2-8EEF300EA7AF}"/>
                </c:ext>
              </c:extLst>
            </c:dLbl>
            <c:dLbl>
              <c:idx val="3"/>
              <c:tx>
                <c:strRef>
                  <c:f>_ThinQQ!$E$82</c:f>
                  <c:strCache>
                    <c:ptCount val="1"/>
                    <c:pt idx="0">
                      <c:v>33%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{5F89021A-E278-4513-9D27-92D28BF9D7C5}</c15:txfldGUID>
                      <c15:f>_ThinQQ!$E$82</c15:f>
                      <c15:dlblFieldTableCache>
                        <c:ptCount val="1"/>
                        <c:pt idx="0">
                          <c:v>33%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9579-48F7-8BD2-8EEF300EA7AF}"/>
                </c:ext>
              </c:extLst>
            </c:dLbl>
            <c:dLbl>
              <c:idx val="4"/>
              <c:tx>
                <c:strRef>
                  <c:f>_ThinQQ!$E$83</c:f>
                  <c:strCache>
                    <c:ptCount val="1"/>
                    <c:pt idx="0">
                      <c:v>21%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{3250F4E1-D65F-468C-8660-BB81A1D8E9E1}</c15:txfldGUID>
                      <c15:f>_ThinQQ!$E$83</c15:f>
                      <c15:dlblFieldTableCache>
                        <c:ptCount val="1"/>
                        <c:pt idx="0">
                          <c:v>21%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9579-48F7-8BD2-8EEF300EA7AF}"/>
                </c:ext>
              </c:extLst>
            </c:dLbl>
            <c:dLbl>
              <c:idx val="5"/>
              <c:tx>
                <c:strRef>
                  <c:f>_ThinQQ!$E$84</c:f>
                  <c:strCache>
                    <c:ptCount val="1"/>
                    <c:pt idx="0">
                      <c:v>47%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{834A508C-8362-4B9C-913E-B2F9B155121D}</c15:txfldGUID>
                      <c15:f>_ThinQQ!$E$84</c15:f>
                      <c15:dlblFieldTableCache>
                        <c:ptCount val="1"/>
                        <c:pt idx="0">
                          <c:v>47%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9579-48F7-8BD2-8EEF300EA7AF}"/>
                </c:ext>
              </c:extLst>
            </c:dLbl>
            <c:dLbl>
              <c:idx val="6"/>
              <c:tx>
                <c:strRef>
                  <c:f>_ThinQQ!$E$85</c:f>
                  <c:strCache>
                    <c:ptCount val="1"/>
                    <c:pt idx="0">
                      <c:v>28%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{AB1B0E47-5157-47CB-9B83-AA1F618CFAF7}</c15:txfldGUID>
                      <c15:f>_ThinQQ!$E$85</c15:f>
                      <c15:dlblFieldTableCache>
                        <c:ptCount val="1"/>
                        <c:pt idx="0">
                          <c:v>28%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9579-48F7-8BD2-8EEF300EA7AF}"/>
                </c:ext>
              </c:extLst>
            </c:dLbl>
            <c:dLbl>
              <c:idx val="7"/>
              <c:tx>
                <c:strRef>
                  <c:f>_ThinQQ!$E$86</c:f>
                  <c:strCache>
                    <c:ptCount val="1"/>
                    <c:pt idx="0">
                      <c:v>34%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{1C95703A-155C-441E-A21B-38FF9E9115ED}</c15:txfldGUID>
                      <c15:f>_ThinQQ!$E$86</c15:f>
                      <c15:dlblFieldTableCache>
                        <c:ptCount val="1"/>
                        <c:pt idx="0">
                          <c:v>34%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9579-48F7-8BD2-8EEF300EA7AF}"/>
                </c:ext>
              </c:extLst>
            </c:dLbl>
            <c:numFmt formatCode="0%;\-0%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'E08'!$A$7:$A$14</c:f>
              <c:strCache>
                <c:ptCount val="8"/>
                <c:pt idx="0">
                  <c:v>Aurora Centro</c:v>
                </c:pt>
                <c:pt idx="1">
                  <c:v>Porto Sereno</c:v>
                </c:pt>
                <c:pt idx="2">
                  <c:v>Campo Dourado</c:v>
                </c:pt>
                <c:pt idx="3">
                  <c:v>Aurora Norte</c:v>
                </c:pt>
                <c:pt idx="4">
                  <c:v>Lago Prateado</c:v>
                </c:pt>
                <c:pt idx="5">
                  <c:v>Serra Clara</c:v>
                </c:pt>
                <c:pt idx="6">
                  <c:v>Monte Alvorada</c:v>
                </c:pt>
                <c:pt idx="7">
                  <c:v>Rio Turquesa</c:v>
                </c:pt>
              </c:strCache>
            </c:strRef>
          </c:cat>
          <c:val>
            <c:numRef>
              <c:f>'E08'!$C$7:$C$14</c:f>
              <c:numCache>
                <c:formatCode>#,##0</c:formatCode>
                <c:ptCount val="8"/>
                <c:pt idx="0">
                  <c:v>11271</c:v>
                </c:pt>
                <c:pt idx="1">
                  <c:v>5027</c:v>
                </c:pt>
                <c:pt idx="2">
                  <c:v>5485</c:v>
                </c:pt>
                <c:pt idx="3">
                  <c:v>5317</c:v>
                </c:pt>
                <c:pt idx="4">
                  <c:v>3071</c:v>
                </c:pt>
                <c:pt idx="5">
                  <c:v>6458</c:v>
                </c:pt>
                <c:pt idx="6">
                  <c:v>3094</c:v>
                </c:pt>
                <c:pt idx="7">
                  <c:v>3199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79-48F7-8BD2-8EEF300EA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8588400"/>
        <c:axId val="528588760"/>
      </c:barChart>
      <c:scatterChart>
        <c:scatterStyle val="lineMarker"/>
        <c:varyColors val="0"/>
        <c:ser>
          <c:idx val="2"/>
          <c:order val="2"/>
          <c:tx>
            <c:v>tqq_total</c:v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_ThinQQ!$B$79</c:f>
                  <c:strCache>
                    <c:ptCount val="1"/>
                    <c:pt idx="0">
                      <c:v>26.200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{7346CF04-BBEB-4F36-8F57-26EF1071BE2A}</c15:txfldGUID>
                      <c15:f>_ThinQQ!$B$79</c15:f>
                      <c15:dlblFieldTableCache>
                        <c:ptCount val="1"/>
                        <c:pt idx="0">
                          <c:v>26.200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9579-48F7-8BD2-8EEF300EA7AF}"/>
                </c:ext>
              </c:extLst>
            </c:dLbl>
            <c:dLbl>
              <c:idx val="1"/>
              <c:tx>
                <c:strRef>
                  <c:f>_ThinQQ!$B$80</c:f>
                  <c:strCache>
                    <c:ptCount val="1"/>
                    <c:pt idx="0">
                      <c:v>21.085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{F5EC8822-3E6E-4EB5-87D6-5728D39DFD5D}</c15:txfldGUID>
                      <c15:f>_ThinQQ!$B$80</c15:f>
                      <c15:dlblFieldTableCache>
                        <c:ptCount val="1"/>
                        <c:pt idx="0">
                          <c:v>21.085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9579-48F7-8BD2-8EEF300EA7AF}"/>
                </c:ext>
              </c:extLst>
            </c:dLbl>
            <c:dLbl>
              <c:idx val="2"/>
              <c:tx>
                <c:strRef>
                  <c:f>_ThinQQ!$B$81</c:f>
                  <c:strCache>
                    <c:ptCount val="1"/>
                    <c:pt idx="0">
                      <c:v>17.656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{52E15059-95DA-4BA2-9769-97D3BC8B8698}</c15:txfldGUID>
                      <c15:f>_ThinQQ!$B$81</c15:f>
                      <c15:dlblFieldTableCache>
                        <c:ptCount val="1"/>
                        <c:pt idx="0">
                          <c:v>17.656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9579-48F7-8BD2-8EEF300EA7AF}"/>
                </c:ext>
              </c:extLst>
            </c:dLbl>
            <c:dLbl>
              <c:idx val="3"/>
              <c:tx>
                <c:strRef>
                  <c:f>_ThinQQ!$B$82</c:f>
                  <c:strCache>
                    <c:ptCount val="1"/>
                    <c:pt idx="0">
                      <c:v>16.064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{C275882A-510D-45E0-BE22-7EBE5E13646E}</c15:txfldGUID>
                      <c15:f>_ThinQQ!$B$82</c15:f>
                      <c15:dlblFieldTableCache>
                        <c:ptCount val="1"/>
                        <c:pt idx="0">
                          <c:v>16.064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9579-48F7-8BD2-8EEF300EA7AF}"/>
                </c:ext>
              </c:extLst>
            </c:dLbl>
            <c:dLbl>
              <c:idx val="4"/>
              <c:tx>
                <c:strRef>
                  <c:f>_ThinQQ!$B$83</c:f>
                  <c:strCache>
                    <c:ptCount val="1"/>
                    <c:pt idx="0">
                      <c:v>14.532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{23164374-A6DE-4ECA-A0ED-DCE77A834D48}</c15:txfldGUID>
                      <c15:f>_ThinQQ!$B$83</c15:f>
                      <c15:dlblFieldTableCache>
                        <c:ptCount val="1"/>
                        <c:pt idx="0">
                          <c:v>14.532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9579-48F7-8BD2-8EEF300EA7AF}"/>
                </c:ext>
              </c:extLst>
            </c:dLbl>
            <c:dLbl>
              <c:idx val="5"/>
              <c:tx>
                <c:strRef>
                  <c:f>_ThinQQ!$B$84</c:f>
                  <c:strCache>
                    <c:ptCount val="1"/>
                    <c:pt idx="0">
                      <c:v>13.820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{72A4010C-6D81-4392-89D4-EE2A5C9C8C84}</c15:txfldGUID>
                      <c15:f>_ThinQQ!$B$84</c15:f>
                      <c15:dlblFieldTableCache>
                        <c:ptCount val="1"/>
                        <c:pt idx="0">
                          <c:v>13.820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9579-48F7-8BD2-8EEF300EA7AF}"/>
                </c:ext>
              </c:extLst>
            </c:dLbl>
            <c:dLbl>
              <c:idx val="6"/>
              <c:tx>
                <c:strRef>
                  <c:f>_ThinQQ!$B$85</c:f>
                  <c:strCache>
                    <c:ptCount val="1"/>
                    <c:pt idx="0">
                      <c:v>10.918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{A0FFB310-C649-4B3A-B192-01EC2D494327}</c15:txfldGUID>
                      <c15:f>_ThinQQ!$B$85</c15:f>
                      <c15:dlblFieldTableCache>
                        <c:ptCount val="1"/>
                        <c:pt idx="0">
                          <c:v>10.918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9579-48F7-8BD2-8EEF300EA7AF}"/>
                </c:ext>
              </c:extLst>
            </c:dLbl>
            <c:dLbl>
              <c:idx val="7"/>
              <c:tx>
                <c:strRef>
                  <c:f>_ThinQQ!$B$86</c:f>
                  <c:strCache>
                    <c:ptCount val="1"/>
                    <c:pt idx="0">
                      <c:v>9.435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{7407C623-9C67-45ED-9AE6-330F7D6649E3}</c15:txfldGUID>
                      <c15:f>_ThinQQ!$B$86</c15:f>
                      <c15:dlblFieldTableCache>
                        <c:ptCount val="1"/>
                        <c:pt idx="0">
                          <c:v>9.435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9579-48F7-8BD2-8EEF300EA7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_ThinQQ!$C$79:$C$86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xVal>
          <c:yVal>
            <c:numRef>
              <c:f>_ThinQQ!$F$79:$F$86</c:f>
              <c:numCache>
                <c:formatCode>General</c:formatCode>
                <c:ptCount val="8"/>
                <c:pt idx="0">
                  <c:v>7.5</c:v>
                </c:pt>
                <c:pt idx="1">
                  <c:v>6.5</c:v>
                </c:pt>
                <c:pt idx="2">
                  <c:v>5.5</c:v>
                </c:pt>
                <c:pt idx="3">
                  <c:v>4.5</c:v>
                </c:pt>
                <c:pt idx="4">
                  <c:v>3.5</c:v>
                </c:pt>
                <c:pt idx="5">
                  <c:v>2.5</c:v>
                </c:pt>
                <c:pt idx="6">
                  <c:v>1.5</c:v>
                </c:pt>
                <c:pt idx="7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579-48F7-8BD2-8EEF300EA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132368"/>
        <c:axId val="523136688"/>
      </c:scatterChart>
      <c:catAx>
        <c:axId val="5285884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28588760"/>
        <c:crosses val="autoZero"/>
        <c:auto val="0"/>
        <c:lblAlgn val="ctr"/>
        <c:lblOffset val="100"/>
        <c:noMultiLvlLbl val="0"/>
      </c:catAx>
      <c:valAx>
        <c:axId val="528588760"/>
        <c:scaling>
          <c:orientation val="minMax"/>
        </c:scaling>
        <c:delete val="0"/>
        <c:axPos val="t"/>
        <c:numFmt formatCode="0%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8588400"/>
        <c:crosses val="autoZero"/>
        <c:crossBetween val="between"/>
      </c:valAx>
      <c:valAx>
        <c:axId val="523136688"/>
        <c:scaling>
          <c:orientation val="minMax"/>
          <c:max val="8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3132368"/>
        <c:crosses val="max"/>
        <c:crossBetween val="midCat"/>
      </c:valAx>
      <c:valAx>
        <c:axId val="523132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3136688"/>
        <c:crossBetween val="midCat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v>tqq_base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4472C4">
                      <a:shade val="76000"/>
                    </a:srgbClr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'E09'!$A$7:$A$13</c:f>
              <c:strCache>
                <c:ptCount val="7"/>
                <c:pt idx="0">
                  <c:v>Receita bruta</c:v>
                </c:pt>
                <c:pt idx="1">
                  <c:v>Custo das mercadorias</c:v>
                </c:pt>
                <c:pt idx="2">
                  <c:v>Despesas operacionais</c:v>
                </c:pt>
                <c:pt idx="3">
                  <c:v>EBITDA</c:v>
                </c:pt>
                <c:pt idx="4">
                  <c:v>Depreciação e juros</c:v>
                </c:pt>
                <c:pt idx="5">
                  <c:v>Impostos</c:v>
                </c:pt>
                <c:pt idx="6">
                  <c:v>Lucro líquido</c:v>
                </c:pt>
              </c:strCache>
            </c:strRef>
          </c:cat>
          <c:val>
            <c:numRef>
              <c:f>_ThinQQ!$I$90:$I$96</c:f>
              <c:numCache>
                <c:formatCode>General</c:formatCode>
                <c:ptCount val="7"/>
                <c:pt idx="0">
                  <c:v>0</c:v>
                </c:pt>
                <c:pt idx="1">
                  <c:v>41417</c:v>
                </c:pt>
                <c:pt idx="2">
                  <c:v>14178</c:v>
                </c:pt>
                <c:pt idx="3">
                  <c:v>0</c:v>
                </c:pt>
                <c:pt idx="4">
                  <c:v>10935</c:v>
                </c:pt>
                <c:pt idx="5">
                  <c:v>7217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6-45F6-9FCE-334B3B8FACAD}"/>
            </c:ext>
          </c:extLst>
        </c:ser>
        <c:ser>
          <c:idx val="1"/>
          <c:order val="1"/>
          <c:tx>
            <c:v>tqq_uppos</c:v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'E09'!$A$7:$A$13</c:f>
              <c:strCache>
                <c:ptCount val="7"/>
                <c:pt idx="0">
                  <c:v>Receita bruta</c:v>
                </c:pt>
                <c:pt idx="1">
                  <c:v>Custo das mercadorias</c:v>
                </c:pt>
                <c:pt idx="2">
                  <c:v>Despesas operacionais</c:v>
                </c:pt>
                <c:pt idx="3">
                  <c:v>EBITDA</c:v>
                </c:pt>
                <c:pt idx="4">
                  <c:v>Depreciação e juros</c:v>
                </c:pt>
                <c:pt idx="5">
                  <c:v>Impostos</c:v>
                </c:pt>
                <c:pt idx="6">
                  <c:v>Lucro líquido</c:v>
                </c:pt>
              </c:strCache>
            </c:strRef>
          </c:cat>
          <c:val>
            <c:numRef>
              <c:f>_ThinQQ!$L$90:$L$96</c:f>
              <c:numCache>
                <c:formatCode>General</c:formatCode>
                <c:ptCount val="7"/>
                <c:pt idx="0">
                  <c:v>129710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E6-45F6-9FCE-334B3B8FACAD}"/>
            </c:ext>
          </c:extLst>
        </c:ser>
        <c:ser>
          <c:idx val="2"/>
          <c:order val="2"/>
          <c:tx>
            <c:v>tqq_upneg</c:v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'E09'!$A$7:$A$13</c:f>
              <c:strCache>
                <c:ptCount val="7"/>
                <c:pt idx="0">
                  <c:v>Receita bruta</c:v>
                </c:pt>
                <c:pt idx="1">
                  <c:v>Custo das mercadorias</c:v>
                </c:pt>
                <c:pt idx="2">
                  <c:v>Despesas operacionais</c:v>
                </c:pt>
                <c:pt idx="3">
                  <c:v>EBITDA</c:v>
                </c:pt>
                <c:pt idx="4">
                  <c:v>Depreciação e juros</c:v>
                </c:pt>
                <c:pt idx="5">
                  <c:v>Impostos</c:v>
                </c:pt>
                <c:pt idx="6">
                  <c:v>Lucro líquido</c:v>
                </c:pt>
              </c:strCache>
            </c:strRef>
          </c:cat>
          <c:val>
            <c:numRef>
              <c:f>_ThinQQ!$M$90:$M$96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E6-45F6-9FCE-334B3B8FACAD}"/>
            </c:ext>
          </c:extLst>
        </c:ser>
        <c:ser>
          <c:idx val="3"/>
          <c:order val="3"/>
          <c:tx>
            <c:v>tqq_downpos</c:v>
          </c:tx>
          <c:spPr>
            <a:solidFill>
              <a:srgbClr val="9DC3E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'E09'!$A$7:$A$13</c:f>
              <c:strCache>
                <c:ptCount val="7"/>
                <c:pt idx="0">
                  <c:v>Receita bruta</c:v>
                </c:pt>
                <c:pt idx="1">
                  <c:v>Custo das mercadorias</c:v>
                </c:pt>
                <c:pt idx="2">
                  <c:v>Despesas operacionais</c:v>
                </c:pt>
                <c:pt idx="3">
                  <c:v>EBITDA</c:v>
                </c:pt>
                <c:pt idx="4">
                  <c:v>Depreciação e juros</c:v>
                </c:pt>
                <c:pt idx="5">
                  <c:v>Impostos</c:v>
                </c:pt>
                <c:pt idx="6">
                  <c:v>Lucro líquido</c:v>
                </c:pt>
              </c:strCache>
            </c:strRef>
          </c:cat>
          <c:val>
            <c:numRef>
              <c:f>_ThinQQ!$N$90:$N$96</c:f>
              <c:numCache>
                <c:formatCode>General</c:formatCode>
                <c:ptCount val="7"/>
                <c:pt idx="0">
                  <c:v>0</c:v>
                </c:pt>
                <c:pt idx="1">
                  <c:v>88293</c:v>
                </c:pt>
                <c:pt idx="2">
                  <c:v>27239</c:v>
                </c:pt>
                <c:pt idx="3">
                  <c:v>0</c:v>
                </c:pt>
                <c:pt idx="4">
                  <c:v>3243</c:v>
                </c:pt>
                <c:pt idx="5">
                  <c:v>3718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E6-45F6-9FCE-334B3B8FACAD}"/>
            </c:ext>
          </c:extLst>
        </c:ser>
        <c:ser>
          <c:idx val="4"/>
          <c:order val="4"/>
          <c:tx>
            <c:v>tqq_downneg</c:v>
          </c:tx>
          <c:spPr>
            <a:solidFill>
              <a:srgbClr val="9DC3E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'E09'!$A$7:$A$13</c:f>
              <c:strCache>
                <c:ptCount val="7"/>
                <c:pt idx="0">
                  <c:v>Receita bruta</c:v>
                </c:pt>
                <c:pt idx="1">
                  <c:v>Custo das mercadorias</c:v>
                </c:pt>
                <c:pt idx="2">
                  <c:v>Despesas operacionais</c:v>
                </c:pt>
                <c:pt idx="3">
                  <c:v>EBITDA</c:v>
                </c:pt>
                <c:pt idx="4">
                  <c:v>Depreciação e juros</c:v>
                </c:pt>
                <c:pt idx="5">
                  <c:v>Impostos</c:v>
                </c:pt>
                <c:pt idx="6">
                  <c:v>Lucro líquido</c:v>
                </c:pt>
              </c:strCache>
            </c:strRef>
          </c:cat>
          <c:val>
            <c:numRef>
              <c:f>_ThinQQ!$O$90:$O$96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E6-45F6-9FCE-334B3B8FACAD}"/>
            </c:ext>
          </c:extLst>
        </c:ser>
        <c:ser>
          <c:idx val="5"/>
          <c:order val="5"/>
          <c:tx>
            <c:v>tqq_total</c:v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'E09'!$A$7:$A$13</c:f>
              <c:strCache>
                <c:ptCount val="7"/>
                <c:pt idx="0">
                  <c:v>Receita bruta</c:v>
                </c:pt>
                <c:pt idx="1">
                  <c:v>Custo das mercadorias</c:v>
                </c:pt>
                <c:pt idx="2">
                  <c:v>Despesas operacionais</c:v>
                </c:pt>
                <c:pt idx="3">
                  <c:v>EBITDA</c:v>
                </c:pt>
                <c:pt idx="4">
                  <c:v>Depreciação e juros</c:v>
                </c:pt>
                <c:pt idx="5">
                  <c:v>Impostos</c:v>
                </c:pt>
                <c:pt idx="6">
                  <c:v>Lucro líquido</c:v>
                </c:pt>
              </c:strCache>
            </c:strRef>
          </c:cat>
          <c:val>
            <c:numRef>
              <c:f>_ThinQQ!$P$90:$P$96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14178</c:v>
                </c:pt>
                <c:pt idx="4">
                  <c:v>0</c:v>
                </c:pt>
                <c:pt idx="5">
                  <c:v>0</c:v>
                </c:pt>
                <c:pt idx="6">
                  <c:v>7217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E6-45F6-9FCE-334B3B8FA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5889016"/>
        <c:axId val="525892976"/>
      </c:barChart>
      <c:scatterChart>
        <c:scatterStyle val="lineMarker"/>
        <c:varyColors val="0"/>
        <c:ser>
          <c:idx val="6"/>
          <c:order val="6"/>
          <c:tx>
            <c:v>tqq_lbl</c:v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_ThinQQ!$Q$90</c:f>
                  <c:strCache>
                    <c:ptCount val="1"/>
                    <c:pt idx="0">
                      <c:v>129.710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{1FB6B484-FEF2-4ADC-AFCE-CF2DA2B78854}</c15:txfldGUID>
                      <c15:f>_ThinQQ!$Q$90</c15:f>
                      <c15:dlblFieldTableCache>
                        <c:ptCount val="1"/>
                        <c:pt idx="0">
                          <c:v>129.710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7AE6-45F6-9FCE-334B3B8FACAD}"/>
                </c:ext>
              </c:extLst>
            </c:dLbl>
            <c:dLbl>
              <c:idx val="1"/>
              <c:tx>
                <c:strRef>
                  <c:f>_ThinQQ!$Q$91</c:f>
                  <c:strCache>
                    <c:ptCount val="1"/>
                    <c:pt idx="0">
                      <c:v>-88.293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{5AFF0EFC-2F2A-49EE-8426-E6DD0518AD2E}</c15:txfldGUID>
                      <c15:f>_ThinQQ!$Q$91</c15:f>
                      <c15:dlblFieldTableCache>
                        <c:ptCount val="1"/>
                        <c:pt idx="0">
                          <c:v>-88.293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7AE6-45F6-9FCE-334B3B8FACAD}"/>
                </c:ext>
              </c:extLst>
            </c:dLbl>
            <c:dLbl>
              <c:idx val="2"/>
              <c:tx>
                <c:strRef>
                  <c:f>_ThinQQ!$Q$92</c:f>
                  <c:strCache>
                    <c:ptCount val="1"/>
                    <c:pt idx="0">
                      <c:v>-27.239</c:v>
                    </c:pt>
                  </c:strCache>
                </c:strRef>
              </c:tx>
              <c:numFmt formatCode="#,##0;\-#,##0;" sourceLinked="0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{C6E5626F-11FC-464A-B271-84D9BAED7BA6}</c15:txfldGUID>
                      <c15:f>_ThinQQ!$Q$92</c15:f>
                      <c15:dlblFieldTableCache>
                        <c:ptCount val="1"/>
                        <c:pt idx="0">
                          <c:v>-27.239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7AE6-45F6-9FCE-334B3B8FACAD}"/>
                </c:ext>
              </c:extLst>
            </c:dLbl>
            <c:dLbl>
              <c:idx val="3"/>
              <c:tx>
                <c:strRef>
                  <c:f>_ThinQQ!$Q$93</c:f>
                  <c:strCache>
                    <c:ptCount val="1"/>
                    <c:pt idx="0">
                      <c:v>14.178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{492FE2C7-C83C-4D20-9890-D6B2A969EAFE}</c15:txfldGUID>
                      <c15:f>_ThinQQ!$Q$93</c15:f>
                      <c15:dlblFieldTableCache>
                        <c:ptCount val="1"/>
                        <c:pt idx="0">
                          <c:v>14.178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7AE6-45F6-9FCE-334B3B8FACAD}"/>
                </c:ext>
              </c:extLst>
            </c:dLbl>
            <c:dLbl>
              <c:idx val="4"/>
              <c:tx>
                <c:strRef>
                  <c:f>_ThinQQ!$Q$94</c:f>
                  <c:strCache>
                    <c:ptCount val="1"/>
                    <c:pt idx="0">
                      <c:v>-3.243</c:v>
                    </c:pt>
                  </c:strCache>
                </c:strRef>
              </c:tx>
              <c:numFmt formatCode="#,##0;\-#,##0;" sourceLinked="0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{2697FE42-0FA9-4136-86F8-06173F405398}</c15:txfldGUID>
                      <c15:f>_ThinQQ!$Q$94</c15:f>
                      <c15:dlblFieldTableCache>
                        <c:ptCount val="1"/>
                        <c:pt idx="0">
                          <c:v>-3.243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7AE6-45F6-9FCE-334B3B8FACAD}"/>
                </c:ext>
              </c:extLst>
            </c:dLbl>
            <c:dLbl>
              <c:idx val="5"/>
              <c:tx>
                <c:strRef>
                  <c:f>_ThinQQ!$Q$95</c:f>
                  <c:strCache>
                    <c:ptCount val="1"/>
                    <c:pt idx="0">
                      <c:v>-3.718</c:v>
                    </c:pt>
                  </c:strCache>
                </c:strRef>
              </c:tx>
              <c:numFmt formatCode="#,##0;\-#,##0;" sourceLinked="0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{771CD62D-856E-43F7-A063-2DE825678E2D}</c15:txfldGUID>
                      <c15:f>_ThinQQ!$Q$95</c15:f>
                      <c15:dlblFieldTableCache>
                        <c:ptCount val="1"/>
                        <c:pt idx="0">
                          <c:v>-3.718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7AE6-45F6-9FCE-334B3B8FACAD}"/>
                </c:ext>
              </c:extLst>
            </c:dLbl>
            <c:dLbl>
              <c:idx val="6"/>
              <c:tx>
                <c:strRef>
                  <c:f>_ThinQQ!$Q$96</c:f>
                  <c:strCache>
                    <c:ptCount val="1"/>
                    <c:pt idx="0">
                      <c:v>7.217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{ED094725-518F-4B24-AB77-9FBF7AE5F11A}</c15:txfldGUID>
                      <c15:f>_ThinQQ!$Q$96</c15:f>
                      <c15:dlblFieldTableCache>
                        <c:ptCount val="1"/>
                        <c:pt idx="0">
                          <c:v>7.217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7AE6-45F6-9FCE-334B3B8FACA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_ThinQQ!$R$90:$R$96</c:f>
              <c:numCache>
                <c:formatCode>General</c:formatCode>
                <c:ptCount val="7"/>
                <c:pt idx="0">
                  <c:v>129710</c:v>
                </c:pt>
                <c:pt idx="1">
                  <c:v>41417</c:v>
                </c:pt>
                <c:pt idx="2">
                  <c:v>14178</c:v>
                </c:pt>
                <c:pt idx="3">
                  <c:v>14178</c:v>
                </c:pt>
                <c:pt idx="4">
                  <c:v>10935</c:v>
                </c:pt>
                <c:pt idx="5">
                  <c:v>7217</c:v>
                </c:pt>
                <c:pt idx="6">
                  <c:v>7217</c:v>
                </c:pt>
              </c:numCache>
            </c:numRef>
          </c:xVal>
          <c:yVal>
            <c:numRef>
              <c:f>_ThinQQ!$S$90:$S$96</c:f>
              <c:numCache>
                <c:formatCode>General</c:formatCode>
                <c:ptCount val="7"/>
                <c:pt idx="0">
                  <c:v>6.5</c:v>
                </c:pt>
                <c:pt idx="1">
                  <c:v>5.5</c:v>
                </c:pt>
                <c:pt idx="2">
                  <c:v>4.5</c:v>
                </c:pt>
                <c:pt idx="3">
                  <c:v>3.5</c:v>
                </c:pt>
                <c:pt idx="4">
                  <c:v>2.5</c:v>
                </c:pt>
                <c:pt idx="5">
                  <c:v>1.5</c:v>
                </c:pt>
                <c:pt idx="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E6-45F6-9FCE-334B3B8FA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459560"/>
        <c:axId val="528455240"/>
      </c:scatterChart>
      <c:catAx>
        <c:axId val="5258890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25892976"/>
        <c:crosses val="autoZero"/>
        <c:auto val="0"/>
        <c:lblAlgn val="ctr"/>
        <c:lblOffset val="100"/>
        <c:noMultiLvlLbl val="0"/>
      </c:catAx>
      <c:valAx>
        <c:axId val="52589297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5889016"/>
        <c:crosses val="autoZero"/>
        <c:crossBetween val="between"/>
      </c:valAx>
      <c:valAx>
        <c:axId val="528455240"/>
        <c:scaling>
          <c:orientation val="minMax"/>
          <c:max val="7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8459560"/>
        <c:crosses val="max"/>
        <c:crossBetween val="midCat"/>
      </c:valAx>
      <c:valAx>
        <c:axId val="528459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8455240"/>
        <c:crossBetween val="midCat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391304347826087E-2"/>
          <c:y val="3.9285714285714285E-2"/>
          <c:w val="0.63186835558598653"/>
          <c:h val="0.92142857142857137"/>
        </c:manualLayout>
      </c:layout>
      <c:areaChart>
        <c:grouping val="stacked"/>
        <c:varyColors val="0"/>
        <c:ser>
          <c:idx val="0"/>
          <c:order val="0"/>
          <c:tx>
            <c:strRef>
              <c:f>'E10'!$B$6</c:f>
              <c:strCache>
                <c:ptCount val="1"/>
                <c:pt idx="0">
                  <c:v>Tintas</c:v>
                </c:pt>
              </c:strCache>
            </c:strRef>
          </c:tx>
          <c:spPr>
            <a:solidFill>
              <a:srgbClr val="1F3864"/>
            </a:solidFill>
            <a:ln w="12700">
              <a:solidFill>
                <a:srgbClr val="FFFFFF"/>
              </a:solidFill>
            </a:ln>
          </c:spPr>
          <c:cat>
            <c:strRef>
              <c:f>'E10'!$A$7:$A$14</c:f>
              <c:strCache>
                <c:ptCount val="8"/>
                <c:pt idx="0">
                  <c:v>T1/24</c:v>
                </c:pt>
                <c:pt idx="1">
                  <c:v>T2/24</c:v>
                </c:pt>
                <c:pt idx="2">
                  <c:v>T3/24</c:v>
                </c:pt>
                <c:pt idx="3">
                  <c:v>T4/24</c:v>
                </c:pt>
                <c:pt idx="4">
                  <c:v>T1/25</c:v>
                </c:pt>
                <c:pt idx="5">
                  <c:v>T2/25</c:v>
                </c:pt>
                <c:pt idx="6">
                  <c:v>T3/25</c:v>
                </c:pt>
                <c:pt idx="7">
                  <c:v>T4/25</c:v>
                </c:pt>
              </c:strCache>
            </c:strRef>
          </c:cat>
          <c:val>
            <c:numRef>
              <c:f>'E10'!$B$7:$B$14</c:f>
              <c:numCache>
                <c:formatCode>#,##0</c:formatCode>
                <c:ptCount val="8"/>
                <c:pt idx="0">
                  <c:v>3224</c:v>
                </c:pt>
                <c:pt idx="1">
                  <c:v>3217</c:v>
                </c:pt>
                <c:pt idx="2">
                  <c:v>3746</c:v>
                </c:pt>
                <c:pt idx="3">
                  <c:v>3943</c:v>
                </c:pt>
                <c:pt idx="4">
                  <c:v>3588</c:v>
                </c:pt>
                <c:pt idx="5">
                  <c:v>3538</c:v>
                </c:pt>
                <c:pt idx="6">
                  <c:v>4162</c:v>
                </c:pt>
                <c:pt idx="7">
                  <c:v>4415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51-4D46-B5E5-337D7E05BD0A}"/>
            </c:ext>
          </c:extLst>
        </c:ser>
        <c:ser>
          <c:idx val="1"/>
          <c:order val="1"/>
          <c:tx>
            <c:strRef>
              <c:f>'E10'!$C$6</c:f>
              <c:strCache>
                <c:ptCount val="1"/>
                <c:pt idx="0">
                  <c:v>Pisos</c:v>
                </c:pt>
              </c:strCache>
            </c:strRef>
          </c:tx>
          <c:spPr>
            <a:solidFill>
              <a:srgbClr val="4472C4"/>
            </a:solidFill>
            <a:ln w="12700">
              <a:solidFill>
                <a:srgbClr val="FFFFFF"/>
              </a:solidFill>
            </a:ln>
          </c:spPr>
          <c:cat>
            <c:strRef>
              <c:f>'E10'!$A$7:$A$14</c:f>
              <c:strCache>
                <c:ptCount val="8"/>
                <c:pt idx="0">
                  <c:v>T1/24</c:v>
                </c:pt>
                <c:pt idx="1">
                  <c:v>T2/24</c:v>
                </c:pt>
                <c:pt idx="2">
                  <c:v>T3/24</c:v>
                </c:pt>
                <c:pt idx="3">
                  <c:v>T4/24</c:v>
                </c:pt>
                <c:pt idx="4">
                  <c:v>T1/25</c:v>
                </c:pt>
                <c:pt idx="5">
                  <c:v>T2/25</c:v>
                </c:pt>
                <c:pt idx="6">
                  <c:v>T3/25</c:v>
                </c:pt>
                <c:pt idx="7">
                  <c:v>T4/25</c:v>
                </c:pt>
              </c:strCache>
            </c:strRef>
          </c:cat>
          <c:val>
            <c:numRef>
              <c:f>'E10'!$C$7:$C$14</c:f>
              <c:numCache>
                <c:formatCode>#,##0</c:formatCode>
                <c:ptCount val="8"/>
                <c:pt idx="0">
                  <c:v>4499</c:v>
                </c:pt>
                <c:pt idx="1">
                  <c:v>4526</c:v>
                </c:pt>
                <c:pt idx="2">
                  <c:v>5356</c:v>
                </c:pt>
                <c:pt idx="3">
                  <c:v>5792</c:v>
                </c:pt>
                <c:pt idx="4">
                  <c:v>5306</c:v>
                </c:pt>
                <c:pt idx="5">
                  <c:v>5367</c:v>
                </c:pt>
                <c:pt idx="6">
                  <c:v>6298</c:v>
                </c:pt>
                <c:pt idx="7">
                  <c:v>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51-4D46-B5E5-337D7E05BD0A}"/>
            </c:ext>
          </c:extLst>
        </c:ser>
        <c:ser>
          <c:idx val="2"/>
          <c:order val="2"/>
          <c:tx>
            <c:strRef>
              <c:f>'E10'!$D$6</c:f>
              <c:strCache>
                <c:ptCount val="1"/>
                <c:pt idx="0">
                  <c:v>Cimento e argamassa</c:v>
                </c:pt>
              </c:strCache>
            </c:strRef>
          </c:tx>
          <c:spPr>
            <a:solidFill>
              <a:srgbClr val="9DC3E6"/>
            </a:solidFill>
            <a:ln w="12700">
              <a:solidFill>
                <a:srgbClr val="FFFFFF"/>
              </a:solidFill>
            </a:ln>
          </c:spPr>
          <c:cat>
            <c:strRef>
              <c:f>'E10'!$A$7:$A$14</c:f>
              <c:strCache>
                <c:ptCount val="8"/>
                <c:pt idx="0">
                  <c:v>T1/24</c:v>
                </c:pt>
                <c:pt idx="1">
                  <c:v>T2/24</c:v>
                </c:pt>
                <c:pt idx="2">
                  <c:v>T3/24</c:v>
                </c:pt>
                <c:pt idx="3">
                  <c:v>T4/24</c:v>
                </c:pt>
                <c:pt idx="4">
                  <c:v>T1/25</c:v>
                </c:pt>
                <c:pt idx="5">
                  <c:v>T2/25</c:v>
                </c:pt>
                <c:pt idx="6">
                  <c:v>T3/25</c:v>
                </c:pt>
                <c:pt idx="7">
                  <c:v>T4/25</c:v>
                </c:pt>
              </c:strCache>
            </c:strRef>
          </c:cat>
          <c:val>
            <c:numRef>
              <c:f>'E10'!$D$7:$D$14</c:f>
              <c:numCache>
                <c:formatCode>#,##0</c:formatCode>
                <c:ptCount val="8"/>
                <c:pt idx="0">
                  <c:v>9316</c:v>
                </c:pt>
                <c:pt idx="1">
                  <c:v>9211</c:v>
                </c:pt>
                <c:pt idx="2">
                  <c:v>10495</c:v>
                </c:pt>
                <c:pt idx="3">
                  <c:v>11163</c:v>
                </c:pt>
                <c:pt idx="4">
                  <c:v>9955</c:v>
                </c:pt>
                <c:pt idx="5">
                  <c:v>10054</c:v>
                </c:pt>
                <c:pt idx="6">
                  <c:v>11350</c:v>
                </c:pt>
                <c:pt idx="7">
                  <c:v>11965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51-4D46-B5E5-337D7E05B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354328"/>
        <c:axId val="564351088"/>
      </c:areaChart>
      <c:lineChart>
        <c:grouping val="standard"/>
        <c:varyColors val="0"/>
        <c:ser>
          <c:idx val="3"/>
          <c:order val="3"/>
          <c:tx>
            <c:v>tqq_lbl_1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_ThinQQ!$D$100</c:f>
                  <c:strCache>
                    <c:ptCount val="1"/>
                    <c:pt idx="0">
                      <c:v>3.224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{AF8AF3E2-77BB-4FB2-ABBF-F5AB40F8DD40}</c15:txfldGUID>
                      <c15:f>_ThinQQ!$D$100</c15:f>
                      <c15:dlblFieldTableCache>
                        <c:ptCount val="1"/>
                        <c:pt idx="0">
                          <c:v>3.224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5651-4D46-B5E5-337D7E05BD0A}"/>
                </c:ext>
              </c:extLst>
            </c:dLbl>
            <c:dLbl>
              <c:idx val="1"/>
              <c:tx>
                <c:strRef>
                  <c:f>_ThinQQ!$D$101</c:f>
                  <c:strCache>
                    <c:ptCount val="1"/>
                    <c:pt idx="0">
                      <c:v>3.217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{849FFE4B-1417-4104-AF1F-6139E1AC82EF}</c15:txfldGUID>
                      <c15:f>_ThinQQ!$D$101</c15:f>
                      <c15:dlblFieldTableCache>
                        <c:ptCount val="1"/>
                        <c:pt idx="0">
                          <c:v>3.217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651-4D46-B5E5-337D7E05BD0A}"/>
                </c:ext>
              </c:extLst>
            </c:dLbl>
            <c:dLbl>
              <c:idx val="2"/>
              <c:tx>
                <c:strRef>
                  <c:f>_ThinQQ!$D$102</c:f>
                  <c:strCache>
                    <c:ptCount val="1"/>
                    <c:pt idx="0">
                      <c:v>3.746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{FB5082D2-1668-4614-82A2-FE33E8808650}</c15:txfldGUID>
                      <c15:f>_ThinQQ!$D$102</c15:f>
                      <c15:dlblFieldTableCache>
                        <c:ptCount val="1"/>
                        <c:pt idx="0">
                          <c:v>3.746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5651-4D46-B5E5-337D7E05BD0A}"/>
                </c:ext>
              </c:extLst>
            </c:dLbl>
            <c:dLbl>
              <c:idx val="3"/>
              <c:tx>
                <c:strRef>
                  <c:f>_ThinQQ!$D$103</c:f>
                  <c:strCache>
                    <c:ptCount val="1"/>
                    <c:pt idx="0">
                      <c:v>3.943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{B31428EE-2373-4AC3-ACE3-0A848BD3AD25}</c15:txfldGUID>
                      <c15:f>_ThinQQ!$D$103</c15:f>
                      <c15:dlblFieldTableCache>
                        <c:ptCount val="1"/>
                        <c:pt idx="0">
                          <c:v>3.943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651-4D46-B5E5-337D7E05BD0A}"/>
                </c:ext>
              </c:extLst>
            </c:dLbl>
            <c:dLbl>
              <c:idx val="4"/>
              <c:tx>
                <c:strRef>
                  <c:f>_ThinQQ!$D$104</c:f>
                  <c:strCache>
                    <c:ptCount val="1"/>
                    <c:pt idx="0">
                      <c:v>3.588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{059AE927-31A5-475B-9CAB-D41D8D1FE862}</c15:txfldGUID>
                      <c15:f>_ThinQQ!$D$104</c15:f>
                      <c15:dlblFieldTableCache>
                        <c:ptCount val="1"/>
                        <c:pt idx="0">
                          <c:v>3.588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651-4D46-B5E5-337D7E05BD0A}"/>
                </c:ext>
              </c:extLst>
            </c:dLbl>
            <c:dLbl>
              <c:idx val="5"/>
              <c:tx>
                <c:strRef>
                  <c:f>_ThinQQ!$D$105</c:f>
                  <c:strCache>
                    <c:ptCount val="1"/>
                    <c:pt idx="0">
                      <c:v>3.538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{C6FD1188-E752-46B5-A038-9B58F2C47F76}</c15:txfldGUID>
                      <c15:f>_ThinQQ!$D$105</c15:f>
                      <c15:dlblFieldTableCache>
                        <c:ptCount val="1"/>
                        <c:pt idx="0">
                          <c:v>3.538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651-4D46-B5E5-337D7E05BD0A}"/>
                </c:ext>
              </c:extLst>
            </c:dLbl>
            <c:dLbl>
              <c:idx val="6"/>
              <c:tx>
                <c:strRef>
                  <c:f>_ThinQQ!$D$106</c:f>
                  <c:strCache>
                    <c:ptCount val="1"/>
                    <c:pt idx="0">
                      <c:v>4.162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{B416BD6A-CAE7-459F-898B-9CC967963CC6}</c15:txfldGUID>
                      <c15:f>_ThinQQ!$D$106</c15:f>
                      <c15:dlblFieldTableCache>
                        <c:ptCount val="1"/>
                        <c:pt idx="0">
                          <c:v>4.162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5651-4D46-B5E5-337D7E05BD0A}"/>
                </c:ext>
              </c:extLst>
            </c:dLbl>
            <c:dLbl>
              <c:idx val="7"/>
              <c:tx>
                <c:strRef>
                  <c:f>_ThinQQ!$D$107</c:f>
                  <c:strCache>
                    <c:ptCount val="1"/>
                    <c:pt idx="0">
                      <c:v>4.415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{C228DE27-48D2-443E-96A8-4C7260B59718}</c15:txfldGUID>
                      <c15:f>_ThinQQ!$D$107</c15:f>
                      <c15:dlblFieldTableCache>
                        <c:ptCount val="1"/>
                        <c:pt idx="0">
                          <c:v>4.415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651-4D46-B5E5-337D7E05BD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_ThinQQ!$G$100:$G$107</c:f>
              <c:numCache>
                <c:formatCode>General</c:formatCode>
                <c:ptCount val="8"/>
                <c:pt idx="0">
                  <c:v>1612</c:v>
                </c:pt>
                <c:pt idx="1">
                  <c:v>1608.5</c:v>
                </c:pt>
                <c:pt idx="2">
                  <c:v>1873</c:v>
                </c:pt>
                <c:pt idx="3">
                  <c:v>1971.5</c:v>
                </c:pt>
                <c:pt idx="4">
                  <c:v>1794</c:v>
                </c:pt>
                <c:pt idx="5">
                  <c:v>1769</c:v>
                </c:pt>
                <c:pt idx="6">
                  <c:v>2081</c:v>
                </c:pt>
                <c:pt idx="7">
                  <c:v>2207.5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51-4D46-B5E5-337D7E05BD0A}"/>
            </c:ext>
          </c:extLst>
        </c:ser>
        <c:ser>
          <c:idx val="4"/>
          <c:order val="4"/>
          <c:tx>
            <c:v>tqq_lbl_2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_ThinQQ!$E$100</c:f>
                  <c:strCache>
                    <c:ptCount val="1"/>
                    <c:pt idx="0">
                      <c:v>4.499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{365C2D4C-3704-4731-B4AC-809B62893F6D}</c15:txfldGUID>
                      <c15:f>_ThinQQ!$E$100</c15:f>
                      <c15:dlblFieldTableCache>
                        <c:ptCount val="1"/>
                        <c:pt idx="0">
                          <c:v>4.499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651-4D46-B5E5-337D7E05BD0A}"/>
                </c:ext>
              </c:extLst>
            </c:dLbl>
            <c:dLbl>
              <c:idx val="1"/>
              <c:tx>
                <c:strRef>
                  <c:f>_ThinQQ!$E$101</c:f>
                  <c:strCache>
                    <c:ptCount val="1"/>
                    <c:pt idx="0">
                      <c:v>4.526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{048F748E-71CB-476F-9F86-7F0AEDD70607}</c15:txfldGUID>
                      <c15:f>_ThinQQ!$E$101</c15:f>
                      <c15:dlblFieldTableCache>
                        <c:ptCount val="1"/>
                        <c:pt idx="0">
                          <c:v>4.526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5651-4D46-B5E5-337D7E05BD0A}"/>
                </c:ext>
              </c:extLst>
            </c:dLbl>
            <c:dLbl>
              <c:idx val="2"/>
              <c:tx>
                <c:strRef>
                  <c:f>_ThinQQ!$E$102</c:f>
                  <c:strCache>
                    <c:ptCount val="1"/>
                    <c:pt idx="0">
                      <c:v>5.356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{0959B0B5-B932-4C42-B55A-E91442837D5B}</c15:txfldGUID>
                      <c15:f>_ThinQQ!$E$102</c15:f>
                      <c15:dlblFieldTableCache>
                        <c:ptCount val="1"/>
                        <c:pt idx="0">
                          <c:v>5.356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651-4D46-B5E5-337D7E05BD0A}"/>
                </c:ext>
              </c:extLst>
            </c:dLbl>
            <c:dLbl>
              <c:idx val="3"/>
              <c:tx>
                <c:strRef>
                  <c:f>_ThinQQ!$E$103</c:f>
                  <c:strCache>
                    <c:ptCount val="1"/>
                    <c:pt idx="0">
                      <c:v>5.792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{D10F577F-6DB3-4339-B549-CD9D15A5C1C8}</c15:txfldGUID>
                      <c15:f>_ThinQQ!$E$103</c15:f>
                      <c15:dlblFieldTableCache>
                        <c:ptCount val="1"/>
                        <c:pt idx="0">
                          <c:v>5.792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5651-4D46-B5E5-337D7E05BD0A}"/>
                </c:ext>
              </c:extLst>
            </c:dLbl>
            <c:dLbl>
              <c:idx val="4"/>
              <c:tx>
                <c:strRef>
                  <c:f>_ThinQQ!$E$104</c:f>
                  <c:strCache>
                    <c:ptCount val="1"/>
                    <c:pt idx="0">
                      <c:v>5.306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{9CD95A7D-E2BD-488D-B6D6-854042555D9C}</c15:txfldGUID>
                      <c15:f>_ThinQQ!$E$104</c15:f>
                      <c15:dlblFieldTableCache>
                        <c:ptCount val="1"/>
                        <c:pt idx="0">
                          <c:v>5.306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5651-4D46-B5E5-337D7E05BD0A}"/>
                </c:ext>
              </c:extLst>
            </c:dLbl>
            <c:dLbl>
              <c:idx val="5"/>
              <c:tx>
                <c:strRef>
                  <c:f>_ThinQQ!$E$105</c:f>
                  <c:strCache>
                    <c:ptCount val="1"/>
                    <c:pt idx="0">
                      <c:v>5.367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{A7FA39FC-3E23-45D7-A3FF-63046D8F5C3F}</c15:txfldGUID>
                      <c15:f>_ThinQQ!$E$105</c15:f>
                      <c15:dlblFieldTableCache>
                        <c:ptCount val="1"/>
                        <c:pt idx="0">
                          <c:v>5.367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5651-4D46-B5E5-337D7E05BD0A}"/>
                </c:ext>
              </c:extLst>
            </c:dLbl>
            <c:dLbl>
              <c:idx val="6"/>
              <c:tx>
                <c:strRef>
                  <c:f>_ThinQQ!$E$106</c:f>
                  <c:strCache>
                    <c:ptCount val="1"/>
                    <c:pt idx="0">
                      <c:v>6.298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{1E78E1DA-548F-4C40-9248-1C8FA08A68FA}</c15:txfldGUID>
                      <c15:f>_ThinQQ!$E$106</c15:f>
                      <c15:dlblFieldTableCache>
                        <c:ptCount val="1"/>
                        <c:pt idx="0">
                          <c:v>6.298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5651-4D46-B5E5-337D7E05BD0A}"/>
                </c:ext>
              </c:extLst>
            </c:dLbl>
            <c:dLbl>
              <c:idx val="7"/>
              <c:tx>
                <c:strRef>
                  <c:f>_ThinQQ!$E$107</c:f>
                  <c:strCache>
                    <c:ptCount val="1"/>
                    <c:pt idx="0">
                      <c:v>6.800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{2375074E-C88A-4796-B71A-C42F81397564}</c15:txfldGUID>
                      <c15:f>_ThinQQ!$E$107</c15:f>
                      <c15:dlblFieldTableCache>
                        <c:ptCount val="1"/>
                        <c:pt idx="0">
                          <c:v>6.800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5651-4D46-B5E5-337D7E05BD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_ThinQQ!$H$100:$H$107</c:f>
              <c:numCache>
                <c:formatCode>General</c:formatCode>
                <c:ptCount val="8"/>
                <c:pt idx="0">
                  <c:v>5473.5</c:v>
                </c:pt>
                <c:pt idx="1">
                  <c:v>5480</c:v>
                </c:pt>
                <c:pt idx="2">
                  <c:v>6424</c:v>
                </c:pt>
                <c:pt idx="3">
                  <c:v>6839</c:v>
                </c:pt>
                <c:pt idx="4">
                  <c:v>6241</c:v>
                </c:pt>
                <c:pt idx="5">
                  <c:v>6221.5</c:v>
                </c:pt>
                <c:pt idx="6">
                  <c:v>7311</c:v>
                </c:pt>
                <c:pt idx="7">
                  <c:v>7815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651-4D46-B5E5-337D7E05BD0A}"/>
            </c:ext>
          </c:extLst>
        </c:ser>
        <c:ser>
          <c:idx val="5"/>
          <c:order val="5"/>
          <c:tx>
            <c:v>tqq_lbl_3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70AD47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_ThinQQ!$F$100</c:f>
                  <c:strCache>
                    <c:ptCount val="1"/>
                    <c:pt idx="0">
                      <c:v>9.316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{F8AE9FEA-6520-4048-A4C6-06D3BACCAB46}</c15:txfldGUID>
                      <c15:f>_ThinQQ!$F$100</c15:f>
                      <c15:dlblFieldTableCache>
                        <c:ptCount val="1"/>
                        <c:pt idx="0">
                          <c:v>9.316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5651-4D46-B5E5-337D7E05BD0A}"/>
                </c:ext>
              </c:extLst>
            </c:dLbl>
            <c:dLbl>
              <c:idx val="1"/>
              <c:tx>
                <c:strRef>
                  <c:f>_ThinQQ!$F$101</c:f>
                  <c:strCache>
                    <c:ptCount val="1"/>
                    <c:pt idx="0">
                      <c:v>9.211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{9D67ED1C-CCB8-4A89-92CE-DAB612876A9C}</c15:txfldGUID>
                      <c15:f>_ThinQQ!$F$101</c15:f>
                      <c15:dlblFieldTableCache>
                        <c:ptCount val="1"/>
                        <c:pt idx="0">
                          <c:v>9.211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5651-4D46-B5E5-337D7E05BD0A}"/>
                </c:ext>
              </c:extLst>
            </c:dLbl>
            <c:dLbl>
              <c:idx val="2"/>
              <c:tx>
                <c:strRef>
                  <c:f>_ThinQQ!$F$102</c:f>
                  <c:strCache>
                    <c:ptCount val="1"/>
                    <c:pt idx="0">
                      <c:v>10.495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{7FB7A775-1BC8-4DC0-9F79-0D0C051E5BF9}</c15:txfldGUID>
                      <c15:f>_ThinQQ!$F$102</c15:f>
                      <c15:dlblFieldTableCache>
                        <c:ptCount val="1"/>
                        <c:pt idx="0">
                          <c:v>10.495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5651-4D46-B5E5-337D7E05BD0A}"/>
                </c:ext>
              </c:extLst>
            </c:dLbl>
            <c:dLbl>
              <c:idx val="3"/>
              <c:tx>
                <c:strRef>
                  <c:f>_ThinQQ!$F$103</c:f>
                  <c:strCache>
                    <c:ptCount val="1"/>
                    <c:pt idx="0">
                      <c:v>11.163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{96C34310-5258-4001-B608-7034992E43C1}</c15:txfldGUID>
                      <c15:f>_ThinQQ!$F$103</c15:f>
                      <c15:dlblFieldTableCache>
                        <c:ptCount val="1"/>
                        <c:pt idx="0">
                          <c:v>11.163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5651-4D46-B5E5-337D7E05BD0A}"/>
                </c:ext>
              </c:extLst>
            </c:dLbl>
            <c:dLbl>
              <c:idx val="4"/>
              <c:tx>
                <c:strRef>
                  <c:f>_ThinQQ!$F$104</c:f>
                  <c:strCache>
                    <c:ptCount val="1"/>
                    <c:pt idx="0">
                      <c:v>9.955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{F2FA2B98-7599-40FB-9DE3-94B12D5317AA}</c15:txfldGUID>
                      <c15:f>_ThinQQ!$F$104</c15:f>
                      <c15:dlblFieldTableCache>
                        <c:ptCount val="1"/>
                        <c:pt idx="0">
                          <c:v>9.955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5651-4D46-B5E5-337D7E05BD0A}"/>
                </c:ext>
              </c:extLst>
            </c:dLbl>
            <c:dLbl>
              <c:idx val="5"/>
              <c:tx>
                <c:strRef>
                  <c:f>_ThinQQ!$F$105</c:f>
                  <c:strCache>
                    <c:ptCount val="1"/>
                    <c:pt idx="0">
                      <c:v>10.054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{80260323-F221-4D53-86DD-4F336C247247}</c15:txfldGUID>
                      <c15:f>_ThinQQ!$F$105</c15:f>
                      <c15:dlblFieldTableCache>
                        <c:ptCount val="1"/>
                        <c:pt idx="0">
                          <c:v>10.054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5651-4D46-B5E5-337D7E05BD0A}"/>
                </c:ext>
              </c:extLst>
            </c:dLbl>
            <c:dLbl>
              <c:idx val="6"/>
              <c:tx>
                <c:strRef>
                  <c:f>_ThinQQ!$F$106</c:f>
                  <c:strCache>
                    <c:ptCount val="1"/>
                    <c:pt idx="0">
                      <c:v>11.350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{3FFB0273-BF84-41C8-B106-CB15BD278C65}</c15:txfldGUID>
                      <c15:f>_ThinQQ!$F$106</c15:f>
                      <c15:dlblFieldTableCache>
                        <c:ptCount val="1"/>
                        <c:pt idx="0">
                          <c:v>11.350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5651-4D46-B5E5-337D7E05BD0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651-4D46-B5E5-337D7E05BD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_ThinQQ!$I$100:$I$107</c:f>
              <c:numCache>
                <c:formatCode>General</c:formatCode>
                <c:ptCount val="8"/>
                <c:pt idx="0">
                  <c:v>12381</c:v>
                </c:pt>
                <c:pt idx="1">
                  <c:v>12348.5</c:v>
                </c:pt>
                <c:pt idx="2">
                  <c:v>14349.5</c:v>
                </c:pt>
                <c:pt idx="3">
                  <c:v>15316.5</c:v>
                </c:pt>
                <c:pt idx="4">
                  <c:v>13871.5</c:v>
                </c:pt>
                <c:pt idx="5">
                  <c:v>13932</c:v>
                </c:pt>
                <c:pt idx="6">
                  <c:v>16135</c:v>
                </c:pt>
                <c:pt idx="7">
                  <c:v>17197.5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651-4D46-B5E5-337D7E05BD0A}"/>
            </c:ext>
          </c:extLst>
        </c:ser>
        <c:ser>
          <c:idx val="6"/>
          <c:order val="6"/>
          <c:tx>
            <c:v>tqq_total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4472C4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_ThinQQ!$B$100</c:f>
                  <c:strCache>
                    <c:ptCount val="1"/>
                    <c:pt idx="0">
                      <c:v>17.039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{8F9DB5B3-3969-4EE9-822C-DE06B2089B95}</c15:txfldGUID>
                      <c15:f>_ThinQQ!$B$100</c15:f>
                      <c15:dlblFieldTableCache>
                        <c:ptCount val="1"/>
                        <c:pt idx="0">
                          <c:v>17.039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5651-4D46-B5E5-337D7E05BD0A}"/>
                </c:ext>
              </c:extLst>
            </c:dLbl>
            <c:dLbl>
              <c:idx val="1"/>
              <c:tx>
                <c:strRef>
                  <c:f>_ThinQQ!$B$101</c:f>
                  <c:strCache>
                    <c:ptCount val="1"/>
                    <c:pt idx="0">
                      <c:v>16.954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{04EDF15B-A9A4-4279-A426-3B2D0820F88E}</c15:txfldGUID>
                      <c15:f>_ThinQQ!$B$101</c15:f>
                      <c15:dlblFieldTableCache>
                        <c:ptCount val="1"/>
                        <c:pt idx="0">
                          <c:v>16.954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5651-4D46-B5E5-337D7E05BD0A}"/>
                </c:ext>
              </c:extLst>
            </c:dLbl>
            <c:dLbl>
              <c:idx val="2"/>
              <c:tx>
                <c:strRef>
                  <c:f>_ThinQQ!$B$102</c:f>
                  <c:strCache>
                    <c:ptCount val="1"/>
                    <c:pt idx="0">
                      <c:v>19.597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{6A1600A7-3212-44B2-BAB7-085BA06B774D}</c15:txfldGUID>
                      <c15:f>_ThinQQ!$B$102</c15:f>
                      <c15:dlblFieldTableCache>
                        <c:ptCount val="1"/>
                        <c:pt idx="0">
                          <c:v>19.597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5651-4D46-B5E5-337D7E05BD0A}"/>
                </c:ext>
              </c:extLst>
            </c:dLbl>
            <c:dLbl>
              <c:idx val="3"/>
              <c:tx>
                <c:strRef>
                  <c:f>_ThinQQ!$B$103</c:f>
                  <c:strCache>
                    <c:ptCount val="1"/>
                    <c:pt idx="0">
                      <c:v>20.898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{48D04DD6-875B-4833-9D51-96C3E1E1B1B0}</c15:txfldGUID>
                      <c15:f>_ThinQQ!$B$103</c15:f>
                      <c15:dlblFieldTableCache>
                        <c:ptCount val="1"/>
                        <c:pt idx="0">
                          <c:v>20.898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5651-4D46-B5E5-337D7E05BD0A}"/>
                </c:ext>
              </c:extLst>
            </c:dLbl>
            <c:dLbl>
              <c:idx val="4"/>
              <c:tx>
                <c:strRef>
                  <c:f>_ThinQQ!$B$104</c:f>
                  <c:strCache>
                    <c:ptCount val="1"/>
                    <c:pt idx="0">
                      <c:v>18.849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{5FD8822E-7D69-4353-9BE4-CC9D9C71CA26}</c15:txfldGUID>
                      <c15:f>_ThinQQ!$B$104</c15:f>
                      <c15:dlblFieldTableCache>
                        <c:ptCount val="1"/>
                        <c:pt idx="0">
                          <c:v>18.849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5651-4D46-B5E5-337D7E05BD0A}"/>
                </c:ext>
              </c:extLst>
            </c:dLbl>
            <c:dLbl>
              <c:idx val="5"/>
              <c:tx>
                <c:strRef>
                  <c:f>_ThinQQ!$B$105</c:f>
                  <c:strCache>
                    <c:ptCount val="1"/>
                    <c:pt idx="0">
                      <c:v>18.959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{310143AA-B436-47A9-A0B3-A473E42B5EE9}</c15:txfldGUID>
                      <c15:f>_ThinQQ!$B$105</c15:f>
                      <c15:dlblFieldTableCache>
                        <c:ptCount val="1"/>
                        <c:pt idx="0">
                          <c:v>18.959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5651-4D46-B5E5-337D7E05BD0A}"/>
                </c:ext>
              </c:extLst>
            </c:dLbl>
            <c:dLbl>
              <c:idx val="6"/>
              <c:tx>
                <c:strRef>
                  <c:f>_ThinQQ!$B$106</c:f>
                  <c:strCache>
                    <c:ptCount val="1"/>
                    <c:pt idx="0">
                      <c:v>21.810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{AC08BFE5-3214-4464-954D-4557F3304138}</c15:txfldGUID>
                      <c15:f>_ThinQQ!$B$106</c15:f>
                      <c15:dlblFieldTableCache>
                        <c:ptCount val="1"/>
                        <c:pt idx="0">
                          <c:v>21.810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5651-4D46-B5E5-337D7E05BD0A}"/>
                </c:ext>
              </c:extLst>
            </c:dLbl>
            <c:dLbl>
              <c:idx val="7"/>
              <c:tx>
                <c:strRef>
                  <c:f>_ThinQQ!$B$107</c:f>
                  <c:strCache>
                    <c:ptCount val="1"/>
                    <c:pt idx="0">
                      <c:v>23.180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{B2BFC364-22FE-4D9B-A003-CFC732319C4D}</c15:txfldGUID>
                      <c15:f>_ThinQQ!$B$107</c15:f>
                      <c15:dlblFieldTableCache>
                        <c:ptCount val="1"/>
                        <c:pt idx="0">
                          <c:v>23.180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5651-4D46-B5E5-337D7E05BD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_ThinQQ!$C$100:$C$107</c:f>
              <c:numCache>
                <c:formatCode>General</c:formatCode>
                <c:ptCount val="8"/>
                <c:pt idx="0">
                  <c:v>17039</c:v>
                </c:pt>
                <c:pt idx="1">
                  <c:v>16954</c:v>
                </c:pt>
                <c:pt idx="2">
                  <c:v>19597</c:v>
                </c:pt>
                <c:pt idx="3">
                  <c:v>20898</c:v>
                </c:pt>
                <c:pt idx="4">
                  <c:v>18849</c:v>
                </c:pt>
                <c:pt idx="5">
                  <c:v>18959</c:v>
                </c:pt>
                <c:pt idx="6">
                  <c:v>21810</c:v>
                </c:pt>
                <c:pt idx="7">
                  <c:v>23180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651-4D46-B5E5-337D7E05BD0A}"/>
            </c:ext>
          </c:extLst>
        </c:ser>
        <c:ser>
          <c:idx val="7"/>
          <c:order val="7"/>
          <c:tx>
            <c:v>tqq_vline</c:v>
          </c:tx>
          <c:spPr>
            <a:ln w="12700" cap="rnd" cmpd="sng" algn="ctr">
              <a:solidFill>
                <a:srgbClr val="7F7F7F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7"/>
              <c:tx>
                <c:strRef>
                  <c:f>_ThinQQ!$K$107</c:f>
                  <c:strCache>
                    <c:ptCount val="1"/>
                    <c:pt idx="0">
                      <c:v>Média 19.661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{605425D6-B723-4881-AC48-BF77522ADCAB}</c15:txfldGUID>
                      <c15:f>_ThinQQ!$K$107</c15:f>
                      <c15:dlblFieldTableCache>
                        <c:ptCount val="1"/>
                        <c:pt idx="0">
                          <c:v>Média 19.661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5651-4D46-B5E5-337D7E05BD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_ThinQQ!$K$100:$K$107</c:f>
              <c:numCache>
                <c:formatCode>"Média "#,##0;"Média "\-#,##0;"Média "#,##0</c:formatCode>
                <c:ptCount val="8"/>
                <c:pt idx="0">
                  <c:v>19660.75</c:v>
                </c:pt>
                <c:pt idx="1">
                  <c:v>19660.75</c:v>
                </c:pt>
                <c:pt idx="2">
                  <c:v>19660.75</c:v>
                </c:pt>
                <c:pt idx="3">
                  <c:v>19660.75</c:v>
                </c:pt>
                <c:pt idx="4">
                  <c:v>19660.75</c:v>
                </c:pt>
                <c:pt idx="5">
                  <c:v>19660.75</c:v>
                </c:pt>
                <c:pt idx="6">
                  <c:v>19660.75</c:v>
                </c:pt>
                <c:pt idx="7">
                  <c:v>19660.75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651-4D46-B5E5-337D7E05B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54328"/>
        <c:axId val="564351088"/>
      </c:lineChart>
      <c:catAx>
        <c:axId val="564354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64351088"/>
        <c:crosses val="autoZero"/>
        <c:auto val="0"/>
        <c:lblAlgn val="ctr"/>
        <c:lblOffset val="100"/>
        <c:noMultiLvlLbl val="0"/>
      </c:catAx>
      <c:valAx>
        <c:axId val="5643510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64354328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10869565217391304"/>
          <c:y val="3.9285714285714285E-2"/>
          <c:w val="0.64933310510099285"/>
          <c:h val="0.92142857142857137"/>
        </c:manualLayout>
      </c:layout>
      <c:areaChart>
        <c:grouping val="percentStacked"/>
        <c:varyColors val="0"/>
        <c:ser>
          <c:idx val="0"/>
          <c:order val="0"/>
          <c:tx>
            <c:strRef>
              <c:f>'E11'!$B$6</c:f>
              <c:strCache>
                <c:ptCount val="1"/>
                <c:pt idx="0">
                  <c:v>Tintas</c:v>
                </c:pt>
              </c:strCache>
            </c:strRef>
          </c:tx>
          <c:spPr>
            <a:solidFill>
              <a:srgbClr val="1F3864"/>
            </a:solidFill>
            <a:ln w="12700">
              <a:solidFill>
                <a:srgbClr val="FFFFFF"/>
              </a:solidFill>
            </a:ln>
          </c:spPr>
          <c:cat>
            <c:strRef>
              <c:f>'E11'!$A$7:$A$14</c:f>
              <c:strCache>
                <c:ptCount val="8"/>
                <c:pt idx="0">
                  <c:v>T1/24</c:v>
                </c:pt>
                <c:pt idx="1">
                  <c:v>T2/24</c:v>
                </c:pt>
                <c:pt idx="2">
                  <c:v>T3/24</c:v>
                </c:pt>
                <c:pt idx="3">
                  <c:v>T4/24</c:v>
                </c:pt>
                <c:pt idx="4">
                  <c:v>T1/25</c:v>
                </c:pt>
                <c:pt idx="5">
                  <c:v>T2/25</c:v>
                </c:pt>
                <c:pt idx="6">
                  <c:v>T3/25</c:v>
                </c:pt>
                <c:pt idx="7">
                  <c:v>T4/25</c:v>
                </c:pt>
              </c:strCache>
            </c:strRef>
          </c:cat>
          <c:val>
            <c:numRef>
              <c:f>'E11'!$B$7:$B$14</c:f>
              <c:numCache>
                <c:formatCode>#,##0</c:formatCode>
                <c:ptCount val="8"/>
                <c:pt idx="0">
                  <c:v>3224</c:v>
                </c:pt>
                <c:pt idx="1">
                  <c:v>3217</c:v>
                </c:pt>
                <c:pt idx="2">
                  <c:v>3746</c:v>
                </c:pt>
                <c:pt idx="3">
                  <c:v>3943</c:v>
                </c:pt>
                <c:pt idx="4">
                  <c:v>3588</c:v>
                </c:pt>
                <c:pt idx="5">
                  <c:v>3538</c:v>
                </c:pt>
                <c:pt idx="6">
                  <c:v>4162</c:v>
                </c:pt>
                <c:pt idx="7">
                  <c:v>4415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9E-409F-8493-1FD64D4FEF36}"/>
            </c:ext>
          </c:extLst>
        </c:ser>
        <c:ser>
          <c:idx val="1"/>
          <c:order val="1"/>
          <c:tx>
            <c:strRef>
              <c:f>'E11'!$C$6</c:f>
              <c:strCache>
                <c:ptCount val="1"/>
                <c:pt idx="0">
                  <c:v>Pisos</c:v>
                </c:pt>
              </c:strCache>
            </c:strRef>
          </c:tx>
          <c:spPr>
            <a:solidFill>
              <a:srgbClr val="4472C4"/>
            </a:solidFill>
            <a:ln w="12700">
              <a:solidFill>
                <a:srgbClr val="FFFFFF"/>
              </a:solidFill>
            </a:ln>
          </c:spPr>
          <c:cat>
            <c:strRef>
              <c:f>'E11'!$A$7:$A$14</c:f>
              <c:strCache>
                <c:ptCount val="8"/>
                <c:pt idx="0">
                  <c:v>T1/24</c:v>
                </c:pt>
                <c:pt idx="1">
                  <c:v>T2/24</c:v>
                </c:pt>
                <c:pt idx="2">
                  <c:v>T3/24</c:v>
                </c:pt>
                <c:pt idx="3">
                  <c:v>T4/24</c:v>
                </c:pt>
                <c:pt idx="4">
                  <c:v>T1/25</c:v>
                </c:pt>
                <c:pt idx="5">
                  <c:v>T2/25</c:v>
                </c:pt>
                <c:pt idx="6">
                  <c:v>T3/25</c:v>
                </c:pt>
                <c:pt idx="7">
                  <c:v>T4/25</c:v>
                </c:pt>
              </c:strCache>
            </c:strRef>
          </c:cat>
          <c:val>
            <c:numRef>
              <c:f>'E11'!$C$7:$C$14</c:f>
              <c:numCache>
                <c:formatCode>#,##0</c:formatCode>
                <c:ptCount val="8"/>
                <c:pt idx="0">
                  <c:v>4499</c:v>
                </c:pt>
                <c:pt idx="1">
                  <c:v>4526</c:v>
                </c:pt>
                <c:pt idx="2">
                  <c:v>5356</c:v>
                </c:pt>
                <c:pt idx="3">
                  <c:v>5792</c:v>
                </c:pt>
                <c:pt idx="4">
                  <c:v>5306</c:v>
                </c:pt>
                <c:pt idx="5">
                  <c:v>5367</c:v>
                </c:pt>
                <c:pt idx="6">
                  <c:v>6298</c:v>
                </c:pt>
                <c:pt idx="7">
                  <c:v>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9E-409F-8493-1FD64D4FEF36}"/>
            </c:ext>
          </c:extLst>
        </c:ser>
        <c:ser>
          <c:idx val="2"/>
          <c:order val="2"/>
          <c:tx>
            <c:strRef>
              <c:f>'E11'!$D$6</c:f>
              <c:strCache>
                <c:ptCount val="1"/>
                <c:pt idx="0">
                  <c:v>Cimento e argamassa</c:v>
                </c:pt>
              </c:strCache>
            </c:strRef>
          </c:tx>
          <c:spPr>
            <a:solidFill>
              <a:srgbClr val="9DC3E6"/>
            </a:solidFill>
            <a:ln w="12700">
              <a:solidFill>
                <a:srgbClr val="FFFFFF"/>
              </a:solidFill>
            </a:ln>
          </c:spPr>
          <c:cat>
            <c:strRef>
              <c:f>'E11'!$A$7:$A$14</c:f>
              <c:strCache>
                <c:ptCount val="8"/>
                <c:pt idx="0">
                  <c:v>T1/24</c:v>
                </c:pt>
                <c:pt idx="1">
                  <c:v>T2/24</c:v>
                </c:pt>
                <c:pt idx="2">
                  <c:v>T3/24</c:v>
                </c:pt>
                <c:pt idx="3">
                  <c:v>T4/24</c:v>
                </c:pt>
                <c:pt idx="4">
                  <c:v>T1/25</c:v>
                </c:pt>
                <c:pt idx="5">
                  <c:v>T2/25</c:v>
                </c:pt>
                <c:pt idx="6">
                  <c:v>T3/25</c:v>
                </c:pt>
                <c:pt idx="7">
                  <c:v>T4/25</c:v>
                </c:pt>
              </c:strCache>
            </c:strRef>
          </c:cat>
          <c:val>
            <c:numRef>
              <c:f>'E11'!$D$7:$D$14</c:f>
              <c:numCache>
                <c:formatCode>#,##0</c:formatCode>
                <c:ptCount val="8"/>
                <c:pt idx="0">
                  <c:v>9316</c:v>
                </c:pt>
                <c:pt idx="1">
                  <c:v>9211</c:v>
                </c:pt>
                <c:pt idx="2">
                  <c:v>10495</c:v>
                </c:pt>
                <c:pt idx="3">
                  <c:v>11163</c:v>
                </c:pt>
                <c:pt idx="4">
                  <c:v>9955</c:v>
                </c:pt>
                <c:pt idx="5">
                  <c:v>10054</c:v>
                </c:pt>
                <c:pt idx="6">
                  <c:v>11350</c:v>
                </c:pt>
                <c:pt idx="7">
                  <c:v>11965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9E-409F-8493-1FD64D4FE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443000"/>
        <c:axId val="528441200"/>
      </c:areaChart>
      <c:lineChart>
        <c:grouping val="standard"/>
        <c:varyColors val="0"/>
        <c:ser>
          <c:idx val="3"/>
          <c:order val="3"/>
          <c:tx>
            <c:v>tqq_lbl_1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_ThinQQ!$D$111</c:f>
                  <c:strCache>
                    <c:ptCount val="1"/>
                    <c:pt idx="0">
                      <c:v>19%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{B406469B-ED07-47C8-B8D3-72FF30822166}</c15:txfldGUID>
                      <c15:f>_ThinQQ!$D$111</c15:f>
                      <c15:dlblFieldTableCache>
                        <c:ptCount val="1"/>
                        <c:pt idx="0">
                          <c:v>19%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039E-409F-8493-1FD64D4FEF36}"/>
                </c:ext>
              </c:extLst>
            </c:dLbl>
            <c:dLbl>
              <c:idx val="1"/>
              <c:tx>
                <c:strRef>
                  <c:f>_ThinQQ!$D$112</c:f>
                  <c:strCache>
                    <c:ptCount val="1"/>
                    <c:pt idx="0">
                      <c:v>19%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{115CBE97-E0CB-4E91-80F1-331369E65BAD}</c15:txfldGUID>
                      <c15:f>_ThinQQ!$D$112</c15:f>
                      <c15:dlblFieldTableCache>
                        <c:ptCount val="1"/>
                        <c:pt idx="0">
                          <c:v>19%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039E-409F-8493-1FD64D4FEF36}"/>
                </c:ext>
              </c:extLst>
            </c:dLbl>
            <c:dLbl>
              <c:idx val="2"/>
              <c:tx>
                <c:strRef>
                  <c:f>_ThinQQ!$D$113</c:f>
                  <c:strCache>
                    <c:ptCount val="1"/>
                    <c:pt idx="0">
                      <c:v>19%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{CD81BD28-AB36-4E9D-AEEB-A765CC3721C6}</c15:txfldGUID>
                      <c15:f>_ThinQQ!$D$113</c15:f>
                      <c15:dlblFieldTableCache>
                        <c:ptCount val="1"/>
                        <c:pt idx="0">
                          <c:v>19%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39E-409F-8493-1FD64D4FEF36}"/>
                </c:ext>
              </c:extLst>
            </c:dLbl>
            <c:dLbl>
              <c:idx val="3"/>
              <c:tx>
                <c:strRef>
                  <c:f>_ThinQQ!$D$114</c:f>
                  <c:strCache>
                    <c:ptCount val="1"/>
                    <c:pt idx="0">
                      <c:v>19%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{2F3DC1D3-4F03-432D-A610-F45A0AF1413B}</c15:txfldGUID>
                      <c15:f>_ThinQQ!$D$114</c15:f>
                      <c15:dlblFieldTableCache>
                        <c:ptCount val="1"/>
                        <c:pt idx="0">
                          <c:v>19%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39E-409F-8493-1FD64D4FEF36}"/>
                </c:ext>
              </c:extLst>
            </c:dLbl>
            <c:dLbl>
              <c:idx val="4"/>
              <c:tx>
                <c:strRef>
                  <c:f>_ThinQQ!$D$115</c:f>
                  <c:strCache>
                    <c:ptCount val="1"/>
                    <c:pt idx="0">
                      <c:v>19%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{FBBB67EE-45C0-4374-89BC-E492ECA6E171}</c15:txfldGUID>
                      <c15:f>_ThinQQ!$D$115</c15:f>
                      <c15:dlblFieldTableCache>
                        <c:ptCount val="1"/>
                        <c:pt idx="0">
                          <c:v>19%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39E-409F-8493-1FD64D4FEF36}"/>
                </c:ext>
              </c:extLst>
            </c:dLbl>
            <c:dLbl>
              <c:idx val="5"/>
              <c:tx>
                <c:strRef>
                  <c:f>_ThinQQ!$D$116</c:f>
                  <c:strCache>
                    <c:ptCount val="1"/>
                    <c:pt idx="0">
                      <c:v>19%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{49FE751C-F5EE-414A-85D0-E2C2D3E44DCE}</c15:txfldGUID>
                      <c15:f>_ThinQQ!$D$116</c15:f>
                      <c15:dlblFieldTableCache>
                        <c:ptCount val="1"/>
                        <c:pt idx="0">
                          <c:v>19%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39E-409F-8493-1FD64D4FEF36}"/>
                </c:ext>
              </c:extLst>
            </c:dLbl>
            <c:dLbl>
              <c:idx val="6"/>
              <c:tx>
                <c:strRef>
                  <c:f>_ThinQQ!$D$117</c:f>
                  <c:strCache>
                    <c:ptCount val="1"/>
                    <c:pt idx="0">
                      <c:v>19%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{BC7E5866-D852-427E-A78B-CA2618EFCC54}</c15:txfldGUID>
                      <c15:f>_ThinQQ!$D$117</c15:f>
                      <c15:dlblFieldTableCache>
                        <c:ptCount val="1"/>
                        <c:pt idx="0">
                          <c:v>19%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039E-409F-8493-1FD64D4FEF36}"/>
                </c:ext>
              </c:extLst>
            </c:dLbl>
            <c:dLbl>
              <c:idx val="7"/>
              <c:tx>
                <c:strRef>
                  <c:f>_ThinQQ!$D$118</c:f>
                  <c:strCache>
                    <c:ptCount val="1"/>
                    <c:pt idx="0">
                      <c:v>19%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{32EF6A20-D856-4020-97F9-E45BC0A7E801}</c15:txfldGUID>
                      <c15:f>_ThinQQ!$D$118</c15:f>
                      <c15:dlblFieldTableCache>
                        <c:ptCount val="1"/>
                        <c:pt idx="0">
                          <c:v>19%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039E-409F-8493-1FD64D4FEF3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_ThinQQ!$G$111:$G$118</c:f>
              <c:numCache>
                <c:formatCode>General</c:formatCode>
                <c:ptCount val="8"/>
                <c:pt idx="0">
                  <c:v>9.4606490991255357E-2</c:v>
                </c:pt>
                <c:pt idx="1">
                  <c:v>9.4874365931343629E-2</c:v>
                </c:pt>
                <c:pt idx="2">
                  <c:v>9.5575853446956169E-2</c:v>
                </c:pt>
                <c:pt idx="3">
                  <c:v>9.4339171212556222E-2</c:v>
                </c:pt>
                <c:pt idx="4">
                  <c:v>9.5177462995384376E-2</c:v>
                </c:pt>
                <c:pt idx="5">
                  <c:v>9.330660899836489E-2</c:v>
                </c:pt>
                <c:pt idx="6">
                  <c:v>9.5414947271893633E-2</c:v>
                </c:pt>
                <c:pt idx="7">
                  <c:v>9.5232959447799831E-2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9E-409F-8493-1FD64D4FEF36}"/>
            </c:ext>
          </c:extLst>
        </c:ser>
        <c:ser>
          <c:idx val="4"/>
          <c:order val="4"/>
          <c:tx>
            <c:v>tqq_lbl_2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_ThinQQ!$E$111</c:f>
                  <c:strCache>
                    <c:ptCount val="1"/>
                    <c:pt idx="0">
                      <c:v>26%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{832A61B3-AE4D-445A-A726-624A792DFCA4}</c15:txfldGUID>
                      <c15:f>_ThinQQ!$E$111</c15:f>
                      <c15:dlblFieldTableCache>
                        <c:ptCount val="1"/>
                        <c:pt idx="0">
                          <c:v>26%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039E-409F-8493-1FD64D4FEF36}"/>
                </c:ext>
              </c:extLst>
            </c:dLbl>
            <c:dLbl>
              <c:idx val="1"/>
              <c:tx>
                <c:strRef>
                  <c:f>_ThinQQ!$E$112</c:f>
                  <c:strCache>
                    <c:ptCount val="1"/>
                    <c:pt idx="0">
                      <c:v>27%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{59BC7AD9-2439-49CE-9B13-2B3D6EFC7559}</c15:txfldGUID>
                      <c15:f>_ThinQQ!$E$112</c15:f>
                      <c15:dlblFieldTableCache>
                        <c:ptCount val="1"/>
                        <c:pt idx="0">
                          <c:v>27%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039E-409F-8493-1FD64D4FEF36}"/>
                </c:ext>
              </c:extLst>
            </c:dLbl>
            <c:dLbl>
              <c:idx val="2"/>
              <c:tx>
                <c:strRef>
                  <c:f>_ThinQQ!$E$113</c:f>
                  <c:strCache>
                    <c:ptCount val="1"/>
                    <c:pt idx="0">
                      <c:v>27%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{E4417CFB-0051-4BD3-B6E7-200F8EEB3351}</c15:txfldGUID>
                      <c15:f>_ThinQQ!$E$113</c15:f>
                      <c15:dlblFieldTableCache>
                        <c:ptCount val="1"/>
                        <c:pt idx="0">
                          <c:v>27%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039E-409F-8493-1FD64D4FEF36}"/>
                </c:ext>
              </c:extLst>
            </c:dLbl>
            <c:dLbl>
              <c:idx val="3"/>
              <c:tx>
                <c:strRef>
                  <c:f>_ThinQQ!$E$114</c:f>
                  <c:strCache>
                    <c:ptCount val="1"/>
                    <c:pt idx="0">
                      <c:v>28%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{23A4949A-2D16-491E-9863-1B766F00F819}</c15:txfldGUID>
                      <c15:f>_ThinQQ!$E$114</c15:f>
                      <c15:dlblFieldTableCache>
                        <c:ptCount val="1"/>
                        <c:pt idx="0">
                          <c:v>28%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039E-409F-8493-1FD64D4FEF36}"/>
                </c:ext>
              </c:extLst>
            </c:dLbl>
            <c:dLbl>
              <c:idx val="4"/>
              <c:tx>
                <c:strRef>
                  <c:f>_ThinQQ!$E$115</c:f>
                  <c:strCache>
                    <c:ptCount val="1"/>
                    <c:pt idx="0">
                      <c:v>28%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{382BED64-75B0-48DB-8922-959A0AE7B19C}</c15:txfldGUID>
                      <c15:f>_ThinQQ!$E$115</c15:f>
                      <c15:dlblFieldTableCache>
                        <c:ptCount val="1"/>
                        <c:pt idx="0">
                          <c:v>28%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039E-409F-8493-1FD64D4FEF36}"/>
                </c:ext>
              </c:extLst>
            </c:dLbl>
            <c:dLbl>
              <c:idx val="5"/>
              <c:tx>
                <c:strRef>
                  <c:f>_ThinQQ!$E$116</c:f>
                  <c:strCache>
                    <c:ptCount val="1"/>
                    <c:pt idx="0">
                      <c:v>28%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{78B808E6-FE7C-4DAF-AF90-7ECB124E8599}</c15:txfldGUID>
                      <c15:f>_ThinQQ!$E$116</c15:f>
                      <c15:dlblFieldTableCache>
                        <c:ptCount val="1"/>
                        <c:pt idx="0">
                          <c:v>28%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039E-409F-8493-1FD64D4FEF36}"/>
                </c:ext>
              </c:extLst>
            </c:dLbl>
            <c:dLbl>
              <c:idx val="6"/>
              <c:tx>
                <c:strRef>
                  <c:f>_ThinQQ!$E$117</c:f>
                  <c:strCache>
                    <c:ptCount val="1"/>
                    <c:pt idx="0">
                      <c:v>29%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{C249C35D-51C7-497F-A982-7FFDC450C93F}</c15:txfldGUID>
                      <c15:f>_ThinQQ!$E$117</c15:f>
                      <c15:dlblFieldTableCache>
                        <c:ptCount val="1"/>
                        <c:pt idx="0">
                          <c:v>29%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039E-409F-8493-1FD64D4FEF36}"/>
                </c:ext>
              </c:extLst>
            </c:dLbl>
            <c:dLbl>
              <c:idx val="7"/>
              <c:tx>
                <c:strRef>
                  <c:f>_ThinQQ!$E$118</c:f>
                  <c:strCache>
                    <c:ptCount val="1"/>
                    <c:pt idx="0">
                      <c:v>29%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{D42A7C08-B817-4815-9682-C3D6E6E9C5DA}</c15:txfldGUID>
                      <c15:f>_ThinQQ!$E$118</c15:f>
                      <c15:dlblFieldTableCache>
                        <c:ptCount val="1"/>
                        <c:pt idx="0">
                          <c:v>29%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039E-409F-8493-1FD64D4FEF3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_ThinQQ!$H$111:$H$118</c:f>
              <c:numCache>
                <c:formatCode>General</c:formatCode>
                <c:ptCount val="8"/>
                <c:pt idx="0">
                  <c:v>0.32123364047185865</c:v>
                </c:pt>
                <c:pt idx="1">
                  <c:v>0.32322755691872124</c:v>
                </c:pt>
                <c:pt idx="2">
                  <c:v>0.32780527631780376</c:v>
                </c:pt>
                <c:pt idx="3">
                  <c:v>0.32725619676524065</c:v>
                </c:pt>
                <c:pt idx="4">
                  <c:v>0.33110509841370894</c:v>
                </c:pt>
                <c:pt idx="5">
                  <c:v>0.32815549343319794</c:v>
                </c:pt>
                <c:pt idx="6">
                  <c:v>0.33521320495185691</c:v>
                </c:pt>
                <c:pt idx="7">
                  <c:v>0.33714408973252807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39E-409F-8493-1FD64D4FEF36}"/>
            </c:ext>
          </c:extLst>
        </c:ser>
        <c:ser>
          <c:idx val="5"/>
          <c:order val="5"/>
          <c:tx>
            <c:v>tqq_lbl_3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70AD47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_ThinQQ!$F$111</c:f>
                  <c:strCache>
                    <c:ptCount val="1"/>
                    <c:pt idx="0">
                      <c:v>55%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{1D5C947E-59CC-4D65-8CA8-21D6281E89A9}</c15:txfldGUID>
                      <c15:f>_ThinQQ!$F$111</c15:f>
                      <c15:dlblFieldTableCache>
                        <c:ptCount val="1"/>
                        <c:pt idx="0">
                          <c:v>55%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039E-409F-8493-1FD64D4FEF36}"/>
                </c:ext>
              </c:extLst>
            </c:dLbl>
            <c:dLbl>
              <c:idx val="1"/>
              <c:tx>
                <c:strRef>
                  <c:f>_ThinQQ!$F$112</c:f>
                  <c:strCache>
                    <c:ptCount val="1"/>
                    <c:pt idx="0">
                      <c:v>54%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{B437D3E6-C7DC-4EA0-9C67-92C970689BD6}</c15:txfldGUID>
                      <c15:f>_ThinQQ!$F$112</c15:f>
                      <c15:dlblFieldTableCache>
                        <c:ptCount val="1"/>
                        <c:pt idx="0">
                          <c:v>54%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039E-409F-8493-1FD64D4FEF36}"/>
                </c:ext>
              </c:extLst>
            </c:dLbl>
            <c:dLbl>
              <c:idx val="2"/>
              <c:tx>
                <c:strRef>
                  <c:f>_ThinQQ!$F$113</c:f>
                  <c:strCache>
                    <c:ptCount val="1"/>
                    <c:pt idx="0">
                      <c:v>54%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{571D1A83-0EC3-49D5-9F67-BF48648364EF}</c15:txfldGUID>
                      <c15:f>_ThinQQ!$F$113</c15:f>
                      <c15:dlblFieldTableCache>
                        <c:ptCount val="1"/>
                        <c:pt idx="0">
                          <c:v>54%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039E-409F-8493-1FD64D4FEF36}"/>
                </c:ext>
              </c:extLst>
            </c:dLbl>
            <c:dLbl>
              <c:idx val="3"/>
              <c:tx>
                <c:strRef>
                  <c:f>_ThinQQ!$F$114</c:f>
                  <c:strCache>
                    <c:ptCount val="1"/>
                    <c:pt idx="0">
                      <c:v>53%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{5C5C74C9-4BBB-41CE-8541-77C86EDB568B}</c15:txfldGUID>
                      <c15:f>_ThinQQ!$F$114</c15:f>
                      <c15:dlblFieldTableCache>
                        <c:ptCount val="1"/>
                        <c:pt idx="0">
                          <c:v>53%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039E-409F-8493-1FD64D4FEF36}"/>
                </c:ext>
              </c:extLst>
            </c:dLbl>
            <c:dLbl>
              <c:idx val="4"/>
              <c:tx>
                <c:strRef>
                  <c:f>_ThinQQ!$F$115</c:f>
                  <c:strCache>
                    <c:ptCount val="1"/>
                    <c:pt idx="0">
                      <c:v>53%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{23C17DD5-0595-49EA-9383-1F7319378C41}</c15:txfldGUID>
                      <c15:f>_ThinQQ!$F$115</c15:f>
                      <c15:dlblFieldTableCache>
                        <c:ptCount val="1"/>
                        <c:pt idx="0">
                          <c:v>53%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039E-409F-8493-1FD64D4FEF36}"/>
                </c:ext>
              </c:extLst>
            </c:dLbl>
            <c:dLbl>
              <c:idx val="5"/>
              <c:tx>
                <c:strRef>
                  <c:f>_ThinQQ!$F$116</c:f>
                  <c:strCache>
                    <c:ptCount val="1"/>
                    <c:pt idx="0">
                      <c:v>53%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{326F1214-29B1-4381-995B-7A9673191D10}</c15:txfldGUID>
                      <c15:f>_ThinQQ!$F$116</c15:f>
                      <c15:dlblFieldTableCache>
                        <c:ptCount val="1"/>
                        <c:pt idx="0">
                          <c:v>53%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039E-409F-8493-1FD64D4FEF36}"/>
                </c:ext>
              </c:extLst>
            </c:dLbl>
            <c:dLbl>
              <c:idx val="6"/>
              <c:tx>
                <c:strRef>
                  <c:f>_ThinQQ!$F$117</c:f>
                  <c:strCache>
                    <c:ptCount val="1"/>
                    <c:pt idx="0">
                      <c:v>52%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{A0EFE0EA-2686-4BA2-B13B-11A7E4323B8B}</c15:txfldGUID>
                      <c15:f>_ThinQQ!$F$117</c15:f>
                      <c15:dlblFieldTableCache>
                        <c:ptCount val="1"/>
                        <c:pt idx="0">
                          <c:v>52%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039E-409F-8493-1FD64D4FEF36}"/>
                </c:ext>
              </c:extLst>
            </c:dLbl>
            <c:dLbl>
              <c:idx val="7"/>
              <c:tx>
                <c:strRef>
                  <c:f>_ThinQQ!$F$118</c:f>
                  <c:strCache>
                    <c:ptCount val="1"/>
                    <c:pt idx="0">
                      <c:v>52%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{A13CE0E2-4572-4087-A95A-598166FAD6ED}</c15:txfldGUID>
                      <c15:f>_ThinQQ!$F$118</c15:f>
                      <c15:dlblFieldTableCache>
                        <c:ptCount val="1"/>
                        <c:pt idx="0">
                          <c:v>52%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039E-409F-8493-1FD64D4FEF3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_ThinQQ!$I$111:$I$118</c:f>
              <c:numCache>
                <c:formatCode>General</c:formatCode>
                <c:ptCount val="8"/>
                <c:pt idx="0">
                  <c:v>0.72662714948060336</c:v>
                </c:pt>
                <c:pt idx="1">
                  <c:v>0.72835319098737761</c:v>
                </c:pt>
                <c:pt idx="2">
                  <c:v>0.73222942287084758</c:v>
                </c:pt>
                <c:pt idx="3">
                  <c:v>0.73291702555268445</c:v>
                </c:pt>
                <c:pt idx="4">
                  <c:v>0.73592763541832462</c:v>
                </c:pt>
                <c:pt idx="5">
                  <c:v>0.73484888443483309</c:v>
                </c:pt>
                <c:pt idx="6">
                  <c:v>0.73979825767996332</c:v>
                </c:pt>
                <c:pt idx="7">
                  <c:v>0.74191113028472822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39E-409F-8493-1FD64D4FEF36}"/>
            </c:ext>
          </c:extLst>
        </c:ser>
        <c:ser>
          <c:idx val="6"/>
          <c:order val="6"/>
          <c:tx>
            <c:v>tqq_total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4472C4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_ThinQQ!$B$111</c:f>
                  <c:strCache>
                    <c:ptCount val="1"/>
                    <c:pt idx="0">
                      <c:v>17.039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{D6D417EE-6029-4E58-97E6-DA97E873B5D0}</c15:txfldGUID>
                      <c15:f>_ThinQQ!$B$111</c15:f>
                      <c15:dlblFieldTableCache>
                        <c:ptCount val="1"/>
                        <c:pt idx="0">
                          <c:v>17.039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039E-409F-8493-1FD64D4FEF36}"/>
                </c:ext>
              </c:extLst>
            </c:dLbl>
            <c:dLbl>
              <c:idx val="1"/>
              <c:tx>
                <c:strRef>
                  <c:f>_ThinQQ!$B$112</c:f>
                  <c:strCache>
                    <c:ptCount val="1"/>
                    <c:pt idx="0">
                      <c:v>16.954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{25BFE2A9-77DE-4888-92F0-0A86D4BCF168}</c15:txfldGUID>
                      <c15:f>_ThinQQ!$B$112</c15:f>
                      <c15:dlblFieldTableCache>
                        <c:ptCount val="1"/>
                        <c:pt idx="0">
                          <c:v>16.954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039E-409F-8493-1FD64D4FEF36}"/>
                </c:ext>
              </c:extLst>
            </c:dLbl>
            <c:dLbl>
              <c:idx val="2"/>
              <c:tx>
                <c:strRef>
                  <c:f>_ThinQQ!$B$113</c:f>
                  <c:strCache>
                    <c:ptCount val="1"/>
                    <c:pt idx="0">
                      <c:v>19.597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{54151312-33A1-47C4-8581-F2661C6E8325}</c15:txfldGUID>
                      <c15:f>_ThinQQ!$B$113</c15:f>
                      <c15:dlblFieldTableCache>
                        <c:ptCount val="1"/>
                        <c:pt idx="0">
                          <c:v>19.597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039E-409F-8493-1FD64D4FEF36}"/>
                </c:ext>
              </c:extLst>
            </c:dLbl>
            <c:dLbl>
              <c:idx val="3"/>
              <c:tx>
                <c:strRef>
                  <c:f>_ThinQQ!$B$114</c:f>
                  <c:strCache>
                    <c:ptCount val="1"/>
                    <c:pt idx="0">
                      <c:v>20.898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{D19DA7CC-11A5-47F5-9E21-103EE74CCDC8}</c15:txfldGUID>
                      <c15:f>_ThinQQ!$B$114</c15:f>
                      <c15:dlblFieldTableCache>
                        <c:ptCount val="1"/>
                        <c:pt idx="0">
                          <c:v>20.898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039E-409F-8493-1FD64D4FEF36}"/>
                </c:ext>
              </c:extLst>
            </c:dLbl>
            <c:dLbl>
              <c:idx val="4"/>
              <c:tx>
                <c:strRef>
                  <c:f>_ThinQQ!$B$115</c:f>
                  <c:strCache>
                    <c:ptCount val="1"/>
                    <c:pt idx="0">
                      <c:v>18.849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{31E7C25B-65CE-4F20-A938-04F755E4AF9E}</c15:txfldGUID>
                      <c15:f>_ThinQQ!$B$115</c15:f>
                      <c15:dlblFieldTableCache>
                        <c:ptCount val="1"/>
                        <c:pt idx="0">
                          <c:v>18.849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039E-409F-8493-1FD64D4FEF36}"/>
                </c:ext>
              </c:extLst>
            </c:dLbl>
            <c:dLbl>
              <c:idx val="5"/>
              <c:tx>
                <c:strRef>
                  <c:f>_ThinQQ!$B$116</c:f>
                  <c:strCache>
                    <c:ptCount val="1"/>
                    <c:pt idx="0">
                      <c:v>18.959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{3E2C15A1-E176-4CD5-9387-2A51C4BC2D7B}</c15:txfldGUID>
                      <c15:f>_ThinQQ!$B$116</c15:f>
                      <c15:dlblFieldTableCache>
                        <c:ptCount val="1"/>
                        <c:pt idx="0">
                          <c:v>18.959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039E-409F-8493-1FD64D4FEF36}"/>
                </c:ext>
              </c:extLst>
            </c:dLbl>
            <c:dLbl>
              <c:idx val="6"/>
              <c:tx>
                <c:strRef>
                  <c:f>_ThinQQ!$B$117</c:f>
                  <c:strCache>
                    <c:ptCount val="1"/>
                    <c:pt idx="0">
                      <c:v>21.810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{2D68B3FD-B008-42C0-B3A5-7E4F71028123}</c15:txfldGUID>
                      <c15:f>_ThinQQ!$B$117</c15:f>
                      <c15:dlblFieldTableCache>
                        <c:ptCount val="1"/>
                        <c:pt idx="0">
                          <c:v>21.810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039E-409F-8493-1FD64D4FEF36}"/>
                </c:ext>
              </c:extLst>
            </c:dLbl>
            <c:dLbl>
              <c:idx val="7"/>
              <c:tx>
                <c:strRef>
                  <c:f>_ThinQQ!$B$118</c:f>
                  <c:strCache>
                    <c:ptCount val="1"/>
                    <c:pt idx="0">
                      <c:v>23.180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{45395130-F051-4DF4-B2E2-1AC25300720C}</c15:txfldGUID>
                      <c15:f>_ThinQQ!$B$118</c15:f>
                      <c15:dlblFieldTableCache>
                        <c:ptCount val="1"/>
                        <c:pt idx="0">
                          <c:v>23.180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039E-409F-8493-1FD64D4FEF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_ThinQQ!$C$111:$C$118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39E-409F-8493-1FD64D4FE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443000"/>
        <c:axId val="528441200"/>
      </c:lineChart>
      <c:catAx>
        <c:axId val="528443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28441200"/>
        <c:crosses val="autoZero"/>
        <c:auto val="0"/>
        <c:lblAlgn val="ctr"/>
        <c:lblOffset val="100"/>
        <c:noMultiLvlLbl val="0"/>
      </c:catAx>
      <c:valAx>
        <c:axId val="52844120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8443000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'E12'!$B$6</c:f>
              <c:strCache>
                <c:ptCount val="1"/>
                <c:pt idx="0">
                  <c:v>B2C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'E12'!$A$7:$A$18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'E12'!$B$7:$B$18</c:f>
              <c:numCache>
                <c:formatCode>#,##0</c:formatCode>
                <c:ptCount val="12"/>
                <c:pt idx="0">
                  <c:v>1171</c:v>
                </c:pt>
                <c:pt idx="1">
                  <c:v>1142</c:v>
                </c:pt>
                <c:pt idx="2">
                  <c:v>1080</c:v>
                </c:pt>
                <c:pt idx="3">
                  <c:v>1083</c:v>
                </c:pt>
                <c:pt idx="4">
                  <c:v>1105</c:v>
                </c:pt>
                <c:pt idx="5">
                  <c:v>1184</c:v>
                </c:pt>
                <c:pt idx="6">
                  <c:v>1278</c:v>
                </c:pt>
                <c:pt idx="7">
                  <c:v>1311</c:v>
                </c:pt>
                <c:pt idx="8">
                  <c:v>1369</c:v>
                </c:pt>
                <c:pt idx="9">
                  <c:v>1404</c:v>
                </c:pt>
                <c:pt idx="10">
                  <c:v>1420</c:v>
                </c:pt>
                <c:pt idx="11">
                  <c:v>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35-42D5-9DE8-7CC583246E44}"/>
            </c:ext>
          </c:extLst>
        </c:ser>
        <c:ser>
          <c:idx val="1"/>
          <c:order val="1"/>
          <c:tx>
            <c:strRef>
              <c:f>'E12'!$C$6</c:f>
              <c:strCache>
                <c:ptCount val="1"/>
                <c:pt idx="0">
                  <c:v>B2B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'E12'!$A$7:$A$18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'E12'!$C$7:$C$18</c:f>
              <c:numCache>
                <c:formatCode>#,##0</c:formatCode>
                <c:ptCount val="12"/>
                <c:pt idx="0">
                  <c:v>901</c:v>
                </c:pt>
                <c:pt idx="1">
                  <c:v>834</c:v>
                </c:pt>
                <c:pt idx="2">
                  <c:v>823</c:v>
                </c:pt>
                <c:pt idx="3">
                  <c:v>807</c:v>
                </c:pt>
                <c:pt idx="4">
                  <c:v>845</c:v>
                </c:pt>
                <c:pt idx="5">
                  <c:v>910</c:v>
                </c:pt>
                <c:pt idx="6">
                  <c:v>970</c:v>
                </c:pt>
                <c:pt idx="7">
                  <c:v>1021</c:v>
                </c:pt>
                <c:pt idx="8">
                  <c:v>1003</c:v>
                </c:pt>
                <c:pt idx="9">
                  <c:v>1040</c:v>
                </c:pt>
                <c:pt idx="10">
                  <c:v>1047</c:v>
                </c:pt>
                <c:pt idx="11">
                  <c:v>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35-42D5-9DE8-7CC583246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97392256"/>
        <c:axId val="397392616"/>
      </c:barChart>
      <c:lineChart>
        <c:grouping val="standard"/>
        <c:varyColors val="0"/>
        <c:ser>
          <c:idx val="3"/>
          <c:order val="3"/>
          <c:tx>
            <c:v>tqq_total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_ThinQQ!$B$122</c:f>
                  <c:strCache>
                    <c:ptCount val="1"/>
                    <c:pt idx="0">
                      <c:v>2.072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{935ED246-70BA-4E66-B2FC-4EA8D02C1B9C}</c15:txfldGUID>
                      <c15:f>_ThinQQ!$B$122</c15:f>
                      <c15:dlblFieldTableCache>
                        <c:ptCount val="1"/>
                        <c:pt idx="0">
                          <c:v>2.072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B435-42D5-9DE8-7CC583246E44}"/>
                </c:ext>
              </c:extLst>
            </c:dLbl>
            <c:dLbl>
              <c:idx val="1"/>
              <c:tx>
                <c:strRef>
                  <c:f>_ThinQQ!$B$123</c:f>
                  <c:strCache>
                    <c:ptCount val="1"/>
                    <c:pt idx="0">
                      <c:v>1.976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{410CDD48-4D42-4E04-8DE8-45CC8B9BFCB0}</c15:txfldGUID>
                      <c15:f>_ThinQQ!$B$123</c15:f>
                      <c15:dlblFieldTableCache>
                        <c:ptCount val="1"/>
                        <c:pt idx="0">
                          <c:v>1.976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B435-42D5-9DE8-7CC583246E44}"/>
                </c:ext>
              </c:extLst>
            </c:dLbl>
            <c:dLbl>
              <c:idx val="2"/>
              <c:tx>
                <c:strRef>
                  <c:f>_ThinQQ!$B$124</c:f>
                  <c:strCache>
                    <c:ptCount val="1"/>
                    <c:pt idx="0">
                      <c:v>1.903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{2D64509E-8177-498F-9A24-36B7BCC348D2}</c15:txfldGUID>
                      <c15:f>_ThinQQ!$B$124</c15:f>
                      <c15:dlblFieldTableCache>
                        <c:ptCount val="1"/>
                        <c:pt idx="0">
                          <c:v>1.903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B435-42D5-9DE8-7CC583246E44}"/>
                </c:ext>
              </c:extLst>
            </c:dLbl>
            <c:dLbl>
              <c:idx val="3"/>
              <c:tx>
                <c:strRef>
                  <c:f>_ThinQQ!$B$125</c:f>
                  <c:strCache>
                    <c:ptCount val="1"/>
                    <c:pt idx="0">
                      <c:v>1.890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{3CF70D59-4144-4046-8526-5DC05B070B23}</c15:txfldGUID>
                      <c15:f>_ThinQQ!$B$125</c15:f>
                      <c15:dlblFieldTableCache>
                        <c:ptCount val="1"/>
                        <c:pt idx="0">
                          <c:v>1.890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B435-42D5-9DE8-7CC583246E44}"/>
                </c:ext>
              </c:extLst>
            </c:dLbl>
            <c:dLbl>
              <c:idx val="4"/>
              <c:tx>
                <c:strRef>
                  <c:f>_ThinQQ!$B$126</c:f>
                  <c:strCache>
                    <c:ptCount val="1"/>
                    <c:pt idx="0">
                      <c:v>1.950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{D321619D-444C-4BC9-B30A-211FA7DA26B3}</c15:txfldGUID>
                      <c15:f>_ThinQQ!$B$126</c15:f>
                      <c15:dlblFieldTableCache>
                        <c:ptCount val="1"/>
                        <c:pt idx="0">
                          <c:v>1.950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B435-42D5-9DE8-7CC583246E44}"/>
                </c:ext>
              </c:extLst>
            </c:dLbl>
            <c:dLbl>
              <c:idx val="5"/>
              <c:tx>
                <c:strRef>
                  <c:f>_ThinQQ!$B$127</c:f>
                  <c:strCache>
                    <c:ptCount val="1"/>
                    <c:pt idx="0">
                      <c:v>2.094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{96B3DAB6-D260-4B58-B28B-40B06583B03C}</c15:txfldGUID>
                      <c15:f>_ThinQQ!$B$127</c15:f>
                      <c15:dlblFieldTableCache>
                        <c:ptCount val="1"/>
                        <c:pt idx="0">
                          <c:v>2.094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B435-42D5-9DE8-7CC583246E44}"/>
                </c:ext>
              </c:extLst>
            </c:dLbl>
            <c:dLbl>
              <c:idx val="6"/>
              <c:tx>
                <c:strRef>
                  <c:f>_ThinQQ!$B$128</c:f>
                  <c:strCache>
                    <c:ptCount val="1"/>
                    <c:pt idx="0">
                      <c:v>2.248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{59364860-5333-4432-BAD7-EBF5B12D20F2}</c15:txfldGUID>
                      <c15:f>_ThinQQ!$B$128</c15:f>
                      <c15:dlblFieldTableCache>
                        <c:ptCount val="1"/>
                        <c:pt idx="0">
                          <c:v>2.248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B435-42D5-9DE8-7CC583246E44}"/>
                </c:ext>
              </c:extLst>
            </c:dLbl>
            <c:dLbl>
              <c:idx val="7"/>
              <c:tx>
                <c:strRef>
                  <c:f>_ThinQQ!$B$129</c:f>
                  <c:strCache>
                    <c:ptCount val="1"/>
                    <c:pt idx="0">
                      <c:v>2.332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{9D798625-0D53-4C97-A269-60A4B81BA9B6}</c15:txfldGUID>
                      <c15:f>_ThinQQ!$B$129</c15:f>
                      <c15:dlblFieldTableCache>
                        <c:ptCount val="1"/>
                        <c:pt idx="0">
                          <c:v>2.332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B435-42D5-9DE8-7CC583246E44}"/>
                </c:ext>
              </c:extLst>
            </c:dLbl>
            <c:dLbl>
              <c:idx val="8"/>
              <c:tx>
                <c:strRef>
                  <c:f>_ThinQQ!$B$130</c:f>
                  <c:strCache>
                    <c:ptCount val="1"/>
                    <c:pt idx="0">
                      <c:v>2.372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{79E12C8C-C248-405A-835E-23E1D9725F05}</c15:txfldGUID>
                      <c15:f>_ThinQQ!$B$130</c15:f>
                      <c15:dlblFieldTableCache>
                        <c:ptCount val="1"/>
                        <c:pt idx="0">
                          <c:v>2.372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B435-42D5-9DE8-7CC583246E44}"/>
                </c:ext>
              </c:extLst>
            </c:dLbl>
            <c:dLbl>
              <c:idx val="9"/>
              <c:tx>
                <c:strRef>
                  <c:f>_ThinQQ!$B$131</c:f>
                  <c:strCache>
                    <c:ptCount val="1"/>
                    <c:pt idx="0">
                      <c:v>2.444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{0CFF3CDB-587D-4BB5-B794-97A43D584C2A}</c15:txfldGUID>
                      <c15:f>_ThinQQ!$B$131</c15:f>
                      <c15:dlblFieldTableCache>
                        <c:ptCount val="1"/>
                        <c:pt idx="0">
                          <c:v>2.444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B435-42D5-9DE8-7CC583246E44}"/>
                </c:ext>
              </c:extLst>
            </c:dLbl>
            <c:dLbl>
              <c:idx val="10"/>
              <c:tx>
                <c:strRef>
                  <c:f>_ThinQQ!$B$132</c:f>
                  <c:strCache>
                    <c:ptCount val="1"/>
                    <c:pt idx="0">
                      <c:v>2.467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{016E5377-B885-4083-B6BF-E6F82B7CEA8A}</c15:txfldGUID>
                      <c15:f>_ThinQQ!$B$132</c15:f>
                      <c15:dlblFieldTableCache>
                        <c:ptCount val="1"/>
                        <c:pt idx="0">
                          <c:v>2.467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B435-42D5-9DE8-7CC583246E44}"/>
                </c:ext>
              </c:extLst>
            </c:dLbl>
            <c:dLbl>
              <c:idx val="11"/>
              <c:tx>
                <c:strRef>
                  <c:f>_ThinQQ!$B$133</c:f>
                  <c:strCache>
                    <c:ptCount val="1"/>
                    <c:pt idx="0">
                      <c:v>2.450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{CBB49D60-CD15-4C1A-A6B0-C053E2CAA774}</c15:txfldGUID>
                      <c15:f>_ThinQQ!$B$133</c15:f>
                      <c15:dlblFieldTableCache>
                        <c:ptCount val="1"/>
                        <c:pt idx="0">
                          <c:v>2.450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B435-42D5-9DE8-7CC583246E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_ThinQQ!$C$122:$C$133</c:f>
              <c:numCache>
                <c:formatCode>General</c:formatCode>
                <c:ptCount val="12"/>
                <c:pt idx="0">
                  <c:v>2072</c:v>
                </c:pt>
                <c:pt idx="1">
                  <c:v>1976</c:v>
                </c:pt>
                <c:pt idx="2">
                  <c:v>1903</c:v>
                </c:pt>
                <c:pt idx="3">
                  <c:v>1890</c:v>
                </c:pt>
                <c:pt idx="4">
                  <c:v>1950</c:v>
                </c:pt>
                <c:pt idx="5">
                  <c:v>2094</c:v>
                </c:pt>
                <c:pt idx="6">
                  <c:v>2248</c:v>
                </c:pt>
                <c:pt idx="7">
                  <c:v>2332</c:v>
                </c:pt>
                <c:pt idx="8">
                  <c:v>2372</c:v>
                </c:pt>
                <c:pt idx="9">
                  <c:v>2444</c:v>
                </c:pt>
                <c:pt idx="10">
                  <c:v>2467</c:v>
                </c:pt>
                <c:pt idx="11">
                  <c:v>2450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35-42D5-9DE8-7CC583246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392256"/>
        <c:axId val="397392616"/>
      </c:lineChart>
      <c:lineChart>
        <c:grouping val="standard"/>
        <c:varyColors val="0"/>
        <c:ser>
          <c:idx val="2"/>
          <c:order val="2"/>
          <c:tx>
            <c:strRef>
              <c:f>'E12'!$D$6</c:f>
              <c:strCache>
                <c:ptCount val="1"/>
                <c:pt idx="0">
                  <c:v>Margem %</c:v>
                </c:pt>
              </c:strCache>
            </c:strRef>
          </c:tx>
          <c:spPr>
            <a:ln w="25400">
              <a:solidFill>
                <a:srgbClr val="9DC3E6"/>
              </a:solidFill>
            </a:ln>
          </c:spPr>
          <c:marker>
            <c:symbol val="circle"/>
            <c:size val="5"/>
            <c:spPr>
              <a:solidFill>
                <a:srgbClr val="9DC3E6"/>
              </a:solidFill>
              <a:ln w="25400">
                <a:solidFill>
                  <a:srgbClr val="9DC3E6"/>
                </a:solidFill>
              </a:ln>
            </c:spPr>
          </c:marker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'E12'!$A$7:$A$18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'E12'!$D$7:$D$18</c:f>
              <c:numCache>
                <c:formatCode>0.0%</c:formatCode>
                <c:ptCount val="12"/>
                <c:pt idx="0">
                  <c:v>0.315</c:v>
                </c:pt>
                <c:pt idx="1">
                  <c:v>0.309</c:v>
                </c:pt>
                <c:pt idx="2">
                  <c:v>0.313</c:v>
                </c:pt>
                <c:pt idx="3">
                  <c:v>0.315</c:v>
                </c:pt>
                <c:pt idx="4">
                  <c:v>0.309</c:v>
                </c:pt>
                <c:pt idx="5">
                  <c:v>0.312</c:v>
                </c:pt>
                <c:pt idx="6">
                  <c:v>0.312</c:v>
                </c:pt>
                <c:pt idx="7">
                  <c:v>0.308</c:v>
                </c:pt>
                <c:pt idx="8">
                  <c:v>0.317</c:v>
                </c:pt>
                <c:pt idx="9">
                  <c:v>0.315</c:v>
                </c:pt>
                <c:pt idx="10">
                  <c:v>0.314</c:v>
                </c:pt>
                <c:pt idx="11">
                  <c:v>0.311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35-42D5-9DE8-7CC583246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024640"/>
        <c:axId val="526027520"/>
      </c:lineChart>
      <c:catAx>
        <c:axId val="3973922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397392616"/>
        <c:crosses val="autoZero"/>
        <c:auto val="0"/>
        <c:lblAlgn val="ctr"/>
        <c:lblOffset val="100"/>
        <c:noMultiLvlLbl val="0"/>
      </c:catAx>
      <c:valAx>
        <c:axId val="397392616"/>
        <c:scaling>
          <c:orientation val="minMax"/>
          <c:max val="3393.8381134891392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397392256"/>
        <c:crosses val="autoZero"/>
        <c:crossBetween val="between"/>
      </c:valAx>
      <c:valAx>
        <c:axId val="526027520"/>
        <c:scaling>
          <c:orientation val="minMax"/>
          <c:max val="0.3339423908992864"/>
          <c:min val="0"/>
        </c:scaling>
        <c:delete val="0"/>
        <c:axPos val="r"/>
        <c:numFmt formatCode="0.0%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6024640"/>
        <c:crosses val="max"/>
        <c:crossBetween val="between"/>
      </c:valAx>
      <c:dateAx>
        <c:axId val="52602464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526027520"/>
        <c:auto val="1"/>
        <c:lblOffset val="100"/>
        <c:baseTimeUnit val="months"/>
      </c:date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10869565217391304"/>
          <c:y val="0.1"/>
          <c:w val="0.71867031838411521"/>
          <c:h val="0.83163076490438681"/>
        </c:manualLayout>
      </c:layout>
      <c:areaChart>
        <c:grouping val="stacked"/>
        <c:varyColors val="0"/>
        <c:ser>
          <c:idx val="0"/>
          <c:order val="0"/>
          <c:tx>
            <c:strRef>
              <c:f>'E13'!$B$6</c:f>
              <c:strCache>
                <c:ptCount val="1"/>
                <c:pt idx="0">
                  <c:v>Construção</c:v>
                </c:pt>
              </c:strCache>
            </c:strRef>
          </c:tx>
          <c:spPr>
            <a:solidFill>
              <a:srgbClr val="1F3864"/>
            </a:solidFill>
            <a:ln w="19050">
              <a:solidFill>
                <a:srgbClr val="FFFFFF"/>
              </a:solidFill>
            </a:ln>
          </c:spPr>
          <c:cat>
            <c:numRef>
              <c:f>_ThinQQ!$A$137:$A$161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164</c:v>
                </c:pt>
                <c:pt idx="3">
                  <c:v>327</c:v>
                </c:pt>
                <c:pt idx="4">
                  <c:v>327</c:v>
                </c:pt>
                <c:pt idx="5">
                  <c:v>327</c:v>
                </c:pt>
                <c:pt idx="6">
                  <c:v>327</c:v>
                </c:pt>
                <c:pt idx="7">
                  <c:v>461</c:v>
                </c:pt>
                <c:pt idx="8">
                  <c:v>596</c:v>
                </c:pt>
                <c:pt idx="9">
                  <c:v>596</c:v>
                </c:pt>
                <c:pt idx="10">
                  <c:v>596</c:v>
                </c:pt>
                <c:pt idx="11">
                  <c:v>596</c:v>
                </c:pt>
                <c:pt idx="12">
                  <c:v>694</c:v>
                </c:pt>
                <c:pt idx="13">
                  <c:v>792</c:v>
                </c:pt>
                <c:pt idx="14">
                  <c:v>792</c:v>
                </c:pt>
                <c:pt idx="15">
                  <c:v>792</c:v>
                </c:pt>
                <c:pt idx="16">
                  <c:v>792</c:v>
                </c:pt>
                <c:pt idx="17">
                  <c:v>860</c:v>
                </c:pt>
                <c:pt idx="18">
                  <c:v>928</c:v>
                </c:pt>
                <c:pt idx="19">
                  <c:v>928</c:v>
                </c:pt>
                <c:pt idx="20">
                  <c:v>928</c:v>
                </c:pt>
                <c:pt idx="21">
                  <c:v>928</c:v>
                </c:pt>
                <c:pt idx="22">
                  <c:v>965</c:v>
                </c:pt>
                <c:pt idx="23">
                  <c:v>1001</c:v>
                </c:pt>
                <c:pt idx="24">
                  <c:v>1001</c:v>
                </c:pt>
              </c:numCache>
            </c:numRef>
          </c:cat>
          <c:val>
            <c:numRef>
              <c:f>_ThinQQ!$E$137:$E$161</c:f>
              <c:numCache>
                <c:formatCode>General</c:formatCode>
                <c:ptCount val="25"/>
                <c:pt idx="0">
                  <c:v>0</c:v>
                </c:pt>
                <c:pt idx="1">
                  <c:v>0.38160136286201024</c:v>
                </c:pt>
                <c:pt idx="2">
                  <c:v>0.38160136286201024</c:v>
                </c:pt>
                <c:pt idx="3">
                  <c:v>0.38160136286201024</c:v>
                </c:pt>
                <c:pt idx="4">
                  <c:v>0</c:v>
                </c:pt>
                <c:pt idx="5">
                  <c:v>0</c:v>
                </c:pt>
                <c:pt idx="6">
                  <c:v>0.42122905027932961</c:v>
                </c:pt>
                <c:pt idx="7">
                  <c:v>0.42122905027932961</c:v>
                </c:pt>
                <c:pt idx="8">
                  <c:v>0.42122905027932961</c:v>
                </c:pt>
                <c:pt idx="9">
                  <c:v>0</c:v>
                </c:pt>
                <c:pt idx="10">
                  <c:v>0</c:v>
                </c:pt>
                <c:pt idx="11">
                  <c:v>0.51646365422396856</c:v>
                </c:pt>
                <c:pt idx="12">
                  <c:v>0.51646365422396856</c:v>
                </c:pt>
                <c:pt idx="13">
                  <c:v>0.51646365422396856</c:v>
                </c:pt>
                <c:pt idx="14">
                  <c:v>0</c:v>
                </c:pt>
                <c:pt idx="15">
                  <c:v>0</c:v>
                </c:pt>
                <c:pt idx="16">
                  <c:v>0.49733801540552786</c:v>
                </c:pt>
                <c:pt idx="17">
                  <c:v>0.49733801540552786</c:v>
                </c:pt>
                <c:pt idx="18">
                  <c:v>0.49733801540552786</c:v>
                </c:pt>
                <c:pt idx="19">
                  <c:v>0</c:v>
                </c:pt>
                <c:pt idx="20">
                  <c:v>0</c:v>
                </c:pt>
                <c:pt idx="21">
                  <c:v>0.56237413884472709</c:v>
                </c:pt>
                <c:pt idx="22">
                  <c:v>0.56237413884472709</c:v>
                </c:pt>
                <c:pt idx="23">
                  <c:v>0.56237413884472709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8F-469F-8987-7291E39EF665}"/>
            </c:ext>
          </c:extLst>
        </c:ser>
        <c:ser>
          <c:idx val="1"/>
          <c:order val="1"/>
          <c:tx>
            <c:strRef>
              <c:f>'E13'!$C$6</c:f>
              <c:strCache>
                <c:ptCount val="1"/>
                <c:pt idx="0">
                  <c:v>Acabamento</c:v>
                </c:pt>
              </c:strCache>
            </c:strRef>
          </c:tx>
          <c:spPr>
            <a:solidFill>
              <a:srgbClr val="4472C4"/>
            </a:solidFill>
            <a:ln w="19050">
              <a:solidFill>
                <a:srgbClr val="FFFFFF"/>
              </a:solidFill>
            </a:ln>
          </c:spPr>
          <c:cat>
            <c:numRef>
              <c:f>_ThinQQ!$A$137:$A$161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164</c:v>
                </c:pt>
                <c:pt idx="3">
                  <c:v>327</c:v>
                </c:pt>
                <c:pt idx="4">
                  <c:v>327</c:v>
                </c:pt>
                <c:pt idx="5">
                  <c:v>327</c:v>
                </c:pt>
                <c:pt idx="6">
                  <c:v>327</c:v>
                </c:pt>
                <c:pt idx="7">
                  <c:v>461</c:v>
                </c:pt>
                <c:pt idx="8">
                  <c:v>596</c:v>
                </c:pt>
                <c:pt idx="9">
                  <c:v>596</c:v>
                </c:pt>
                <c:pt idx="10">
                  <c:v>596</c:v>
                </c:pt>
                <c:pt idx="11">
                  <c:v>596</c:v>
                </c:pt>
                <c:pt idx="12">
                  <c:v>694</c:v>
                </c:pt>
                <c:pt idx="13">
                  <c:v>792</c:v>
                </c:pt>
                <c:pt idx="14">
                  <c:v>792</c:v>
                </c:pt>
                <c:pt idx="15">
                  <c:v>792</c:v>
                </c:pt>
                <c:pt idx="16">
                  <c:v>792</c:v>
                </c:pt>
                <c:pt idx="17">
                  <c:v>860</c:v>
                </c:pt>
                <c:pt idx="18">
                  <c:v>928</c:v>
                </c:pt>
                <c:pt idx="19">
                  <c:v>928</c:v>
                </c:pt>
                <c:pt idx="20">
                  <c:v>928</c:v>
                </c:pt>
                <c:pt idx="21">
                  <c:v>928</c:v>
                </c:pt>
                <c:pt idx="22">
                  <c:v>965</c:v>
                </c:pt>
                <c:pt idx="23">
                  <c:v>1001</c:v>
                </c:pt>
                <c:pt idx="24">
                  <c:v>1001</c:v>
                </c:pt>
              </c:numCache>
            </c:numRef>
          </c:cat>
          <c:val>
            <c:numRef>
              <c:f>_ThinQQ!$F$137:$F$161</c:f>
              <c:numCache>
                <c:formatCode>General</c:formatCode>
                <c:ptCount val="25"/>
                <c:pt idx="0">
                  <c:v>0</c:v>
                </c:pt>
                <c:pt idx="1">
                  <c:v>0.35907628241529432</c:v>
                </c:pt>
                <c:pt idx="2">
                  <c:v>0.35907628241529432</c:v>
                </c:pt>
                <c:pt idx="3">
                  <c:v>0.35907628241529432</c:v>
                </c:pt>
                <c:pt idx="4">
                  <c:v>0</c:v>
                </c:pt>
                <c:pt idx="5">
                  <c:v>0</c:v>
                </c:pt>
                <c:pt idx="6">
                  <c:v>0.3184644033806045</c:v>
                </c:pt>
                <c:pt idx="7">
                  <c:v>0.3184644033806045</c:v>
                </c:pt>
                <c:pt idx="8">
                  <c:v>0.3184644033806045</c:v>
                </c:pt>
                <c:pt idx="9">
                  <c:v>0</c:v>
                </c:pt>
                <c:pt idx="10">
                  <c:v>0</c:v>
                </c:pt>
                <c:pt idx="11">
                  <c:v>0.24711198428290765</c:v>
                </c:pt>
                <c:pt idx="12">
                  <c:v>0.24711198428290765</c:v>
                </c:pt>
                <c:pt idx="13">
                  <c:v>0.24711198428290765</c:v>
                </c:pt>
                <c:pt idx="14">
                  <c:v>0</c:v>
                </c:pt>
                <c:pt idx="15">
                  <c:v>0</c:v>
                </c:pt>
                <c:pt idx="16">
                  <c:v>0.27599682827367467</c:v>
                </c:pt>
                <c:pt idx="17">
                  <c:v>0.27599682827367467</c:v>
                </c:pt>
                <c:pt idx="18">
                  <c:v>0.27599682827367467</c:v>
                </c:pt>
                <c:pt idx="19">
                  <c:v>0</c:v>
                </c:pt>
                <c:pt idx="20">
                  <c:v>0</c:v>
                </c:pt>
                <c:pt idx="21">
                  <c:v>0.21388447270800212</c:v>
                </c:pt>
                <c:pt idx="22">
                  <c:v>0.21388447270800212</c:v>
                </c:pt>
                <c:pt idx="23">
                  <c:v>0.21388447270800212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8F-469F-8987-7291E39EF665}"/>
            </c:ext>
          </c:extLst>
        </c:ser>
        <c:ser>
          <c:idx val="2"/>
          <c:order val="2"/>
          <c:tx>
            <c:strRef>
              <c:f>'E13'!$D$6</c:f>
              <c:strCache>
                <c:ptCount val="1"/>
                <c:pt idx="0">
                  <c:v>Instalações</c:v>
                </c:pt>
              </c:strCache>
            </c:strRef>
          </c:tx>
          <c:spPr>
            <a:solidFill>
              <a:srgbClr val="9DC3E6"/>
            </a:solidFill>
            <a:ln w="19050">
              <a:solidFill>
                <a:srgbClr val="FFFFFF"/>
              </a:solidFill>
            </a:ln>
          </c:spPr>
          <c:cat>
            <c:numRef>
              <c:f>_ThinQQ!$A$137:$A$161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164</c:v>
                </c:pt>
                <c:pt idx="3">
                  <c:v>327</c:v>
                </c:pt>
                <c:pt idx="4">
                  <c:v>327</c:v>
                </c:pt>
                <c:pt idx="5">
                  <c:v>327</c:v>
                </c:pt>
                <c:pt idx="6">
                  <c:v>327</c:v>
                </c:pt>
                <c:pt idx="7">
                  <c:v>461</c:v>
                </c:pt>
                <c:pt idx="8">
                  <c:v>596</c:v>
                </c:pt>
                <c:pt idx="9">
                  <c:v>596</c:v>
                </c:pt>
                <c:pt idx="10">
                  <c:v>596</c:v>
                </c:pt>
                <c:pt idx="11">
                  <c:v>596</c:v>
                </c:pt>
                <c:pt idx="12">
                  <c:v>694</c:v>
                </c:pt>
                <c:pt idx="13">
                  <c:v>792</c:v>
                </c:pt>
                <c:pt idx="14">
                  <c:v>792</c:v>
                </c:pt>
                <c:pt idx="15">
                  <c:v>792</c:v>
                </c:pt>
                <c:pt idx="16">
                  <c:v>792</c:v>
                </c:pt>
                <c:pt idx="17">
                  <c:v>860</c:v>
                </c:pt>
                <c:pt idx="18">
                  <c:v>928</c:v>
                </c:pt>
                <c:pt idx="19">
                  <c:v>928</c:v>
                </c:pt>
                <c:pt idx="20">
                  <c:v>928</c:v>
                </c:pt>
                <c:pt idx="21">
                  <c:v>928</c:v>
                </c:pt>
                <c:pt idx="22">
                  <c:v>965</c:v>
                </c:pt>
                <c:pt idx="23">
                  <c:v>1001</c:v>
                </c:pt>
                <c:pt idx="24">
                  <c:v>1001</c:v>
                </c:pt>
              </c:numCache>
            </c:numRef>
          </c:cat>
          <c:val>
            <c:numRef>
              <c:f>_ThinQQ!$G$137:$G$161</c:f>
              <c:numCache>
                <c:formatCode>General</c:formatCode>
                <c:ptCount val="25"/>
                <c:pt idx="0">
                  <c:v>0</c:v>
                </c:pt>
                <c:pt idx="1">
                  <c:v>0.25932235472269544</c:v>
                </c:pt>
                <c:pt idx="2">
                  <c:v>0.25932235472269544</c:v>
                </c:pt>
                <c:pt idx="3">
                  <c:v>0.25932235472269544</c:v>
                </c:pt>
                <c:pt idx="4">
                  <c:v>0</c:v>
                </c:pt>
                <c:pt idx="5">
                  <c:v>0</c:v>
                </c:pt>
                <c:pt idx="6">
                  <c:v>0.26030654634006589</c:v>
                </c:pt>
                <c:pt idx="7">
                  <c:v>0.26030654634006589</c:v>
                </c:pt>
                <c:pt idx="8">
                  <c:v>0.26030654634006589</c:v>
                </c:pt>
                <c:pt idx="9">
                  <c:v>0</c:v>
                </c:pt>
                <c:pt idx="10">
                  <c:v>0</c:v>
                </c:pt>
                <c:pt idx="11">
                  <c:v>0.23642436149312376</c:v>
                </c:pt>
                <c:pt idx="12">
                  <c:v>0.23642436149312376</c:v>
                </c:pt>
                <c:pt idx="13">
                  <c:v>0.23642436149312376</c:v>
                </c:pt>
                <c:pt idx="14">
                  <c:v>0</c:v>
                </c:pt>
                <c:pt idx="15">
                  <c:v>0</c:v>
                </c:pt>
                <c:pt idx="16">
                  <c:v>0.22666515632079745</c:v>
                </c:pt>
                <c:pt idx="17">
                  <c:v>0.22666515632079745</c:v>
                </c:pt>
                <c:pt idx="18">
                  <c:v>0.22666515632079745</c:v>
                </c:pt>
                <c:pt idx="19">
                  <c:v>0</c:v>
                </c:pt>
                <c:pt idx="20">
                  <c:v>0</c:v>
                </c:pt>
                <c:pt idx="21">
                  <c:v>0.22374138844727079</c:v>
                </c:pt>
                <c:pt idx="22">
                  <c:v>0.22374138844727079</c:v>
                </c:pt>
                <c:pt idx="23">
                  <c:v>0.22374138844727079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8F-469F-8987-7291E39EF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597760"/>
        <c:axId val="528598120"/>
      </c:areaChart>
      <c:lineChart>
        <c:grouping val="standard"/>
        <c:varyColors val="0"/>
        <c:ser>
          <c:idx val="3"/>
          <c:order val="3"/>
          <c:tx>
            <c:v>tqq_lbl_1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2"/>
              <c:tx>
                <c:strRef>
                  <c:f>_ThinQQ!$K$139</c:f>
                  <c:strCache>
                    <c:ptCount val="1"/>
                    <c:pt idx="0">
                      <c:v>38%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{277EEF0C-B3BE-45DF-927C-71CF2C748A93}</c15:txfldGUID>
                      <c15:f>_ThinQQ!$K$139</c15:f>
                      <c15:dlblFieldTableCache>
                        <c:ptCount val="1"/>
                        <c:pt idx="0">
                          <c:v>38%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AD8F-469F-8987-7291E39EF665}"/>
                </c:ext>
              </c:extLst>
            </c:dLbl>
            <c:dLbl>
              <c:idx val="7"/>
              <c:tx>
                <c:strRef>
                  <c:f>_ThinQQ!$K$144</c:f>
                  <c:strCache>
                    <c:ptCount val="1"/>
                    <c:pt idx="0">
                      <c:v>42%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{9693D2F1-59A5-405B-AD85-4E6585625DE6}</c15:txfldGUID>
                      <c15:f>_ThinQQ!$K$144</c15:f>
                      <c15:dlblFieldTableCache>
                        <c:ptCount val="1"/>
                        <c:pt idx="0">
                          <c:v>42%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AD8F-469F-8987-7291E39EF665}"/>
                </c:ext>
              </c:extLst>
            </c:dLbl>
            <c:dLbl>
              <c:idx val="12"/>
              <c:tx>
                <c:strRef>
                  <c:f>_ThinQQ!$K$149</c:f>
                  <c:strCache>
                    <c:ptCount val="1"/>
                    <c:pt idx="0">
                      <c:v>52%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{85DB38BC-AE9F-4F64-9C6A-FC02A7808DFC}</c15:txfldGUID>
                      <c15:f>_ThinQQ!$K$149</c15:f>
                      <c15:dlblFieldTableCache>
                        <c:ptCount val="1"/>
                        <c:pt idx="0">
                          <c:v>52%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AD8F-469F-8987-7291E39EF665}"/>
                </c:ext>
              </c:extLst>
            </c:dLbl>
            <c:dLbl>
              <c:idx val="17"/>
              <c:tx>
                <c:strRef>
                  <c:f>_ThinQQ!$K$154</c:f>
                  <c:strCache>
                    <c:ptCount val="1"/>
                    <c:pt idx="0">
                      <c:v>50%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{A8E98DA7-113B-4370-A222-3D2D0853EBFF}</c15:txfldGUID>
                      <c15:f>_ThinQQ!$K$154</c15:f>
                      <c15:dlblFieldTableCache>
                        <c:ptCount val="1"/>
                        <c:pt idx="0">
                          <c:v>50%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AD8F-469F-8987-7291E39EF665}"/>
                </c:ext>
              </c:extLst>
            </c:dLbl>
            <c:dLbl>
              <c:idx val="22"/>
              <c:tx>
                <c:strRef>
                  <c:f>_ThinQQ!$K$159</c:f>
                  <c:strCache>
                    <c:ptCount val="1"/>
                    <c:pt idx="0">
                      <c:v>56%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{EE5A635B-BC18-401D-93C9-12526BD656EC}</c15:txfldGUID>
                      <c15:f>_ThinQQ!$K$159</c15:f>
                      <c15:dlblFieldTableCache>
                        <c:ptCount val="1"/>
                        <c:pt idx="0">
                          <c:v>56%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AD8F-469F-8987-7291E39EF66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_ThinQQ!$H$137:$H$161</c:f>
              <c:numCache>
                <c:formatCode>General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0.19080068143100512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0.2106145251396648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0.25823182711198428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0.24866900770276393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0.28118706942236354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8F-469F-8987-7291E39EF665}"/>
            </c:ext>
          </c:extLst>
        </c:ser>
        <c:ser>
          <c:idx val="4"/>
          <c:order val="4"/>
          <c:tx>
            <c:v>tqq_lbl_2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2"/>
              <c:tx>
                <c:strRef>
                  <c:f>_ThinQQ!$L$139</c:f>
                  <c:strCache>
                    <c:ptCount val="1"/>
                    <c:pt idx="0">
                      <c:v>36%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{260521CA-2C91-48BB-BD69-35506DD9A3C0}</c15:txfldGUID>
                      <c15:f>_ThinQQ!$L$139</c15:f>
                      <c15:dlblFieldTableCache>
                        <c:ptCount val="1"/>
                        <c:pt idx="0">
                          <c:v>36%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AD8F-469F-8987-7291E39EF665}"/>
                </c:ext>
              </c:extLst>
            </c:dLbl>
            <c:dLbl>
              <c:idx val="7"/>
              <c:tx>
                <c:strRef>
                  <c:f>_ThinQQ!$L$144</c:f>
                  <c:strCache>
                    <c:ptCount val="1"/>
                    <c:pt idx="0">
                      <c:v>32%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{0D6C2818-747C-4F41-AE5B-741938190F9A}</c15:txfldGUID>
                      <c15:f>_ThinQQ!$L$144</c15:f>
                      <c15:dlblFieldTableCache>
                        <c:ptCount val="1"/>
                        <c:pt idx="0">
                          <c:v>32%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AD8F-469F-8987-7291E39EF665}"/>
                </c:ext>
              </c:extLst>
            </c:dLbl>
            <c:dLbl>
              <c:idx val="12"/>
              <c:tx>
                <c:strRef>
                  <c:f>_ThinQQ!$L$149</c:f>
                  <c:strCache>
                    <c:ptCount val="1"/>
                    <c:pt idx="0">
                      <c:v>25%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{675B393A-FCA7-433E-8478-DA3791E911C9}</c15:txfldGUID>
                      <c15:f>_ThinQQ!$L$149</c15:f>
                      <c15:dlblFieldTableCache>
                        <c:ptCount val="1"/>
                        <c:pt idx="0">
                          <c:v>25%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AD8F-469F-8987-7291E39EF665}"/>
                </c:ext>
              </c:extLst>
            </c:dLbl>
            <c:dLbl>
              <c:idx val="17"/>
              <c:tx>
                <c:strRef>
                  <c:f>_ThinQQ!$L$154</c:f>
                  <c:strCache>
                    <c:ptCount val="1"/>
                    <c:pt idx="0">
                      <c:v>28%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{B6680E86-F9EA-4601-BA60-BBDE2274727A}</c15:txfldGUID>
                      <c15:f>_ThinQQ!$L$154</c15:f>
                      <c15:dlblFieldTableCache>
                        <c:ptCount val="1"/>
                        <c:pt idx="0">
                          <c:v>28%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AD8F-469F-8987-7291E39EF665}"/>
                </c:ext>
              </c:extLst>
            </c:dLbl>
            <c:dLbl>
              <c:idx val="22"/>
              <c:tx>
                <c:strRef>
                  <c:f>_ThinQQ!$L$159</c:f>
                  <c:strCache>
                    <c:ptCount val="1"/>
                    <c:pt idx="0">
                      <c:v>21%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{A9BDE25B-7332-44CF-ACC5-7B5CFEDFB45E}</c15:txfldGUID>
                      <c15:f>_ThinQQ!$L$159</c15:f>
                      <c15:dlblFieldTableCache>
                        <c:ptCount val="1"/>
                        <c:pt idx="0">
                          <c:v>21%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AD8F-469F-8987-7291E39EF66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_ThinQQ!$I$137:$I$161</c:f>
              <c:numCache>
                <c:formatCode>General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0.5611395040696574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0.58046125196963183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0.6400196463654223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0.63533642954236513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0.66931637519872822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D8F-469F-8987-7291E39EF665}"/>
            </c:ext>
          </c:extLst>
        </c:ser>
        <c:ser>
          <c:idx val="5"/>
          <c:order val="5"/>
          <c:tx>
            <c:v>tqq_lbl_3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70AD47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2"/>
              <c:tx>
                <c:strRef>
                  <c:f>_ThinQQ!$M$139</c:f>
                  <c:strCache>
                    <c:ptCount val="1"/>
                    <c:pt idx="0">
                      <c:v>26%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{DA5F2318-0536-4FF4-B525-22E79D7DBA75}</c15:txfldGUID>
                      <c15:f>_ThinQQ!$M$139</c15:f>
                      <c15:dlblFieldTableCache>
                        <c:ptCount val="1"/>
                        <c:pt idx="0">
                          <c:v>26%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AD8F-469F-8987-7291E39EF665}"/>
                </c:ext>
              </c:extLst>
            </c:dLbl>
            <c:dLbl>
              <c:idx val="7"/>
              <c:tx>
                <c:strRef>
                  <c:f>_ThinQQ!$M$144</c:f>
                  <c:strCache>
                    <c:ptCount val="1"/>
                    <c:pt idx="0">
                      <c:v>26%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{1B754C55-149D-4B67-BB96-06EA8F65839C}</c15:txfldGUID>
                      <c15:f>_ThinQQ!$M$144</c15:f>
                      <c15:dlblFieldTableCache>
                        <c:ptCount val="1"/>
                        <c:pt idx="0">
                          <c:v>26%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AD8F-469F-8987-7291E39EF665}"/>
                </c:ext>
              </c:extLst>
            </c:dLbl>
            <c:dLbl>
              <c:idx val="12"/>
              <c:tx>
                <c:strRef>
                  <c:f>_ThinQQ!$M$149</c:f>
                  <c:strCache>
                    <c:ptCount val="1"/>
                    <c:pt idx="0">
                      <c:v>24%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{28FA3466-458A-46C5-96A7-D9CB0414CFED}</c15:txfldGUID>
                      <c15:f>_ThinQQ!$M$149</c15:f>
                      <c15:dlblFieldTableCache>
                        <c:ptCount val="1"/>
                        <c:pt idx="0">
                          <c:v>24%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AD8F-469F-8987-7291E39EF665}"/>
                </c:ext>
              </c:extLst>
            </c:dLbl>
            <c:dLbl>
              <c:idx val="17"/>
              <c:tx>
                <c:strRef>
                  <c:f>_ThinQQ!$M$154</c:f>
                  <c:strCache>
                    <c:ptCount val="1"/>
                    <c:pt idx="0">
                      <c:v>23%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{D4877BB1-DF14-4EF0-816D-EC41F80702F1}</c15:txfldGUID>
                      <c15:f>_ThinQQ!$M$154</c15:f>
                      <c15:dlblFieldTableCache>
                        <c:ptCount val="1"/>
                        <c:pt idx="0">
                          <c:v>23%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AD8F-469F-8987-7291E39EF665}"/>
                </c:ext>
              </c:extLst>
            </c:dLbl>
            <c:dLbl>
              <c:idx val="22"/>
              <c:tx>
                <c:strRef>
                  <c:f>_ThinQQ!$M$159</c:f>
                  <c:strCache>
                    <c:ptCount val="1"/>
                    <c:pt idx="0">
                      <c:v>22%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{20CDEDA9-3EAB-40C5-9A6A-B758CAD004B2}</c15:txfldGUID>
                      <c15:f>_ThinQQ!$M$159</c15:f>
                      <c15:dlblFieldTableCache>
                        <c:ptCount val="1"/>
                        <c:pt idx="0">
                          <c:v>22%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AD8F-469F-8987-7291E39EF66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_ThinQQ!$J$137:$J$161</c:f>
              <c:numCache>
                <c:formatCode>General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0.87033882263865225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0.869846726829967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0.88178781925343797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0.88666742183960112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0.88812930577636462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D8F-469F-8987-7291E39EF665}"/>
            </c:ext>
          </c:extLst>
        </c:ser>
        <c:ser>
          <c:idx val="6"/>
          <c:order val="6"/>
          <c:tx>
            <c:v>tqq_total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4472C4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2"/>
              <c:tx>
                <c:strRef>
                  <c:f>_ThinQQ!$O$139</c:f>
                  <c:strCache>
                    <c:ptCount val="1"/>
                    <c:pt idx="0">
                      <c:v>33%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{6F997BC7-0966-4E97-ABCB-5188387299DD}</c15:txfldGUID>
                      <c15:f>_ThinQQ!$O$139</c15:f>
                      <c15:dlblFieldTableCache>
                        <c:ptCount val="1"/>
                        <c:pt idx="0">
                          <c:v>33%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AD8F-469F-8987-7291E39EF665}"/>
                </c:ext>
              </c:extLst>
            </c:dLbl>
            <c:dLbl>
              <c:idx val="7"/>
              <c:tx>
                <c:strRef>
                  <c:f>_ThinQQ!$O$144</c:f>
                  <c:strCache>
                    <c:ptCount val="1"/>
                    <c:pt idx="0">
                      <c:v>27%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{1A6A14E0-1DAA-47D4-9E81-D7AF576BF8C2}</c15:txfldGUID>
                      <c15:f>_ThinQQ!$O$144</c15:f>
                      <c15:dlblFieldTableCache>
                        <c:ptCount val="1"/>
                        <c:pt idx="0">
                          <c:v>27%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AD8F-469F-8987-7291E39EF665}"/>
                </c:ext>
              </c:extLst>
            </c:dLbl>
            <c:dLbl>
              <c:idx val="12"/>
              <c:tx>
                <c:strRef>
                  <c:f>_ThinQQ!$O$149</c:f>
                  <c:strCache>
                    <c:ptCount val="1"/>
                    <c:pt idx="0">
                      <c:v>20%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{DE24DBC9-F1AB-4A75-BFF9-14F841ABF7C3}</c15:txfldGUID>
                      <c15:f>_ThinQQ!$O$149</c15:f>
                      <c15:dlblFieldTableCache>
                        <c:ptCount val="1"/>
                        <c:pt idx="0">
                          <c:v>20%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AD8F-469F-8987-7291E39EF665}"/>
                </c:ext>
              </c:extLst>
            </c:dLbl>
            <c:dLbl>
              <c:idx val="17"/>
              <c:tx>
                <c:strRef>
                  <c:f>_ThinQQ!$O$154</c:f>
                  <c:strCache>
                    <c:ptCount val="1"/>
                    <c:pt idx="0">
                      <c:v>14%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{0F87C005-4341-45D7-9A06-339AB1160382}</c15:txfldGUID>
                      <c15:f>_ThinQQ!$O$154</c15:f>
                      <c15:dlblFieldTableCache>
                        <c:ptCount val="1"/>
                        <c:pt idx="0">
                          <c:v>14%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AD8F-469F-8987-7291E39EF665}"/>
                </c:ext>
              </c:extLst>
            </c:dLbl>
            <c:dLbl>
              <c:idx val="22"/>
              <c:tx>
                <c:strRef>
                  <c:f>_ThinQQ!$O$159</c:f>
                  <c:strCache>
                    <c:ptCount val="1"/>
                    <c:pt idx="0">
                      <c:v>7%</c:v>
                    </c:pt>
                  </c:strCache>
                </c:strRef>
              </c:tx>
              <c:numFmt formatCode="0%;\-0%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{2CE598A9-9EAB-45CC-BF7E-ACB770625948}</c15:txfldGUID>
                      <c15:f>_ThinQQ!$O$159</c15:f>
                      <c15:dlblFieldTableCache>
                        <c:ptCount val="1"/>
                        <c:pt idx="0">
                          <c:v>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AD8F-469F-8987-7291E39EF66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_ThinQQ!$N$137:$N$161</c:f>
              <c:numCache>
                <c:formatCode>General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1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1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D8F-469F-8987-7291E39EF665}"/>
            </c:ext>
          </c:extLst>
        </c:ser>
        <c:ser>
          <c:idx val="7"/>
          <c:order val="7"/>
          <c:tx>
            <c:v>tqq_cat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ED7D31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2"/>
              <c:tx>
                <c:strRef>
                  <c:f>_ThinQQ!$B$139</c:f>
                  <c:strCache>
                    <c:ptCount val="1"/>
                    <c:pt idx="0">
                      <c:v>Sudeste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{96B15B0C-CB52-4BDF-8A26-EE5DCF1A3178}</c15:txfldGUID>
                      <c15:f>_ThinQQ!$B$139</c15:f>
                      <c15:dlblFieldTableCache>
                        <c:ptCount val="1"/>
                        <c:pt idx="0">
                          <c:v>Sudeste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AD8F-469F-8987-7291E39EF665}"/>
                </c:ext>
              </c:extLst>
            </c:dLbl>
            <c:dLbl>
              <c:idx val="7"/>
              <c:tx>
                <c:strRef>
                  <c:f>_ThinQQ!$B$144</c:f>
                  <c:strCache>
                    <c:ptCount val="1"/>
                    <c:pt idx="0">
                      <c:v>Sul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{D3E12A2C-FD3B-449F-B47A-B9379AB6DD38}</c15:txfldGUID>
                      <c15:f>_ThinQQ!$B$144</c15:f>
                      <c15:dlblFieldTableCache>
                        <c:ptCount val="1"/>
                        <c:pt idx="0">
                          <c:v>Sul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AD8F-469F-8987-7291E39EF665}"/>
                </c:ext>
              </c:extLst>
            </c:dLbl>
            <c:dLbl>
              <c:idx val="12"/>
              <c:tx>
                <c:strRef>
                  <c:f>_ThinQQ!$B$149</c:f>
                  <c:strCache>
                    <c:ptCount val="1"/>
                    <c:pt idx="0">
                      <c:v>Nordeste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{3EEF5405-120B-4941-952C-7CE0C3CF24E8}</c15:txfldGUID>
                      <c15:f>_ThinQQ!$B$149</c15:f>
                      <c15:dlblFieldTableCache>
                        <c:ptCount val="1"/>
                        <c:pt idx="0">
                          <c:v>Nordeste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AD8F-469F-8987-7291E39EF665}"/>
                </c:ext>
              </c:extLst>
            </c:dLbl>
            <c:dLbl>
              <c:idx val="17"/>
              <c:tx>
                <c:strRef>
                  <c:f>_ThinQQ!$B$154</c:f>
                  <c:strCache>
                    <c:ptCount val="1"/>
                    <c:pt idx="0">
                      <c:v>Centro-Oeste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{D6D1AC51-68B4-4343-BCCB-FB245BF25782}</c15:txfldGUID>
                      <c15:f>_ThinQQ!$B$154</c15:f>
                      <c15:dlblFieldTableCache>
                        <c:ptCount val="1"/>
                        <c:pt idx="0">
                          <c:v>Centro-Oeste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AD8F-469F-8987-7291E39EF665}"/>
                </c:ext>
              </c:extLst>
            </c:dLbl>
            <c:dLbl>
              <c:idx val="22"/>
              <c:tx>
                <c:strRef>
                  <c:f>_ThinQQ!$B$159</c:f>
                  <c:strCache>
                    <c:ptCount val="1"/>
                    <c:pt idx="0">
                      <c:v>Norte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{504E6180-9A92-4169-ABC6-5DB44D42D372}</c15:txfldGUID>
                      <c15:f>_ThinQQ!$B$159</c15:f>
                      <c15:dlblFieldTableCache>
                        <c:ptCount val="1"/>
                        <c:pt idx="0">
                          <c:v>Norte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AD8F-469F-8987-7291E39EF66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_ThinQQ!$P$137:$P$161</c:f>
              <c:numCache>
                <c:formatCode>General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0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0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D8F-469F-8987-7291E39EF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597760"/>
        <c:axId val="528598120"/>
      </c:lineChart>
      <c:dateAx>
        <c:axId val="528597760"/>
        <c:scaling>
          <c:orientation val="minMax"/>
          <c:max val="1001"/>
          <c:min val="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28598120"/>
        <c:crosses val="autoZero"/>
        <c:auto val="0"/>
        <c:lblOffset val="100"/>
        <c:baseTimeUnit val="days"/>
        <c:majorUnit val="1000"/>
      </c:dateAx>
      <c:valAx>
        <c:axId val="528598120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8597760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391304347826087E-2"/>
          <c:y val="0.1"/>
          <c:w val="0.80345292707976723"/>
          <c:h val="0.83163076490438681"/>
        </c:manualLayout>
      </c:layout>
      <c:areaChart>
        <c:grouping val="stacked"/>
        <c:varyColors val="0"/>
        <c:ser>
          <c:idx val="0"/>
          <c:order val="0"/>
          <c:tx>
            <c:strRef>
              <c:f>'E14'!$C$6</c:f>
              <c:strCache>
                <c:ptCount val="1"/>
                <c:pt idx="0">
                  <c:v>Construção</c:v>
                </c:pt>
              </c:strCache>
            </c:strRef>
          </c:tx>
          <c:spPr>
            <a:solidFill>
              <a:srgbClr val="1F3864"/>
            </a:solidFill>
            <a:ln w="19050">
              <a:solidFill>
                <a:srgbClr val="FFFFFF"/>
              </a:solidFill>
            </a:ln>
          </c:spPr>
          <c:cat>
            <c:numRef>
              <c:f>_ThinQQ!$A$165:$A$189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126</c:v>
                </c:pt>
                <c:pt idx="3">
                  <c:v>251</c:v>
                </c:pt>
                <c:pt idx="4">
                  <c:v>251</c:v>
                </c:pt>
                <c:pt idx="5">
                  <c:v>251</c:v>
                </c:pt>
                <c:pt idx="6">
                  <c:v>251</c:v>
                </c:pt>
                <c:pt idx="7">
                  <c:v>376</c:v>
                </c:pt>
                <c:pt idx="8">
                  <c:v>501</c:v>
                </c:pt>
                <c:pt idx="9">
                  <c:v>501</c:v>
                </c:pt>
                <c:pt idx="10">
                  <c:v>501</c:v>
                </c:pt>
                <c:pt idx="11">
                  <c:v>501</c:v>
                </c:pt>
                <c:pt idx="12">
                  <c:v>626</c:v>
                </c:pt>
                <c:pt idx="13">
                  <c:v>751</c:v>
                </c:pt>
                <c:pt idx="14">
                  <c:v>751</c:v>
                </c:pt>
                <c:pt idx="15">
                  <c:v>751</c:v>
                </c:pt>
                <c:pt idx="16">
                  <c:v>751</c:v>
                </c:pt>
                <c:pt idx="17">
                  <c:v>814</c:v>
                </c:pt>
                <c:pt idx="18">
                  <c:v>876</c:v>
                </c:pt>
                <c:pt idx="19">
                  <c:v>876</c:v>
                </c:pt>
                <c:pt idx="20">
                  <c:v>876</c:v>
                </c:pt>
                <c:pt idx="21">
                  <c:v>876</c:v>
                </c:pt>
                <c:pt idx="22">
                  <c:v>939</c:v>
                </c:pt>
                <c:pt idx="23">
                  <c:v>1001</c:v>
                </c:pt>
                <c:pt idx="24">
                  <c:v>1001</c:v>
                </c:pt>
              </c:numCache>
            </c:numRef>
          </c:cat>
          <c:val>
            <c:numRef>
              <c:f>_ThinQQ!$E$165:$E$189</c:f>
              <c:numCache>
                <c:formatCode>General</c:formatCode>
                <c:ptCount val="25"/>
                <c:pt idx="0">
                  <c:v>0</c:v>
                </c:pt>
                <c:pt idx="1">
                  <c:v>8064</c:v>
                </c:pt>
                <c:pt idx="2">
                  <c:v>8064</c:v>
                </c:pt>
                <c:pt idx="3">
                  <c:v>8064</c:v>
                </c:pt>
                <c:pt idx="4">
                  <c:v>0</c:v>
                </c:pt>
                <c:pt idx="5">
                  <c:v>0</c:v>
                </c:pt>
                <c:pt idx="6">
                  <c:v>7352</c:v>
                </c:pt>
                <c:pt idx="7">
                  <c:v>7352</c:v>
                </c:pt>
                <c:pt idx="8">
                  <c:v>7352</c:v>
                </c:pt>
                <c:pt idx="9">
                  <c:v>0</c:v>
                </c:pt>
                <c:pt idx="10">
                  <c:v>0</c:v>
                </c:pt>
                <c:pt idx="11">
                  <c:v>6572</c:v>
                </c:pt>
                <c:pt idx="12">
                  <c:v>6572</c:v>
                </c:pt>
                <c:pt idx="13">
                  <c:v>6572</c:v>
                </c:pt>
                <c:pt idx="14">
                  <c:v>0</c:v>
                </c:pt>
                <c:pt idx="15">
                  <c:v>0</c:v>
                </c:pt>
                <c:pt idx="16">
                  <c:v>8781</c:v>
                </c:pt>
                <c:pt idx="17">
                  <c:v>8781</c:v>
                </c:pt>
                <c:pt idx="18">
                  <c:v>8781</c:v>
                </c:pt>
                <c:pt idx="19">
                  <c:v>0</c:v>
                </c:pt>
                <c:pt idx="20">
                  <c:v>0</c:v>
                </c:pt>
                <c:pt idx="21">
                  <c:v>5306</c:v>
                </c:pt>
                <c:pt idx="22">
                  <c:v>5306</c:v>
                </c:pt>
                <c:pt idx="23">
                  <c:v>5306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79-46B8-93A0-CBA0E2B076CC}"/>
            </c:ext>
          </c:extLst>
        </c:ser>
        <c:ser>
          <c:idx val="1"/>
          <c:order val="1"/>
          <c:tx>
            <c:strRef>
              <c:f>'E14'!$D$6</c:f>
              <c:strCache>
                <c:ptCount val="1"/>
                <c:pt idx="0">
                  <c:v>Acabamento</c:v>
                </c:pt>
              </c:strCache>
            </c:strRef>
          </c:tx>
          <c:spPr>
            <a:solidFill>
              <a:srgbClr val="4472C4"/>
            </a:solidFill>
            <a:ln w="19050">
              <a:solidFill>
                <a:srgbClr val="FFFFFF"/>
              </a:solidFill>
            </a:ln>
          </c:spPr>
          <c:cat>
            <c:numRef>
              <c:f>_ThinQQ!$A$165:$A$189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126</c:v>
                </c:pt>
                <c:pt idx="3">
                  <c:v>251</c:v>
                </c:pt>
                <c:pt idx="4">
                  <c:v>251</c:v>
                </c:pt>
                <c:pt idx="5">
                  <c:v>251</c:v>
                </c:pt>
                <c:pt idx="6">
                  <c:v>251</c:v>
                </c:pt>
                <c:pt idx="7">
                  <c:v>376</c:v>
                </c:pt>
                <c:pt idx="8">
                  <c:v>501</c:v>
                </c:pt>
                <c:pt idx="9">
                  <c:v>501</c:v>
                </c:pt>
                <c:pt idx="10">
                  <c:v>501</c:v>
                </c:pt>
                <c:pt idx="11">
                  <c:v>501</c:v>
                </c:pt>
                <c:pt idx="12">
                  <c:v>626</c:v>
                </c:pt>
                <c:pt idx="13">
                  <c:v>751</c:v>
                </c:pt>
                <c:pt idx="14">
                  <c:v>751</c:v>
                </c:pt>
                <c:pt idx="15">
                  <c:v>751</c:v>
                </c:pt>
                <c:pt idx="16">
                  <c:v>751</c:v>
                </c:pt>
                <c:pt idx="17">
                  <c:v>814</c:v>
                </c:pt>
                <c:pt idx="18">
                  <c:v>876</c:v>
                </c:pt>
                <c:pt idx="19">
                  <c:v>876</c:v>
                </c:pt>
                <c:pt idx="20">
                  <c:v>876</c:v>
                </c:pt>
                <c:pt idx="21">
                  <c:v>876</c:v>
                </c:pt>
                <c:pt idx="22">
                  <c:v>939</c:v>
                </c:pt>
                <c:pt idx="23">
                  <c:v>1001</c:v>
                </c:pt>
                <c:pt idx="24">
                  <c:v>1001</c:v>
                </c:pt>
              </c:numCache>
            </c:numRef>
          </c:cat>
          <c:val>
            <c:numRef>
              <c:f>_ThinQQ!$F$165:$F$189</c:f>
              <c:numCache>
                <c:formatCode>General</c:formatCode>
                <c:ptCount val="25"/>
                <c:pt idx="0">
                  <c:v>0</c:v>
                </c:pt>
                <c:pt idx="1">
                  <c:v>7588</c:v>
                </c:pt>
                <c:pt idx="2">
                  <c:v>7588</c:v>
                </c:pt>
                <c:pt idx="3">
                  <c:v>7588</c:v>
                </c:pt>
                <c:pt idx="4">
                  <c:v>0</c:v>
                </c:pt>
                <c:pt idx="5">
                  <c:v>0</c:v>
                </c:pt>
                <c:pt idx="6">
                  <c:v>5558</c:v>
                </c:pt>
                <c:pt idx="7">
                  <c:v>5558</c:v>
                </c:pt>
                <c:pt idx="8">
                  <c:v>5558</c:v>
                </c:pt>
                <c:pt idx="9">
                  <c:v>0</c:v>
                </c:pt>
                <c:pt idx="10">
                  <c:v>0</c:v>
                </c:pt>
                <c:pt idx="11">
                  <c:v>3145</c:v>
                </c:pt>
                <c:pt idx="12">
                  <c:v>3145</c:v>
                </c:pt>
                <c:pt idx="13">
                  <c:v>3145</c:v>
                </c:pt>
                <c:pt idx="14">
                  <c:v>0</c:v>
                </c:pt>
                <c:pt idx="15">
                  <c:v>0</c:v>
                </c:pt>
                <c:pt idx="16">
                  <c:v>4873</c:v>
                </c:pt>
                <c:pt idx="17">
                  <c:v>4873</c:v>
                </c:pt>
                <c:pt idx="18">
                  <c:v>4873</c:v>
                </c:pt>
                <c:pt idx="19">
                  <c:v>0</c:v>
                </c:pt>
                <c:pt idx="20">
                  <c:v>0</c:v>
                </c:pt>
                <c:pt idx="21">
                  <c:v>2018</c:v>
                </c:pt>
                <c:pt idx="22">
                  <c:v>2018</c:v>
                </c:pt>
                <c:pt idx="23">
                  <c:v>2018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79-46B8-93A0-CBA0E2B076CC}"/>
            </c:ext>
          </c:extLst>
        </c:ser>
        <c:ser>
          <c:idx val="2"/>
          <c:order val="2"/>
          <c:tx>
            <c:strRef>
              <c:f>'E14'!$E$6</c:f>
              <c:strCache>
                <c:ptCount val="1"/>
                <c:pt idx="0">
                  <c:v>Instalações</c:v>
                </c:pt>
              </c:strCache>
            </c:strRef>
          </c:tx>
          <c:spPr>
            <a:solidFill>
              <a:srgbClr val="9DC3E6"/>
            </a:solidFill>
            <a:ln w="19050">
              <a:solidFill>
                <a:srgbClr val="FFFFFF"/>
              </a:solidFill>
            </a:ln>
          </c:spPr>
          <c:cat>
            <c:numRef>
              <c:f>_ThinQQ!$A$165:$A$189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126</c:v>
                </c:pt>
                <c:pt idx="3">
                  <c:v>251</c:v>
                </c:pt>
                <c:pt idx="4">
                  <c:v>251</c:v>
                </c:pt>
                <c:pt idx="5">
                  <c:v>251</c:v>
                </c:pt>
                <c:pt idx="6">
                  <c:v>251</c:v>
                </c:pt>
                <c:pt idx="7">
                  <c:v>376</c:v>
                </c:pt>
                <c:pt idx="8">
                  <c:v>501</c:v>
                </c:pt>
                <c:pt idx="9">
                  <c:v>501</c:v>
                </c:pt>
                <c:pt idx="10">
                  <c:v>501</c:v>
                </c:pt>
                <c:pt idx="11">
                  <c:v>501</c:v>
                </c:pt>
                <c:pt idx="12">
                  <c:v>626</c:v>
                </c:pt>
                <c:pt idx="13">
                  <c:v>751</c:v>
                </c:pt>
                <c:pt idx="14">
                  <c:v>751</c:v>
                </c:pt>
                <c:pt idx="15">
                  <c:v>751</c:v>
                </c:pt>
                <c:pt idx="16">
                  <c:v>751</c:v>
                </c:pt>
                <c:pt idx="17">
                  <c:v>814</c:v>
                </c:pt>
                <c:pt idx="18">
                  <c:v>876</c:v>
                </c:pt>
                <c:pt idx="19">
                  <c:v>876</c:v>
                </c:pt>
                <c:pt idx="20">
                  <c:v>876</c:v>
                </c:pt>
                <c:pt idx="21">
                  <c:v>876</c:v>
                </c:pt>
                <c:pt idx="22">
                  <c:v>939</c:v>
                </c:pt>
                <c:pt idx="23">
                  <c:v>1001</c:v>
                </c:pt>
                <c:pt idx="24">
                  <c:v>1001</c:v>
                </c:pt>
              </c:numCache>
            </c:numRef>
          </c:cat>
          <c:val>
            <c:numRef>
              <c:f>_ThinQQ!$G$165:$G$189</c:f>
              <c:numCache>
                <c:formatCode>General</c:formatCode>
                <c:ptCount val="25"/>
                <c:pt idx="0">
                  <c:v>0</c:v>
                </c:pt>
                <c:pt idx="1">
                  <c:v>5480</c:v>
                </c:pt>
                <c:pt idx="2">
                  <c:v>5480</c:v>
                </c:pt>
                <c:pt idx="3">
                  <c:v>5480</c:v>
                </c:pt>
                <c:pt idx="4">
                  <c:v>0</c:v>
                </c:pt>
                <c:pt idx="5">
                  <c:v>0</c:v>
                </c:pt>
                <c:pt idx="6">
                  <c:v>4543</c:v>
                </c:pt>
                <c:pt idx="7">
                  <c:v>4543</c:v>
                </c:pt>
                <c:pt idx="8">
                  <c:v>4543</c:v>
                </c:pt>
                <c:pt idx="9">
                  <c:v>0</c:v>
                </c:pt>
                <c:pt idx="10">
                  <c:v>0</c:v>
                </c:pt>
                <c:pt idx="11">
                  <c:v>3008</c:v>
                </c:pt>
                <c:pt idx="12">
                  <c:v>3008</c:v>
                </c:pt>
                <c:pt idx="13">
                  <c:v>3008</c:v>
                </c:pt>
                <c:pt idx="14">
                  <c:v>0</c:v>
                </c:pt>
                <c:pt idx="15">
                  <c:v>0</c:v>
                </c:pt>
                <c:pt idx="16">
                  <c:v>4002</c:v>
                </c:pt>
                <c:pt idx="17">
                  <c:v>4002</c:v>
                </c:pt>
                <c:pt idx="18">
                  <c:v>4002</c:v>
                </c:pt>
                <c:pt idx="19">
                  <c:v>0</c:v>
                </c:pt>
                <c:pt idx="20">
                  <c:v>0</c:v>
                </c:pt>
                <c:pt idx="21">
                  <c:v>2111</c:v>
                </c:pt>
                <c:pt idx="22">
                  <c:v>2111</c:v>
                </c:pt>
                <c:pt idx="23">
                  <c:v>2111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79-46B8-93A0-CBA0E2B07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893696"/>
        <c:axId val="525894056"/>
      </c:areaChart>
      <c:lineChart>
        <c:grouping val="standard"/>
        <c:varyColors val="0"/>
        <c:ser>
          <c:idx val="3"/>
          <c:order val="3"/>
          <c:tx>
            <c:v>tqq_lbl_1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2"/>
              <c:tx>
                <c:strRef>
                  <c:f>_ThinQQ!$K$167</c:f>
                  <c:strCache>
                    <c:ptCount val="1"/>
                    <c:pt idx="0">
                      <c:v>8.064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{C27598B1-9C4A-4104-827C-77FA0E7ABD96}</c15:txfldGUID>
                      <c15:f>_ThinQQ!$K$167</c15:f>
                      <c15:dlblFieldTableCache>
                        <c:ptCount val="1"/>
                        <c:pt idx="0">
                          <c:v>8.064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1B79-46B8-93A0-CBA0E2B076CC}"/>
                </c:ext>
              </c:extLst>
            </c:dLbl>
            <c:dLbl>
              <c:idx val="7"/>
              <c:tx>
                <c:strRef>
                  <c:f>_ThinQQ!$K$172</c:f>
                  <c:strCache>
                    <c:ptCount val="1"/>
                    <c:pt idx="0">
                      <c:v>7.352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{53ECF896-8DCB-48D8-971B-243649843C35}</c15:txfldGUID>
                      <c15:f>_ThinQQ!$K$172</c15:f>
                      <c15:dlblFieldTableCache>
                        <c:ptCount val="1"/>
                        <c:pt idx="0">
                          <c:v>7.352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1B79-46B8-93A0-CBA0E2B076CC}"/>
                </c:ext>
              </c:extLst>
            </c:dLbl>
            <c:dLbl>
              <c:idx val="12"/>
              <c:tx>
                <c:strRef>
                  <c:f>_ThinQQ!$K$177</c:f>
                  <c:strCache>
                    <c:ptCount val="1"/>
                    <c:pt idx="0">
                      <c:v>6.572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{551B677D-CE16-4457-A18C-68B7A1907FBC}</c15:txfldGUID>
                      <c15:f>_ThinQQ!$K$177</c15:f>
                      <c15:dlblFieldTableCache>
                        <c:ptCount val="1"/>
                        <c:pt idx="0">
                          <c:v>6.572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1B79-46B8-93A0-CBA0E2B076CC}"/>
                </c:ext>
              </c:extLst>
            </c:dLbl>
            <c:dLbl>
              <c:idx val="17"/>
              <c:tx>
                <c:strRef>
                  <c:f>_ThinQQ!$K$182</c:f>
                  <c:strCache>
                    <c:ptCount val="1"/>
                    <c:pt idx="0">
                      <c:v>8.781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{E4A666E5-4254-4954-A2B8-5AB1EB34D231}</c15:txfldGUID>
                      <c15:f>_ThinQQ!$K$182</c15:f>
                      <c15:dlblFieldTableCache>
                        <c:ptCount val="1"/>
                        <c:pt idx="0">
                          <c:v>8.781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1B79-46B8-93A0-CBA0E2B076CC}"/>
                </c:ext>
              </c:extLst>
            </c:dLbl>
            <c:dLbl>
              <c:idx val="22"/>
              <c:tx>
                <c:strRef>
                  <c:f>_ThinQQ!$K$187</c:f>
                  <c:strCache>
                    <c:ptCount val="1"/>
                    <c:pt idx="0">
                      <c:v>5.306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{5AFAE6E7-503B-4B3F-AF9D-15FC8C3F0C28}</c15:txfldGUID>
                      <c15:f>_ThinQQ!$K$187</c15:f>
                      <c15:dlblFieldTableCache>
                        <c:ptCount val="1"/>
                        <c:pt idx="0">
                          <c:v>5.306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1B79-46B8-93A0-CBA0E2B076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_ThinQQ!$H$165:$H$189</c:f>
              <c:numCache>
                <c:formatCode>General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4032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3676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3286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4390.5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2653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79-46B8-93A0-CBA0E2B076CC}"/>
            </c:ext>
          </c:extLst>
        </c:ser>
        <c:ser>
          <c:idx val="4"/>
          <c:order val="4"/>
          <c:tx>
            <c:v>tqq_lbl_2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2"/>
              <c:tx>
                <c:strRef>
                  <c:f>_ThinQQ!$L$167</c:f>
                  <c:strCache>
                    <c:ptCount val="1"/>
                    <c:pt idx="0">
                      <c:v>7.588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{7D9F3928-433B-47D9-8F62-35BCED7F0826}</c15:txfldGUID>
                      <c15:f>_ThinQQ!$L$167</c15:f>
                      <c15:dlblFieldTableCache>
                        <c:ptCount val="1"/>
                        <c:pt idx="0">
                          <c:v>7.588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1B79-46B8-93A0-CBA0E2B076CC}"/>
                </c:ext>
              </c:extLst>
            </c:dLbl>
            <c:dLbl>
              <c:idx val="7"/>
              <c:tx>
                <c:strRef>
                  <c:f>_ThinQQ!$L$172</c:f>
                  <c:strCache>
                    <c:ptCount val="1"/>
                    <c:pt idx="0">
                      <c:v>5.558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{E8045CA1-CC47-40CE-845E-308286DDF44E}</c15:txfldGUID>
                      <c15:f>_ThinQQ!$L$172</c15:f>
                      <c15:dlblFieldTableCache>
                        <c:ptCount val="1"/>
                        <c:pt idx="0">
                          <c:v>5.558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1B79-46B8-93A0-CBA0E2B076CC}"/>
                </c:ext>
              </c:extLst>
            </c:dLbl>
            <c:dLbl>
              <c:idx val="12"/>
              <c:tx>
                <c:strRef>
                  <c:f>_ThinQQ!$L$177</c:f>
                  <c:strCache>
                    <c:ptCount val="1"/>
                    <c:pt idx="0">
                      <c:v>3.145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{5F7D3982-75BF-4678-97C6-C743F0CA257C}</c15:txfldGUID>
                      <c15:f>_ThinQQ!$L$177</c15:f>
                      <c15:dlblFieldTableCache>
                        <c:ptCount val="1"/>
                        <c:pt idx="0">
                          <c:v>3.145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1B79-46B8-93A0-CBA0E2B076CC}"/>
                </c:ext>
              </c:extLst>
            </c:dLbl>
            <c:dLbl>
              <c:idx val="17"/>
              <c:tx>
                <c:strRef>
                  <c:f>_ThinQQ!$L$182</c:f>
                  <c:strCache>
                    <c:ptCount val="1"/>
                    <c:pt idx="0">
                      <c:v>4.873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{122F7138-6017-4399-81EE-62B583E3C19D}</c15:txfldGUID>
                      <c15:f>_ThinQQ!$L$182</c15:f>
                      <c15:dlblFieldTableCache>
                        <c:ptCount val="1"/>
                        <c:pt idx="0">
                          <c:v>4.873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1B79-46B8-93A0-CBA0E2B076CC}"/>
                </c:ext>
              </c:extLst>
            </c:dLbl>
            <c:dLbl>
              <c:idx val="22"/>
              <c:tx>
                <c:strRef>
                  <c:f>_ThinQQ!$L$187</c:f>
                  <c:strCache>
                    <c:ptCount val="1"/>
                    <c:pt idx="0">
                      <c:v>2.018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{A1DD43BC-8EE6-4323-92BA-EDA7D90C2A58}</c15:txfldGUID>
                      <c15:f>_ThinQQ!$L$187</c15:f>
                      <c15:dlblFieldTableCache>
                        <c:ptCount val="1"/>
                        <c:pt idx="0">
                          <c:v>2.018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1B79-46B8-93A0-CBA0E2B076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_ThinQQ!$I$165:$I$189</c:f>
              <c:numCache>
                <c:formatCode>General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11858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10131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8144.5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11217.5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6315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B79-46B8-93A0-CBA0E2B076CC}"/>
            </c:ext>
          </c:extLst>
        </c:ser>
        <c:ser>
          <c:idx val="5"/>
          <c:order val="5"/>
          <c:tx>
            <c:v>tqq_lbl_3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70AD47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2"/>
              <c:tx>
                <c:strRef>
                  <c:f>_ThinQQ!$M$167</c:f>
                  <c:strCache>
                    <c:ptCount val="1"/>
                    <c:pt idx="0">
                      <c:v>5.480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{B6D2AC4B-D121-4E43-830F-F2A6F280DEE5}</c15:txfldGUID>
                      <c15:f>_ThinQQ!$M$167</c15:f>
                      <c15:dlblFieldTableCache>
                        <c:ptCount val="1"/>
                        <c:pt idx="0">
                          <c:v>5.480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1B79-46B8-93A0-CBA0E2B076CC}"/>
                </c:ext>
              </c:extLst>
            </c:dLbl>
            <c:dLbl>
              <c:idx val="7"/>
              <c:tx>
                <c:strRef>
                  <c:f>_ThinQQ!$M$172</c:f>
                  <c:strCache>
                    <c:ptCount val="1"/>
                    <c:pt idx="0">
                      <c:v>4.543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{22BDE780-3528-4989-8BEF-9A76728AC029}</c15:txfldGUID>
                      <c15:f>_ThinQQ!$M$172</c15:f>
                      <c15:dlblFieldTableCache>
                        <c:ptCount val="1"/>
                        <c:pt idx="0">
                          <c:v>4.543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1B79-46B8-93A0-CBA0E2B076CC}"/>
                </c:ext>
              </c:extLst>
            </c:dLbl>
            <c:dLbl>
              <c:idx val="12"/>
              <c:tx>
                <c:strRef>
                  <c:f>_ThinQQ!$M$177</c:f>
                  <c:strCache>
                    <c:ptCount val="1"/>
                    <c:pt idx="0">
                      <c:v>3.008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{79759C9D-6C87-447F-BA63-293D845883A6}</c15:txfldGUID>
                      <c15:f>_ThinQQ!$M$177</c15:f>
                      <c15:dlblFieldTableCache>
                        <c:ptCount val="1"/>
                        <c:pt idx="0">
                          <c:v>3.008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1B79-46B8-93A0-CBA0E2B076CC}"/>
                </c:ext>
              </c:extLst>
            </c:dLbl>
            <c:dLbl>
              <c:idx val="17"/>
              <c:tx>
                <c:strRef>
                  <c:f>_ThinQQ!$M$182</c:f>
                  <c:strCache>
                    <c:ptCount val="1"/>
                    <c:pt idx="0">
                      <c:v>4.002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{E8EFA938-FEBD-4206-9223-F948E8DBEAC1}</c15:txfldGUID>
                      <c15:f>_ThinQQ!$M$182</c15:f>
                      <c15:dlblFieldTableCache>
                        <c:ptCount val="1"/>
                        <c:pt idx="0">
                          <c:v>4.002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1B79-46B8-93A0-CBA0E2B076CC}"/>
                </c:ext>
              </c:extLst>
            </c:dLbl>
            <c:dLbl>
              <c:idx val="22"/>
              <c:tx>
                <c:strRef>
                  <c:f>_ThinQQ!$M$187</c:f>
                  <c:strCache>
                    <c:ptCount val="1"/>
                    <c:pt idx="0">
                      <c:v>2.111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{47EFF6D1-F311-48F1-89C3-1714B9A53FEC}</c15:txfldGUID>
                      <c15:f>_ThinQQ!$M$187</c15:f>
                      <c15:dlblFieldTableCache>
                        <c:ptCount val="1"/>
                        <c:pt idx="0">
                          <c:v>2.111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1B79-46B8-93A0-CBA0E2B076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_ThinQQ!$J$165:$J$189</c:f>
              <c:numCache>
                <c:formatCode>General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18392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15181.5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11221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15655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8379.5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B79-46B8-93A0-CBA0E2B076CC}"/>
            </c:ext>
          </c:extLst>
        </c:ser>
        <c:ser>
          <c:idx val="6"/>
          <c:order val="6"/>
          <c:tx>
            <c:v>tqq_total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4472C4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2"/>
              <c:tx>
                <c:strRef>
                  <c:f>_ThinQQ!$O$167</c:f>
                  <c:strCache>
                    <c:ptCount val="1"/>
                    <c:pt idx="0">
                      <c:v>21.132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{F41E89B5-9E09-420E-A4FA-F77BF4CDB4C6}</c15:txfldGUID>
                      <c15:f>_ThinQQ!$O$167</c15:f>
                      <c15:dlblFieldTableCache>
                        <c:ptCount val="1"/>
                        <c:pt idx="0">
                          <c:v>21.132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1B79-46B8-93A0-CBA0E2B076CC}"/>
                </c:ext>
              </c:extLst>
            </c:dLbl>
            <c:dLbl>
              <c:idx val="7"/>
              <c:tx>
                <c:strRef>
                  <c:f>_ThinQQ!$O$172</c:f>
                  <c:strCache>
                    <c:ptCount val="1"/>
                    <c:pt idx="0">
                      <c:v>17.453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{38F52577-6CB0-443E-BC75-41395825D73F}</c15:txfldGUID>
                      <c15:f>_ThinQQ!$O$172</c15:f>
                      <c15:dlblFieldTableCache>
                        <c:ptCount val="1"/>
                        <c:pt idx="0">
                          <c:v>17.453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1B79-46B8-93A0-CBA0E2B076CC}"/>
                </c:ext>
              </c:extLst>
            </c:dLbl>
            <c:dLbl>
              <c:idx val="12"/>
              <c:tx>
                <c:strRef>
                  <c:f>_ThinQQ!$O$177</c:f>
                  <c:strCache>
                    <c:ptCount val="1"/>
                    <c:pt idx="0">
                      <c:v>12.725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{0CF7FCD1-FC34-41C3-8D4C-835212A0E4F4}</c15:txfldGUID>
                      <c15:f>_ThinQQ!$O$177</c15:f>
                      <c15:dlblFieldTableCache>
                        <c:ptCount val="1"/>
                        <c:pt idx="0">
                          <c:v>12.725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1B79-46B8-93A0-CBA0E2B076CC}"/>
                </c:ext>
              </c:extLst>
            </c:dLbl>
            <c:dLbl>
              <c:idx val="17"/>
              <c:tx>
                <c:strRef>
                  <c:f>_ThinQQ!$O$182</c:f>
                  <c:strCache>
                    <c:ptCount val="1"/>
                    <c:pt idx="0">
                      <c:v>17.656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{EC67E16B-72D5-46A0-8C01-418F90C355F3}</c15:txfldGUID>
                      <c15:f>_ThinQQ!$O$182</c15:f>
                      <c15:dlblFieldTableCache>
                        <c:ptCount val="1"/>
                        <c:pt idx="0">
                          <c:v>17.656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1B79-46B8-93A0-CBA0E2B076CC}"/>
                </c:ext>
              </c:extLst>
            </c:dLbl>
            <c:dLbl>
              <c:idx val="22"/>
              <c:tx>
                <c:strRef>
                  <c:f>_ThinQQ!$O$187</c:f>
                  <c:strCache>
                    <c:ptCount val="1"/>
                    <c:pt idx="0">
                      <c:v>9.435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{362EC6EF-CABD-467D-A146-9342A3160B4D}</c15:txfldGUID>
                      <c15:f>_ThinQQ!$O$187</c15:f>
                      <c15:dlblFieldTableCache>
                        <c:ptCount val="1"/>
                        <c:pt idx="0">
                          <c:v>9.435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1B79-46B8-93A0-CBA0E2B076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_ThinQQ!$N$165:$N$189</c:f>
              <c:numCache>
                <c:formatCode>General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21132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17453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12725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17656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9435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B79-46B8-93A0-CBA0E2B076CC}"/>
            </c:ext>
          </c:extLst>
        </c:ser>
        <c:ser>
          <c:idx val="7"/>
          <c:order val="7"/>
          <c:tx>
            <c:v>tqq_cat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ED7D31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2"/>
              <c:tx>
                <c:strRef>
                  <c:f>_ThinQQ!$B$167</c:f>
                  <c:strCache>
                    <c:ptCount val="1"/>
                    <c:pt idx="0">
                      <c:v>Sudeste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{EA642EAC-404A-451D-B1BA-65C78E9D678F}</c15:txfldGUID>
                      <c15:f>_ThinQQ!$B$167</c15:f>
                      <c15:dlblFieldTableCache>
                        <c:ptCount val="1"/>
                        <c:pt idx="0">
                          <c:v>Sudeste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1B79-46B8-93A0-CBA0E2B076CC}"/>
                </c:ext>
              </c:extLst>
            </c:dLbl>
            <c:dLbl>
              <c:idx val="7"/>
              <c:tx>
                <c:strRef>
                  <c:f>_ThinQQ!$B$172</c:f>
                  <c:strCache>
                    <c:ptCount val="1"/>
                    <c:pt idx="0">
                      <c:v>Sul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{4C0DFA4C-A3FA-4E28-81BB-E0DDCE5CFC42}</c15:txfldGUID>
                      <c15:f>_ThinQQ!$B$172</c15:f>
                      <c15:dlblFieldTableCache>
                        <c:ptCount val="1"/>
                        <c:pt idx="0">
                          <c:v>Sul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1B79-46B8-93A0-CBA0E2B076CC}"/>
                </c:ext>
              </c:extLst>
            </c:dLbl>
            <c:dLbl>
              <c:idx val="12"/>
              <c:tx>
                <c:strRef>
                  <c:f>_ThinQQ!$B$177</c:f>
                  <c:strCache>
                    <c:ptCount val="1"/>
                    <c:pt idx="0">
                      <c:v>Nordeste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{7231AE6A-4E29-495E-BD6C-A877084DE616}</c15:txfldGUID>
                      <c15:f>_ThinQQ!$B$177</c15:f>
                      <c15:dlblFieldTableCache>
                        <c:ptCount val="1"/>
                        <c:pt idx="0">
                          <c:v>Nordeste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1B79-46B8-93A0-CBA0E2B076CC}"/>
                </c:ext>
              </c:extLst>
            </c:dLbl>
            <c:dLbl>
              <c:idx val="17"/>
              <c:tx>
                <c:strRef>
                  <c:f>_ThinQQ!$B$182</c:f>
                  <c:strCache>
                    <c:ptCount val="1"/>
                    <c:pt idx="0">
                      <c:v>Centro-Oeste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{C03DC9E1-94E1-4C54-A4FC-230576C5EF1D}</c15:txfldGUID>
                      <c15:f>_ThinQQ!$B$182</c15:f>
                      <c15:dlblFieldTableCache>
                        <c:ptCount val="1"/>
                        <c:pt idx="0">
                          <c:v>Centro-Oeste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1B79-46B8-93A0-CBA0E2B076CC}"/>
                </c:ext>
              </c:extLst>
            </c:dLbl>
            <c:dLbl>
              <c:idx val="22"/>
              <c:tx>
                <c:strRef>
                  <c:f>_ThinQQ!$B$187</c:f>
                  <c:strCache>
                    <c:ptCount val="1"/>
                    <c:pt idx="0">
                      <c:v>Norte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{9FAAA973-113A-4FF0-82AF-CBFC829949DF}</c15:txfldGUID>
                      <c15:f>_ThinQQ!$B$187</c15:f>
                      <c15:dlblFieldTableCache>
                        <c:ptCount val="1"/>
                        <c:pt idx="0">
                          <c:v>Norte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1B79-46B8-93A0-CBA0E2B076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_ThinQQ!$P$165:$P$189</c:f>
              <c:numCache>
                <c:formatCode>General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0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0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B79-46B8-93A0-CBA0E2B07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893696"/>
        <c:axId val="525894056"/>
      </c:lineChart>
      <c:dateAx>
        <c:axId val="525893696"/>
        <c:scaling>
          <c:orientation val="minMax"/>
          <c:max val="1001"/>
          <c:min val="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25894056"/>
        <c:crosses val="autoZero"/>
        <c:auto val="0"/>
        <c:lblOffset val="100"/>
        <c:baseTimeUnit val="days"/>
        <c:majorUnit val="1000"/>
      </c:dateAx>
      <c:valAx>
        <c:axId val="525894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5893696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391304347826087E-2"/>
          <c:y val="0.17692307692307693"/>
          <c:w val="0.9346856099509302"/>
          <c:h val="0.78379103573591757"/>
        </c:manualLayout>
      </c:layout>
      <c:barChart>
        <c:barDir val="bar"/>
        <c:grouping val="stacked"/>
        <c:varyColors val="0"/>
        <c:ser>
          <c:idx val="0"/>
          <c:order val="0"/>
          <c:tx>
            <c:v>tqq_start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4472C4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'E15'!$A$7:$A$10</c:f>
              <c:strCache>
                <c:ptCount val="4"/>
                <c:pt idx="0">
                  <c:v>Reforma da fachada (Aurora Centro)</c:v>
                </c:pt>
                <c:pt idx="1">
                  <c:v>Troca do telhado (Porto Sereno)</c:v>
                </c:pt>
                <c:pt idx="2">
                  <c:v>Novo depósito (Serra Clara)</c:v>
                </c:pt>
                <c:pt idx="3">
                  <c:v>Inauguração do depósito</c:v>
                </c:pt>
              </c:strCache>
            </c:strRef>
          </c:cat>
          <c:val>
            <c:numRef>
              <c:f>_ThinQQ!$E$193:$E$196</c:f>
              <c:numCache>
                <c:formatCode>General</c:formatCode>
                <c:ptCount val="4"/>
                <c:pt idx="0">
                  <c:v>46083</c:v>
                </c:pt>
                <c:pt idx="1">
                  <c:v>46097</c:v>
                </c:pt>
                <c:pt idx="2">
                  <c:v>46118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7-4329-BCC1-F880798C7204}"/>
            </c:ext>
          </c:extLst>
        </c:ser>
        <c:ser>
          <c:idx val="1"/>
          <c:order val="1"/>
          <c:tx>
            <c:v>tqq_dur</c:v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'E15'!$A$7:$A$10</c:f>
              <c:strCache>
                <c:ptCount val="4"/>
                <c:pt idx="0">
                  <c:v>Reforma da fachada (Aurora Centro)</c:v>
                </c:pt>
                <c:pt idx="1">
                  <c:v>Troca do telhado (Porto Sereno)</c:v>
                </c:pt>
                <c:pt idx="2">
                  <c:v>Novo depósito (Serra Clara)</c:v>
                </c:pt>
                <c:pt idx="3">
                  <c:v>Inauguração do depósito</c:v>
                </c:pt>
              </c:strCache>
            </c:strRef>
          </c:cat>
          <c:val>
            <c:numRef>
              <c:f>_ThinQQ!$F$193:$F$196</c:f>
              <c:numCache>
                <c:formatCode>General</c:formatCode>
                <c:ptCount val="4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D7-4329-BCC1-F880798C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69786168"/>
        <c:axId val="569775728"/>
      </c:barChart>
      <c:scatterChart>
        <c:scatterStyle val="lineMarker"/>
        <c:varyColors val="0"/>
        <c:ser>
          <c:idx val="2"/>
          <c:order val="2"/>
          <c:tx>
            <c:v>tqq_ms</c:v>
          </c:tx>
          <c:spPr>
            <a:ln w="19050">
              <a:noFill/>
            </a:ln>
          </c:spPr>
          <c:marker>
            <c:symbol val="diamond"/>
            <c:size val="9"/>
            <c: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c:spPr>
          </c:marker>
          <c:xVal>
            <c:numRef>
              <c:f>_ThinQQ!$G$193:$G$196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46160</c:v>
                </c:pt>
              </c:numCache>
            </c:numRef>
          </c:xVal>
          <c:yVal>
            <c:numRef>
              <c:f>_ThinQQ!$H$193:$H$196</c:f>
              <c:numCache>
                <c:formatCode>General</c:formatCode>
                <c:ptCount val="4"/>
                <c:pt idx="0">
                  <c:v>3.5</c:v>
                </c:pt>
                <c:pt idx="1">
                  <c:v>2.5</c:v>
                </c:pt>
                <c:pt idx="2">
                  <c:v>1.5</c:v>
                </c:pt>
                <c:pt idx="3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D7-4329-BCC1-F880798C7204}"/>
            </c:ext>
          </c:extLst>
        </c:ser>
        <c:ser>
          <c:idx val="3"/>
          <c:order val="3"/>
          <c:tx>
            <c:v>tqq_lbl</c:v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_ThinQQ!$J$193</c:f>
                  <c:strCache>
                    <c:ptCount val="1"/>
                    <c:pt idx="0">
                      <c:v>27/03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{D0567E03-F518-44CD-B784-A223A8341400}</c15:txfldGUID>
                      <c15:f>_ThinQQ!$J$193</c15:f>
                      <c15:dlblFieldTableCache>
                        <c:ptCount val="1"/>
                        <c:pt idx="0">
                          <c:v>27/03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E6D7-4329-BCC1-F880798C7204}"/>
                </c:ext>
              </c:extLst>
            </c:dLbl>
            <c:dLbl>
              <c:idx val="1"/>
              <c:tx>
                <c:strRef>
                  <c:f>_ThinQQ!$J$194</c:f>
                  <c:strCache>
                    <c:ptCount val="1"/>
                    <c:pt idx="0">
                      <c:v>24/04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{A10EF770-3786-4278-917C-D9DB2AA16AE1}</c15:txfldGUID>
                      <c15:f>_ThinQQ!$J$194</c15:f>
                      <c15:dlblFieldTableCache>
                        <c:ptCount val="1"/>
                        <c:pt idx="0">
                          <c:v>24/04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E6D7-4329-BCC1-F880798C7204}"/>
                </c:ext>
              </c:extLst>
            </c:dLbl>
            <c:dLbl>
              <c:idx val="2"/>
              <c:tx>
                <c:strRef>
                  <c:f>_ThinQQ!$J$195</c:f>
                  <c:strCache>
                    <c:ptCount val="1"/>
                    <c:pt idx="0">
                      <c:v>15/05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{30E15FBF-4755-4914-B9C2-17EF12C1F661}</c15:txfldGUID>
                      <c15:f>_ThinQQ!$J$195</c15:f>
                      <c15:dlblFieldTableCache>
                        <c:ptCount val="1"/>
                        <c:pt idx="0">
                          <c:v>15/05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E6D7-4329-BCC1-F880798C7204}"/>
                </c:ext>
              </c:extLst>
            </c:dLbl>
            <c:dLbl>
              <c:idx val="3"/>
              <c:tx>
                <c:strRef>
                  <c:f>_ThinQQ!$J$196</c:f>
                  <c:strCache>
                    <c:ptCount val="1"/>
                    <c:pt idx="0">
                      <c:v>18/05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{3A74E06B-3FC6-450E-A34B-F6E0F1D6EBDA}</c15:txfldGUID>
                      <c15:f>_ThinQQ!$J$196</c15:f>
                      <c15:dlblFieldTableCache>
                        <c:ptCount val="1"/>
                        <c:pt idx="0">
                          <c:v>18/05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E6D7-4329-BCC1-F880798C720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_ThinQQ!$I$193:$I$196</c:f>
              <c:numCache>
                <c:formatCode>General</c:formatCode>
                <c:ptCount val="4"/>
                <c:pt idx="0">
                  <c:v>46109</c:v>
                </c:pt>
                <c:pt idx="1">
                  <c:v>46137</c:v>
                </c:pt>
                <c:pt idx="2">
                  <c:v>46158</c:v>
                </c:pt>
                <c:pt idx="3">
                  <c:v>46160</c:v>
                </c:pt>
              </c:numCache>
            </c:numRef>
          </c:xVal>
          <c:yVal>
            <c:numRef>
              <c:f>_ThinQQ!$H$193:$H$196</c:f>
              <c:numCache>
                <c:formatCode>General</c:formatCode>
                <c:ptCount val="4"/>
                <c:pt idx="0">
                  <c:v>3.5</c:v>
                </c:pt>
                <c:pt idx="1">
                  <c:v>2.5</c:v>
                </c:pt>
                <c:pt idx="2">
                  <c:v>1.5</c:v>
                </c:pt>
                <c:pt idx="3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D7-4329-BCC1-F880798C7204}"/>
            </c:ext>
          </c:extLst>
        </c:ser>
        <c:ser>
          <c:idx val="4"/>
          <c:order val="4"/>
          <c:tx>
            <c:v>tqq_scale</c:v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_ThinQQ!$Q$193</c:f>
                  <c:strCache>
                    <c:ptCount val="1"/>
                    <c:pt idx="0">
                      <c:v>02/03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{5A182343-713A-4CA8-B7F5-C7A1957964AD}</c15:txfldGUID>
                      <c15:f>_ThinQQ!$Q$193</c15:f>
                      <c15:dlblFieldTableCache>
                        <c:ptCount val="1"/>
                        <c:pt idx="0">
                          <c:v>02/03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E6D7-4329-BCC1-F880798C7204}"/>
                </c:ext>
              </c:extLst>
            </c:dLbl>
            <c:dLbl>
              <c:idx val="1"/>
              <c:tx>
                <c:strRef>
                  <c:f>_ThinQQ!$Q$194</c:f>
                  <c:strCache>
                    <c:ptCount val="1"/>
                    <c:pt idx="0">
                      <c:v>09/03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{5B38B1C1-D171-4A09-8F25-A7F0A7507910}</c15:txfldGUID>
                      <c15:f>_ThinQQ!$Q$194</c15:f>
                      <c15:dlblFieldTableCache>
                        <c:ptCount val="1"/>
                        <c:pt idx="0">
                          <c:v>09/03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E6D7-4329-BCC1-F880798C7204}"/>
                </c:ext>
              </c:extLst>
            </c:dLbl>
            <c:dLbl>
              <c:idx val="2"/>
              <c:tx>
                <c:strRef>
                  <c:f>_ThinQQ!$Q$195</c:f>
                  <c:strCache>
                    <c:ptCount val="1"/>
                    <c:pt idx="0">
                      <c:v>16/03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{38E616C3-C1BD-4F6E-9F1A-ADD937E0E27A}</c15:txfldGUID>
                      <c15:f>_ThinQQ!$Q$195</c15:f>
                      <c15:dlblFieldTableCache>
                        <c:ptCount val="1"/>
                        <c:pt idx="0">
                          <c:v>16/03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6D7-4329-BCC1-F880798C7204}"/>
                </c:ext>
              </c:extLst>
            </c:dLbl>
            <c:dLbl>
              <c:idx val="3"/>
              <c:tx>
                <c:strRef>
                  <c:f>_ThinQQ!$Q$196</c:f>
                  <c:strCache>
                    <c:ptCount val="1"/>
                    <c:pt idx="0">
                      <c:v>23/03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{0C7238D3-6253-4A5C-9F43-C0578DB0965B}</c15:txfldGUID>
                      <c15:f>_ThinQQ!$Q$196</c15:f>
                      <c15:dlblFieldTableCache>
                        <c:ptCount val="1"/>
                        <c:pt idx="0">
                          <c:v>23/03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E6D7-4329-BCC1-F880798C7204}"/>
                </c:ext>
              </c:extLst>
            </c:dLbl>
            <c:dLbl>
              <c:idx val="4"/>
              <c:tx>
                <c:strRef>
                  <c:f>_ThinQQ!$Q$197</c:f>
                  <c:strCache>
                    <c:ptCount val="1"/>
                    <c:pt idx="0">
                      <c:v>30/03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{B74A496F-E5C2-4DA1-BCFA-E0E784CADD89}</c15:txfldGUID>
                      <c15:f>_ThinQQ!$Q$197</c15:f>
                      <c15:dlblFieldTableCache>
                        <c:ptCount val="1"/>
                        <c:pt idx="0">
                          <c:v>30/03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E6D7-4329-BCC1-F880798C7204}"/>
                </c:ext>
              </c:extLst>
            </c:dLbl>
            <c:dLbl>
              <c:idx val="5"/>
              <c:tx>
                <c:strRef>
                  <c:f>_ThinQQ!$Q$198</c:f>
                  <c:strCache>
                    <c:ptCount val="1"/>
                    <c:pt idx="0">
                      <c:v>06/04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{A374B01D-8C8A-4C00-997E-FC4523CBAEEA}</c15:txfldGUID>
                      <c15:f>_ThinQQ!$Q$198</c15:f>
                      <c15:dlblFieldTableCache>
                        <c:ptCount val="1"/>
                        <c:pt idx="0">
                          <c:v>06/04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E6D7-4329-BCC1-F880798C7204}"/>
                </c:ext>
              </c:extLst>
            </c:dLbl>
            <c:dLbl>
              <c:idx val="6"/>
              <c:tx>
                <c:strRef>
                  <c:f>_ThinQQ!$Q$199</c:f>
                  <c:strCache>
                    <c:ptCount val="1"/>
                    <c:pt idx="0">
                      <c:v>13/04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{77D87395-9FD2-4FF4-8592-5C61F8606558}</c15:txfldGUID>
                      <c15:f>_ThinQQ!$Q$199</c15:f>
                      <c15:dlblFieldTableCache>
                        <c:ptCount val="1"/>
                        <c:pt idx="0">
                          <c:v>13/04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E6D7-4329-BCC1-F880798C7204}"/>
                </c:ext>
              </c:extLst>
            </c:dLbl>
            <c:dLbl>
              <c:idx val="7"/>
              <c:tx>
                <c:strRef>
                  <c:f>_ThinQQ!$Q$200</c:f>
                  <c:strCache>
                    <c:ptCount val="1"/>
                    <c:pt idx="0">
                      <c:v>20/04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{A39E60B9-80A8-4E06-83EF-33E2F2A3594D}</c15:txfldGUID>
                      <c15:f>_ThinQQ!$Q$200</c15:f>
                      <c15:dlblFieldTableCache>
                        <c:ptCount val="1"/>
                        <c:pt idx="0">
                          <c:v>20/04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E6D7-4329-BCC1-F880798C7204}"/>
                </c:ext>
              </c:extLst>
            </c:dLbl>
            <c:dLbl>
              <c:idx val="8"/>
              <c:tx>
                <c:strRef>
                  <c:f>_ThinQQ!$Q$201</c:f>
                  <c:strCache>
                    <c:ptCount val="1"/>
                    <c:pt idx="0">
                      <c:v>27/04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{2FA08A2B-E9B4-49A9-BA2E-A7D76132E484}</c15:txfldGUID>
                      <c15:f>_ThinQQ!$Q$201</c15:f>
                      <c15:dlblFieldTableCache>
                        <c:ptCount val="1"/>
                        <c:pt idx="0">
                          <c:v>27/04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E6D7-4329-BCC1-F880798C7204}"/>
                </c:ext>
              </c:extLst>
            </c:dLbl>
            <c:dLbl>
              <c:idx val="9"/>
              <c:tx>
                <c:strRef>
                  <c:f>_ThinQQ!$Q$202</c:f>
                  <c:strCache>
                    <c:ptCount val="1"/>
                    <c:pt idx="0">
                      <c:v>04/05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{AEBFEA3A-10C0-4E44-87D8-8C06BF2A0682}</c15:txfldGUID>
                      <c15:f>_ThinQQ!$Q$202</c15:f>
                      <c15:dlblFieldTableCache>
                        <c:ptCount val="1"/>
                        <c:pt idx="0">
                          <c:v>04/05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E6D7-4329-BCC1-F880798C7204}"/>
                </c:ext>
              </c:extLst>
            </c:dLbl>
            <c:dLbl>
              <c:idx val="10"/>
              <c:tx>
                <c:strRef>
                  <c:f>_ThinQQ!$Q$203</c:f>
                  <c:strCache>
                    <c:ptCount val="1"/>
                    <c:pt idx="0">
                      <c:v>11/05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{804B2E64-1951-4C5E-A3FE-A19FC20FDC42}</c15:txfldGUID>
                      <c15:f>_ThinQQ!$Q$203</c15:f>
                      <c15:dlblFieldTableCache>
                        <c:ptCount val="1"/>
                        <c:pt idx="0">
                          <c:v>11/05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E6D7-4329-BCC1-F880798C7204}"/>
                </c:ext>
              </c:extLst>
            </c:dLbl>
            <c:dLbl>
              <c:idx val="11"/>
              <c:tx>
                <c:strRef>
                  <c:f>_ThinQQ!$Q$204</c:f>
                  <c:strCache>
                    <c:ptCount val="1"/>
                    <c:pt idx="0">
                      <c:v>18/05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{4015D3DE-3FF5-41B5-8B90-770774103426}</c15:txfldGUID>
                      <c15:f>_ThinQQ!$Q$204</c15:f>
                      <c15:dlblFieldTableCache>
                        <c:ptCount val="1"/>
                        <c:pt idx="0">
                          <c:v>18/05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E6D7-4329-BCC1-F880798C720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minus"/>
            <c:errValType val="fixedVal"/>
            <c:noEndCap val="1"/>
            <c:val val="4"/>
            <c:spPr>
              <a:ln w="9525">
                <a:solidFill>
                  <a:srgbClr val="D9D9D9"/>
                </a:solidFill>
                <a:prstDash val="dash"/>
              </a:ln>
            </c:spPr>
          </c:errBars>
          <c:xVal>
            <c:numRef>
              <c:f>_ThinQQ!$O$193:$O$232</c:f>
              <c:numCache>
                <c:formatCode>General</c:formatCode>
                <c:ptCount val="40"/>
                <c:pt idx="0">
                  <c:v>46083</c:v>
                </c:pt>
                <c:pt idx="1">
                  <c:v>46090</c:v>
                </c:pt>
                <c:pt idx="2">
                  <c:v>46097</c:v>
                </c:pt>
                <c:pt idx="3">
                  <c:v>46104</c:v>
                </c:pt>
                <c:pt idx="4">
                  <c:v>46111</c:v>
                </c:pt>
                <c:pt idx="5">
                  <c:v>46118</c:v>
                </c:pt>
                <c:pt idx="6">
                  <c:v>46125</c:v>
                </c:pt>
                <c:pt idx="7">
                  <c:v>46132</c:v>
                </c:pt>
                <c:pt idx="8">
                  <c:v>46139</c:v>
                </c:pt>
                <c:pt idx="9">
                  <c:v>46146</c:v>
                </c:pt>
                <c:pt idx="10">
                  <c:v>46153</c:v>
                </c:pt>
                <c:pt idx="11">
                  <c:v>46160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xVal>
          <c:yVal>
            <c:numRef>
              <c:f>_ThinQQ!$P$193:$P$232</c:f>
              <c:numCache>
                <c:formatCode>General</c:formatCode>
                <c:ptCount val="4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6D7-4329-BCC1-F880798C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782208"/>
        <c:axId val="569781488"/>
      </c:scatterChart>
      <c:catAx>
        <c:axId val="569786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69775728"/>
        <c:crosses val="autoZero"/>
        <c:auto val="0"/>
        <c:lblAlgn val="ctr"/>
        <c:lblOffset val="100"/>
        <c:noMultiLvlLbl val="0"/>
      </c:catAx>
      <c:valAx>
        <c:axId val="569775728"/>
        <c:scaling>
          <c:orientation val="minMax"/>
          <c:max val="46167"/>
          <c:min val="46083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69786168"/>
        <c:crosses val="autoZero"/>
        <c:crossBetween val="between"/>
      </c:valAx>
      <c:valAx>
        <c:axId val="569781488"/>
        <c:scaling>
          <c:orientation val="minMax"/>
          <c:max val="4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69782208"/>
        <c:crosses val="max"/>
        <c:crossBetween val="midCat"/>
      </c:valAx>
      <c:valAx>
        <c:axId val="569782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9781488"/>
        <c:crossBetween val="midCat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391304347826087E-2"/>
          <c:y val="0.1076923076923077"/>
          <c:w val="0.90241884145752671"/>
          <c:h val="0.85302210781344645"/>
        </c:manualLayout>
      </c:layout>
      <c:barChart>
        <c:barDir val="bar"/>
        <c:grouping val="stacked"/>
        <c:varyColors val="0"/>
        <c:ser>
          <c:idx val="0"/>
          <c:order val="0"/>
          <c:tx>
            <c:v>tqq_start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4472C4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'E16'!$A$7:$A$11</c:f>
              <c:strCache>
                <c:ptCount val="5"/>
                <c:pt idx="0">
                  <c:v>Projeto e licenças</c:v>
                </c:pt>
                <c:pt idx="1">
                  <c:v>Obra civil</c:v>
                </c:pt>
                <c:pt idx="2">
                  <c:v>Instalações e acabamento</c:v>
                </c:pt>
                <c:pt idx="3">
                  <c:v>Montagem e estoque</c:v>
                </c:pt>
                <c:pt idx="4">
                  <c:v>Inauguração</c:v>
                </c:pt>
              </c:strCache>
            </c:strRef>
          </c:cat>
          <c:val>
            <c:numRef>
              <c:f>_ThinQQ!$E$236:$E$240</c:f>
              <c:numCache>
                <c:formatCode>General</c:formatCode>
                <c:ptCount val="5"/>
                <c:pt idx="0">
                  <c:v>46027</c:v>
                </c:pt>
                <c:pt idx="1">
                  <c:v>46118</c:v>
                </c:pt>
                <c:pt idx="2">
                  <c:v>46391</c:v>
                </c:pt>
                <c:pt idx="3">
                  <c:v>46510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B-404F-91B6-FF1B1D19EFA2}"/>
            </c:ext>
          </c:extLst>
        </c:ser>
        <c:ser>
          <c:idx val="1"/>
          <c:order val="1"/>
          <c:tx>
            <c:v>tqq_dur</c:v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'E16'!$A$7:$A$11</c:f>
              <c:strCache>
                <c:ptCount val="5"/>
                <c:pt idx="0">
                  <c:v>Projeto e licenças</c:v>
                </c:pt>
                <c:pt idx="1">
                  <c:v>Obra civil</c:v>
                </c:pt>
                <c:pt idx="2">
                  <c:v>Instalações e acabamento</c:v>
                </c:pt>
                <c:pt idx="3">
                  <c:v>Montagem e estoque</c:v>
                </c:pt>
                <c:pt idx="4">
                  <c:v>Inauguração</c:v>
                </c:pt>
              </c:strCache>
            </c:strRef>
          </c:cat>
          <c:val>
            <c:numRef>
              <c:f>_ThinQQ!$F$236:$F$240</c:f>
              <c:numCache>
                <c:formatCode>General</c:formatCode>
                <c:ptCount val="5"/>
                <c:pt idx="0">
                  <c:v>82</c:v>
                </c:pt>
                <c:pt idx="1">
                  <c:v>257</c:v>
                </c:pt>
                <c:pt idx="2">
                  <c:v>117</c:v>
                </c:pt>
                <c:pt idx="3">
                  <c:v>40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EB-404F-91B6-FF1B1D19E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68461536"/>
        <c:axId val="568458656"/>
      </c:barChart>
      <c:scatterChart>
        <c:scatterStyle val="lineMarker"/>
        <c:varyColors val="0"/>
        <c:ser>
          <c:idx val="2"/>
          <c:order val="2"/>
          <c:tx>
            <c:v>tqq_ms</c:v>
          </c:tx>
          <c:spPr>
            <a:ln w="19050">
              <a:noFill/>
            </a:ln>
          </c:spPr>
          <c:marker>
            <c:symbol val="diamond"/>
            <c:size val="9"/>
            <c: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c:spPr>
          </c:marker>
          <c:xVal>
            <c:numRef>
              <c:f>_ThinQQ!$G$236:$G$240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46553</c:v>
                </c:pt>
              </c:numCache>
            </c:numRef>
          </c:xVal>
          <c:yVal>
            <c:numRef>
              <c:f>_ThinQQ!$H$236:$H$240</c:f>
              <c:numCache>
                <c:formatCode>General</c:formatCode>
                <c:ptCount val="5"/>
                <c:pt idx="0">
                  <c:v>4.5</c:v>
                </c:pt>
                <c:pt idx="1">
                  <c:v>3.5</c:v>
                </c:pt>
                <c:pt idx="2">
                  <c:v>2.5</c:v>
                </c:pt>
                <c:pt idx="3">
                  <c:v>1.5</c:v>
                </c:pt>
                <c:pt idx="4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EB-404F-91B6-FF1B1D19EFA2}"/>
            </c:ext>
          </c:extLst>
        </c:ser>
        <c:ser>
          <c:idx val="3"/>
          <c:order val="3"/>
          <c:tx>
            <c:v>tqq_lbl</c:v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_ThinQQ!$J$236</c:f>
                  <c:strCache>
                    <c:ptCount val="1"/>
                    <c:pt idx="0">
                      <c:v>27/03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{ACBCF520-DE29-4BC0-A884-965C0D3F061F}</c15:txfldGUID>
                      <c15:f>_ThinQQ!$J$236</c15:f>
                      <c15:dlblFieldTableCache>
                        <c:ptCount val="1"/>
                        <c:pt idx="0">
                          <c:v>27/03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AEEB-404F-91B6-FF1B1D19EFA2}"/>
                </c:ext>
              </c:extLst>
            </c:dLbl>
            <c:dLbl>
              <c:idx val="1"/>
              <c:tx>
                <c:strRef>
                  <c:f>_ThinQQ!$J$237</c:f>
                  <c:strCache>
                    <c:ptCount val="1"/>
                    <c:pt idx="0">
                      <c:v>18/12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{4E9E760E-9FAB-42D3-B763-AEBD82750B15}</c15:txfldGUID>
                      <c15:f>_ThinQQ!$J$237</c15:f>
                      <c15:dlblFieldTableCache>
                        <c:ptCount val="1"/>
                        <c:pt idx="0">
                          <c:v>18/12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AEEB-404F-91B6-FF1B1D19EFA2}"/>
                </c:ext>
              </c:extLst>
            </c:dLbl>
            <c:dLbl>
              <c:idx val="2"/>
              <c:tx>
                <c:strRef>
                  <c:f>_ThinQQ!$J$238</c:f>
                  <c:strCache>
                    <c:ptCount val="1"/>
                    <c:pt idx="0">
                      <c:v>30/04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{B08DA55D-A69F-431B-866F-8AA8A0DFB42E}</c15:txfldGUID>
                      <c15:f>_ThinQQ!$J$238</c15:f>
                      <c15:dlblFieldTableCache>
                        <c:ptCount val="1"/>
                        <c:pt idx="0">
                          <c:v>30/04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AEEB-404F-91B6-FF1B1D19EFA2}"/>
                </c:ext>
              </c:extLst>
            </c:dLbl>
            <c:dLbl>
              <c:idx val="3"/>
              <c:tx>
                <c:strRef>
                  <c:f>_ThinQQ!$J$239</c:f>
                  <c:strCache>
                    <c:ptCount val="1"/>
                    <c:pt idx="0">
                      <c:v>11/06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{1F37D5C5-8FC4-4477-BA6F-CDF5C82CA1D3}</c15:txfldGUID>
                      <c15:f>_ThinQQ!$J$239</c15:f>
                      <c15:dlblFieldTableCache>
                        <c:ptCount val="1"/>
                        <c:pt idx="0">
                          <c:v>11/06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AEEB-404F-91B6-FF1B1D19EFA2}"/>
                </c:ext>
              </c:extLst>
            </c:dLbl>
            <c:dLbl>
              <c:idx val="4"/>
              <c:tx>
                <c:strRef>
                  <c:f>_ThinQQ!$J$240</c:f>
                  <c:strCache>
                    <c:ptCount val="1"/>
                    <c:pt idx="0">
                      <c:v>15/06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{7578A95C-934F-47FC-B79E-898AA2BB3B44}</c15:txfldGUID>
                      <c15:f>_ThinQQ!$J$240</c15:f>
                      <c15:dlblFieldTableCache>
                        <c:ptCount val="1"/>
                        <c:pt idx="0">
                          <c:v>15/06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AEEB-404F-91B6-FF1B1D19EFA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_ThinQQ!$I$236:$I$240</c:f>
              <c:numCache>
                <c:formatCode>General</c:formatCode>
                <c:ptCount val="5"/>
                <c:pt idx="0">
                  <c:v>46109</c:v>
                </c:pt>
                <c:pt idx="1">
                  <c:v>46375</c:v>
                </c:pt>
                <c:pt idx="2">
                  <c:v>46508</c:v>
                </c:pt>
                <c:pt idx="3">
                  <c:v>46550</c:v>
                </c:pt>
                <c:pt idx="4">
                  <c:v>46553</c:v>
                </c:pt>
              </c:numCache>
            </c:numRef>
          </c:xVal>
          <c:yVal>
            <c:numRef>
              <c:f>_ThinQQ!$H$236:$H$240</c:f>
              <c:numCache>
                <c:formatCode>General</c:formatCode>
                <c:ptCount val="5"/>
                <c:pt idx="0">
                  <c:v>4.5</c:v>
                </c:pt>
                <c:pt idx="1">
                  <c:v>3.5</c:v>
                </c:pt>
                <c:pt idx="2">
                  <c:v>2.5</c:v>
                </c:pt>
                <c:pt idx="3">
                  <c:v>1.5</c:v>
                </c:pt>
                <c:pt idx="4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EB-404F-91B6-FF1B1D19EFA2}"/>
            </c:ext>
          </c:extLst>
        </c:ser>
        <c:ser>
          <c:idx val="4"/>
          <c:order val="4"/>
          <c:tx>
            <c:v>tqq_scale</c:v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_ThinQQ!$Q$236</c:f>
                  <c:strCache>
                    <c:ptCount val="1"/>
                    <c:pt idx="0">
                      <c:v>jan/26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{36B4B0ED-6373-44E6-918C-C14025276505}</c15:txfldGUID>
                      <c15:f>_ThinQQ!$Q$236</c15:f>
                      <c15:dlblFieldTableCache>
                        <c:ptCount val="1"/>
                        <c:pt idx="0">
                          <c:v>jan/26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AEEB-404F-91B6-FF1B1D19EFA2}"/>
                </c:ext>
              </c:extLst>
            </c:dLbl>
            <c:dLbl>
              <c:idx val="2"/>
              <c:tx>
                <c:strRef>
                  <c:f>_ThinQQ!$Q$238</c:f>
                  <c:strCache>
                    <c:ptCount val="1"/>
                    <c:pt idx="0">
                      <c:v>mar/26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{94760391-8892-4DC6-B458-3FA055EA285A}</c15:txfldGUID>
                      <c15:f>_ThinQQ!$Q$238</c15:f>
                      <c15:dlblFieldTableCache>
                        <c:ptCount val="1"/>
                        <c:pt idx="0">
                          <c:v>mar/26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AEEB-404F-91B6-FF1B1D19EFA2}"/>
                </c:ext>
              </c:extLst>
            </c:dLbl>
            <c:dLbl>
              <c:idx val="4"/>
              <c:tx>
                <c:strRef>
                  <c:f>_ThinQQ!$Q$240</c:f>
                  <c:strCache>
                    <c:ptCount val="1"/>
                    <c:pt idx="0">
                      <c:v>mai/26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{081A2EF4-E548-4148-A96C-1FC802C55429}</c15:txfldGUID>
                      <c15:f>_ThinQQ!$Q$240</c15:f>
                      <c15:dlblFieldTableCache>
                        <c:ptCount val="1"/>
                        <c:pt idx="0">
                          <c:v>mai/26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AEEB-404F-91B6-FF1B1D19EFA2}"/>
                </c:ext>
              </c:extLst>
            </c:dLbl>
            <c:dLbl>
              <c:idx val="6"/>
              <c:tx>
                <c:strRef>
                  <c:f>_ThinQQ!$Q$242</c:f>
                  <c:strCache>
                    <c:ptCount val="1"/>
                    <c:pt idx="0">
                      <c:v>jul/26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{7EC85840-B0DF-40C2-85EE-E3DBFD9FDD0D}</c15:txfldGUID>
                      <c15:f>_ThinQQ!$Q$242</c15:f>
                      <c15:dlblFieldTableCache>
                        <c:ptCount val="1"/>
                        <c:pt idx="0">
                          <c:v>jul/26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AEEB-404F-91B6-FF1B1D19EFA2}"/>
                </c:ext>
              </c:extLst>
            </c:dLbl>
            <c:dLbl>
              <c:idx val="8"/>
              <c:tx>
                <c:strRef>
                  <c:f>_ThinQQ!$Q$244</c:f>
                  <c:strCache>
                    <c:ptCount val="1"/>
                    <c:pt idx="0">
                      <c:v>set/26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{97EBC030-B604-4254-9011-628523A3426F}</c15:txfldGUID>
                      <c15:f>_ThinQQ!$Q$244</c15:f>
                      <c15:dlblFieldTableCache>
                        <c:ptCount val="1"/>
                        <c:pt idx="0">
                          <c:v>set/26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AEEB-404F-91B6-FF1B1D19EFA2}"/>
                </c:ext>
              </c:extLst>
            </c:dLbl>
            <c:dLbl>
              <c:idx val="10"/>
              <c:tx>
                <c:strRef>
                  <c:f>_ThinQQ!$Q$246</c:f>
                  <c:strCache>
                    <c:ptCount val="1"/>
                    <c:pt idx="0">
                      <c:v>nov/26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{1F62E71C-E223-414E-BC6E-396396C6C623}</c15:txfldGUID>
                      <c15:f>_ThinQQ!$Q$246</c15:f>
                      <c15:dlblFieldTableCache>
                        <c:ptCount val="1"/>
                        <c:pt idx="0">
                          <c:v>nov/26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AEEB-404F-91B6-FF1B1D19EFA2}"/>
                </c:ext>
              </c:extLst>
            </c:dLbl>
            <c:dLbl>
              <c:idx val="12"/>
              <c:tx>
                <c:strRef>
                  <c:f>_ThinQQ!$Q$248</c:f>
                  <c:strCache>
                    <c:ptCount val="1"/>
                    <c:pt idx="0">
                      <c:v>jan/27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{70900816-ADF0-4145-BF18-6857F2012B31}</c15:txfldGUID>
                      <c15:f>_ThinQQ!$Q$248</c15:f>
                      <c15:dlblFieldTableCache>
                        <c:ptCount val="1"/>
                        <c:pt idx="0">
                          <c:v>jan/27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AEEB-404F-91B6-FF1B1D19EFA2}"/>
                </c:ext>
              </c:extLst>
            </c:dLbl>
            <c:dLbl>
              <c:idx val="14"/>
              <c:tx>
                <c:strRef>
                  <c:f>_ThinQQ!$Q$250</c:f>
                  <c:strCache>
                    <c:ptCount val="1"/>
                    <c:pt idx="0">
                      <c:v>mar/27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{1F11323A-7A72-45BD-B3BC-2490DEDB1E9B}</c15:txfldGUID>
                      <c15:f>_ThinQQ!$Q$250</c15:f>
                      <c15:dlblFieldTableCache>
                        <c:ptCount val="1"/>
                        <c:pt idx="0">
                          <c:v>mar/27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AEEB-404F-91B6-FF1B1D19EFA2}"/>
                </c:ext>
              </c:extLst>
            </c:dLbl>
            <c:dLbl>
              <c:idx val="16"/>
              <c:tx>
                <c:strRef>
                  <c:f>_ThinQQ!$Q$252</c:f>
                  <c:strCache>
                    <c:ptCount val="1"/>
                    <c:pt idx="0">
                      <c:v>mai/27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{A1468139-C812-4E5E-BE57-A137C2FDE81A}</c15:txfldGUID>
                      <c15:f>_ThinQQ!$Q$252</c15:f>
                      <c15:dlblFieldTableCache>
                        <c:ptCount val="1"/>
                        <c:pt idx="0">
                          <c:v>mai/27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AEEB-404F-91B6-FF1B1D19EFA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minus"/>
            <c:errValType val="fixedVal"/>
            <c:noEndCap val="1"/>
            <c:val val="5"/>
            <c:spPr>
              <a:ln w="9525">
                <a:solidFill>
                  <a:srgbClr val="D9D9D9"/>
                </a:solidFill>
                <a:prstDash val="dash"/>
              </a:ln>
            </c:spPr>
          </c:errBars>
          <c:xVal>
            <c:numRef>
              <c:f>_ThinQQ!$O$236:$O$275</c:f>
              <c:numCache>
                <c:formatCode>General</c:formatCode>
                <c:ptCount val="4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xVal>
          <c:yVal>
            <c:numRef>
              <c:f>_ThinQQ!$P$236:$P$275</c:f>
              <c:numCache>
                <c:formatCode>General</c:formatCode>
                <c:ptCount val="4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EEB-404F-91B6-FF1B1D19E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457576"/>
        <c:axId val="568461176"/>
      </c:scatterChart>
      <c:catAx>
        <c:axId val="5684615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68458656"/>
        <c:crosses val="autoZero"/>
        <c:auto val="0"/>
        <c:lblAlgn val="ctr"/>
        <c:lblOffset val="100"/>
        <c:noMultiLvlLbl val="0"/>
      </c:catAx>
      <c:valAx>
        <c:axId val="568458656"/>
        <c:scaling>
          <c:orientation val="minMax"/>
          <c:max val="46569"/>
          <c:min val="46023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68461536"/>
        <c:crosses val="autoZero"/>
        <c:crossBetween val="between"/>
      </c:valAx>
      <c:valAx>
        <c:axId val="568461176"/>
        <c:scaling>
          <c:orientation val="minMax"/>
          <c:max val="5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68457576"/>
        <c:crosses val="max"/>
        <c:crossBetween val="midCat"/>
      </c:valAx>
      <c:valAx>
        <c:axId val="568457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8461176"/>
        <c:crossBetween val="midCat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'E17'!$B$6</c:f>
              <c:strCache>
                <c:ptCount val="1"/>
                <c:pt idx="0">
                  <c:v>Vendas 2025</c:v>
                </c:pt>
              </c:strCache>
            </c:strRef>
          </c:tx>
          <c:spPr>
            <a:ln w="12700">
              <a:solidFill>
                <a:srgbClr val="FFFFFF"/>
              </a:solidFill>
            </a:ln>
          </c:spPr>
          <c:dPt>
            <c:idx val="0"/>
            <c:bubble3D val="0"/>
            <c:spPr>
              <a:solidFill>
                <a:srgbClr val="1F3864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8276-4AC9-B8BC-5C4E2AAFD9D7}"/>
              </c:ext>
            </c:extLst>
          </c:dPt>
          <c:dPt>
            <c:idx val="1"/>
            <c:bubble3D val="0"/>
            <c:spPr>
              <a:solidFill>
                <a:srgbClr val="4472C4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276-4AC9-B8BC-5C4E2AAFD9D7}"/>
              </c:ext>
            </c:extLst>
          </c:dPt>
          <c:dPt>
            <c:idx val="2"/>
            <c:bubble3D val="0"/>
            <c:spPr>
              <a:solidFill>
                <a:srgbClr val="9DC3E6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8276-4AC9-B8BC-5C4E2AAFD9D7}"/>
              </c:ext>
            </c:extLst>
          </c:dPt>
          <c:dPt>
            <c:idx val="3"/>
            <c:bubble3D val="0"/>
            <c:spPr>
              <a:solidFill>
                <a:srgbClr val="A5A5A5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276-4AC9-B8BC-5C4E2AAFD9D7}"/>
              </c:ext>
            </c:extLst>
          </c:dPt>
          <c:dPt>
            <c:idx val="4"/>
            <c:bubble3D val="0"/>
            <c:spPr>
              <a:solidFill>
                <a:srgbClr val="009688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8276-4AC9-B8BC-5C4E2AAFD9D7}"/>
              </c:ext>
            </c:extLst>
          </c:dPt>
          <c:dLbls>
            <c:dLbl>
              <c:idx val="0"/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276-4AC9-B8BC-5C4E2AAFD9D7}"/>
                </c:ext>
              </c:extLst>
            </c:dLbl>
            <c:dLbl>
              <c:idx val="1"/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276-4AC9-B8BC-5C4E2AAFD9D7}"/>
                </c:ext>
              </c:extLst>
            </c:dLbl>
            <c:dLbl>
              <c:idx val="2"/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276-4AC9-B8BC-5C4E2AAFD9D7}"/>
                </c:ext>
              </c:extLst>
            </c:dLbl>
            <c:dLbl>
              <c:idx val="3"/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276-4AC9-B8BC-5C4E2AAFD9D7}"/>
                </c:ext>
              </c:extLst>
            </c:dLbl>
            <c:dLbl>
              <c:idx val="4"/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276-4AC9-B8BC-5C4E2AAFD9D7}"/>
                </c:ext>
              </c:extLst>
            </c:dLbl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'E17'!$A$7:$A$11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_ThinQQ!$B$279:$B$283</c:f>
              <c:numCache>
                <c:formatCode>General</c:formatCode>
                <c:ptCount val="5"/>
                <c:pt idx="0">
                  <c:v>42264</c:v>
                </c:pt>
                <c:pt idx="1">
                  <c:v>34905</c:v>
                </c:pt>
                <c:pt idx="2">
                  <c:v>25450</c:v>
                </c:pt>
                <c:pt idx="3">
                  <c:v>17656</c:v>
                </c:pt>
                <c:pt idx="4">
                  <c:v>9435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6-4AC9-B8BC-5C4E2AAF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'E18'!$B$6</c:f>
              <c:strCache>
                <c:ptCount val="1"/>
                <c:pt idx="0">
                  <c:v>Vendas 2025</c:v>
                </c:pt>
              </c:strCache>
            </c:strRef>
          </c:tx>
          <c:spPr>
            <a:ln w="12700">
              <a:solidFill>
                <a:srgbClr val="FFFFFF"/>
              </a:solidFill>
            </a:ln>
          </c:spPr>
          <c:dPt>
            <c:idx val="0"/>
            <c:bubble3D val="0"/>
            <c:spPr>
              <a:solidFill>
                <a:srgbClr val="404040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CB87-4126-93F0-811E88B682F6}"/>
              </c:ext>
            </c:extLst>
          </c:dPt>
          <c:dPt>
            <c:idx val="1"/>
            <c:bubble3D val="0"/>
            <c:spPr>
              <a:solidFill>
                <a:srgbClr val="7F7F7F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B87-4126-93F0-811E88B682F6}"/>
              </c:ext>
            </c:extLst>
          </c:dPt>
          <c:dPt>
            <c:idx val="2"/>
            <c:bubble3D val="0"/>
            <c:spPr>
              <a:solidFill>
                <a:srgbClr val="A6A6A6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CB87-4126-93F0-811E88B682F6}"/>
              </c:ext>
            </c:extLst>
          </c:dPt>
          <c:dPt>
            <c:idx val="3"/>
            <c:bubble3D val="0"/>
            <c:spPr>
              <a:solidFill>
                <a:srgbClr val="BFBFBF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B87-4126-93F0-811E88B682F6}"/>
              </c:ext>
            </c:extLst>
          </c:dPt>
          <c:dPt>
            <c:idx val="4"/>
            <c:bubble3D val="0"/>
            <c:spPr>
              <a:solidFill>
                <a:srgbClr val="D9D9D9"/>
              </a:solidFill>
              <a:ln w="127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CB87-4126-93F0-811E88B682F6}"/>
              </c:ext>
            </c:extLst>
          </c:dPt>
          <c:dLbls>
            <c:dLbl>
              <c:idx val="0"/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B87-4126-93F0-811E88B682F6}"/>
                </c:ext>
              </c:extLst>
            </c:dLbl>
            <c:dLbl>
              <c:idx val="1"/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B87-4126-93F0-811E88B682F6}"/>
                </c:ext>
              </c:extLst>
            </c:dLbl>
            <c:dLbl>
              <c:idx val="2"/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CB87-4126-93F0-811E88B682F6}"/>
                </c:ext>
              </c:extLst>
            </c:dLbl>
            <c:dLbl>
              <c:idx val="3"/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B87-4126-93F0-811E88B682F6}"/>
                </c:ext>
              </c:extLst>
            </c:dLbl>
            <c:dLbl>
              <c:idx val="4"/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CB87-4126-93F0-811E88B682F6}"/>
                </c:ext>
              </c:extLst>
            </c:dLbl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'E18'!$A$7:$A$11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_ThinQQ!$B$287:$B$291</c:f>
              <c:numCache>
                <c:formatCode>General</c:formatCode>
                <c:ptCount val="5"/>
                <c:pt idx="0">
                  <c:v>42264</c:v>
                </c:pt>
                <c:pt idx="1">
                  <c:v>34905</c:v>
                </c:pt>
                <c:pt idx="2">
                  <c:v>25450</c:v>
                </c:pt>
                <c:pt idx="3">
                  <c:v>17656</c:v>
                </c:pt>
                <c:pt idx="4">
                  <c:v>9435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7-4126-93F0-811E88B68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v>tqq_gapL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4472C4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'E19'!$A$7:$A$14</c:f>
              <c:strCache>
                <c:ptCount val="8"/>
                <c:pt idx="0">
                  <c:v>Aurora Centro</c:v>
                </c:pt>
                <c:pt idx="1">
                  <c:v>Porto Sereno</c:v>
                </c:pt>
                <c:pt idx="2">
                  <c:v>Campo Dourado</c:v>
                </c:pt>
                <c:pt idx="3">
                  <c:v>Aurora Norte</c:v>
                </c:pt>
                <c:pt idx="4">
                  <c:v>Lago Prateado</c:v>
                </c:pt>
                <c:pt idx="5">
                  <c:v>Serra Clara</c:v>
                </c:pt>
                <c:pt idx="6">
                  <c:v>Monte Alvorada</c:v>
                </c:pt>
                <c:pt idx="7">
                  <c:v>Rio Turquesa</c:v>
                </c:pt>
              </c:strCache>
            </c:strRef>
          </c:cat>
          <c:val>
            <c:numRef>
              <c:f>_ThinQQ!$G$295:$G$302</c:f>
              <c:numCache>
                <c:formatCode>General</c:formatCode>
                <c:ptCount val="8"/>
                <c:pt idx="0">
                  <c:v>-6180.8768235309117</c:v>
                </c:pt>
                <c:pt idx="1">
                  <c:v>-6180.8768235309117</c:v>
                </c:pt>
                <c:pt idx="2">
                  <c:v>-6180.8768235309117</c:v>
                </c:pt>
                <c:pt idx="3">
                  <c:v>-6180.8768235309117</c:v>
                </c:pt>
                <c:pt idx="4">
                  <c:v>-6180.8768235309117</c:v>
                </c:pt>
                <c:pt idx="5">
                  <c:v>-6180.8768235309117</c:v>
                </c:pt>
                <c:pt idx="6">
                  <c:v>-6180.8768235309117</c:v>
                </c:pt>
                <c:pt idx="7">
                  <c:v>-6180.8768235309117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FF-4773-9EF6-ABE636A80A16}"/>
            </c:ext>
          </c:extLst>
        </c:ser>
        <c:ser>
          <c:idx val="1"/>
          <c:order val="1"/>
          <c:tx>
            <c:strRef>
              <c:f>'E19'!$B$6</c:f>
              <c:strCache>
                <c:ptCount val="1"/>
                <c:pt idx="0">
                  <c:v>B2C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'E19'!$A$7:$A$14</c:f>
              <c:strCache>
                <c:ptCount val="8"/>
                <c:pt idx="0">
                  <c:v>Aurora Centro</c:v>
                </c:pt>
                <c:pt idx="1">
                  <c:v>Porto Sereno</c:v>
                </c:pt>
                <c:pt idx="2">
                  <c:v>Campo Dourado</c:v>
                </c:pt>
                <c:pt idx="3">
                  <c:v>Aurora Norte</c:v>
                </c:pt>
                <c:pt idx="4">
                  <c:v>Lago Prateado</c:v>
                </c:pt>
                <c:pt idx="5">
                  <c:v>Serra Clara</c:v>
                </c:pt>
                <c:pt idx="6">
                  <c:v>Monte Alvorada</c:v>
                </c:pt>
                <c:pt idx="7">
                  <c:v>Rio Turquesa</c:v>
                </c:pt>
              </c:strCache>
            </c:strRef>
          </c:cat>
          <c:val>
            <c:numRef>
              <c:f>_ThinQQ!$H$295:$H$302</c:f>
              <c:numCache>
                <c:formatCode>General</c:formatCode>
                <c:ptCount val="8"/>
                <c:pt idx="0">
                  <c:v>-14929</c:v>
                </c:pt>
                <c:pt idx="1">
                  <c:v>-16058</c:v>
                </c:pt>
                <c:pt idx="2">
                  <c:v>-12171</c:v>
                </c:pt>
                <c:pt idx="3">
                  <c:v>-10747</c:v>
                </c:pt>
                <c:pt idx="4">
                  <c:v>-11461</c:v>
                </c:pt>
                <c:pt idx="5">
                  <c:v>-7362</c:v>
                </c:pt>
                <c:pt idx="6">
                  <c:v>-7824</c:v>
                </c:pt>
                <c:pt idx="7">
                  <c:v>-6236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FF-4773-9EF6-ABE636A80A16}"/>
            </c:ext>
          </c:extLst>
        </c:ser>
        <c:ser>
          <c:idx val="2"/>
          <c:order val="2"/>
          <c:tx>
            <c:v>tqq_gapR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A5A5A5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'E19'!$A$7:$A$14</c:f>
              <c:strCache>
                <c:ptCount val="8"/>
                <c:pt idx="0">
                  <c:v>Aurora Centro</c:v>
                </c:pt>
                <c:pt idx="1">
                  <c:v>Porto Sereno</c:v>
                </c:pt>
                <c:pt idx="2">
                  <c:v>Campo Dourado</c:v>
                </c:pt>
                <c:pt idx="3">
                  <c:v>Aurora Norte</c:v>
                </c:pt>
                <c:pt idx="4">
                  <c:v>Lago Prateado</c:v>
                </c:pt>
                <c:pt idx="5">
                  <c:v>Serra Clara</c:v>
                </c:pt>
                <c:pt idx="6">
                  <c:v>Monte Alvorada</c:v>
                </c:pt>
                <c:pt idx="7">
                  <c:v>Rio Turquesa</c:v>
                </c:pt>
              </c:strCache>
            </c:strRef>
          </c:cat>
          <c:val>
            <c:numRef>
              <c:f>_ThinQQ!$F$295:$F$302</c:f>
              <c:numCache>
                <c:formatCode>General</c:formatCode>
                <c:ptCount val="8"/>
                <c:pt idx="0">
                  <c:v>6180.8768235309117</c:v>
                </c:pt>
                <c:pt idx="1">
                  <c:v>6180.8768235309117</c:v>
                </c:pt>
                <c:pt idx="2">
                  <c:v>6180.8768235309117</c:v>
                </c:pt>
                <c:pt idx="3">
                  <c:v>6180.8768235309117</c:v>
                </c:pt>
                <c:pt idx="4">
                  <c:v>6180.8768235309117</c:v>
                </c:pt>
                <c:pt idx="5">
                  <c:v>6180.8768235309117</c:v>
                </c:pt>
                <c:pt idx="6">
                  <c:v>6180.8768235309117</c:v>
                </c:pt>
                <c:pt idx="7">
                  <c:v>6180.8768235309117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FF-4773-9EF6-ABE636A80A16}"/>
            </c:ext>
          </c:extLst>
        </c:ser>
        <c:ser>
          <c:idx val="3"/>
          <c:order val="3"/>
          <c:tx>
            <c:strRef>
              <c:f>'E19'!$C$6</c:f>
              <c:strCache>
                <c:ptCount val="1"/>
                <c:pt idx="0">
                  <c:v>B2B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'E19'!$A$7:$A$14</c:f>
              <c:strCache>
                <c:ptCount val="8"/>
                <c:pt idx="0">
                  <c:v>Aurora Centro</c:v>
                </c:pt>
                <c:pt idx="1">
                  <c:v>Porto Sereno</c:v>
                </c:pt>
                <c:pt idx="2">
                  <c:v>Campo Dourado</c:v>
                </c:pt>
                <c:pt idx="3">
                  <c:v>Aurora Norte</c:v>
                </c:pt>
                <c:pt idx="4">
                  <c:v>Lago Prateado</c:v>
                </c:pt>
                <c:pt idx="5">
                  <c:v>Serra Clara</c:v>
                </c:pt>
                <c:pt idx="6">
                  <c:v>Monte Alvorada</c:v>
                </c:pt>
                <c:pt idx="7">
                  <c:v>Rio Turquesa</c:v>
                </c:pt>
              </c:strCache>
            </c:strRef>
          </c:cat>
          <c:val>
            <c:numRef>
              <c:f>_ThinQQ!$E$295:$E$302</c:f>
              <c:numCache>
                <c:formatCode>General</c:formatCode>
                <c:ptCount val="8"/>
                <c:pt idx="0">
                  <c:v>11271</c:v>
                </c:pt>
                <c:pt idx="1">
                  <c:v>5027</c:v>
                </c:pt>
                <c:pt idx="2">
                  <c:v>5485</c:v>
                </c:pt>
                <c:pt idx="3">
                  <c:v>5317</c:v>
                </c:pt>
                <c:pt idx="4">
                  <c:v>3071</c:v>
                </c:pt>
                <c:pt idx="5">
                  <c:v>6458</c:v>
                </c:pt>
                <c:pt idx="6">
                  <c:v>3094</c:v>
                </c:pt>
                <c:pt idx="7">
                  <c:v>3199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FF-4773-9EF6-ABE636A80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64335608"/>
        <c:axId val="564336688"/>
      </c:barChart>
      <c:scatterChart>
        <c:scatterStyle val="lineMarker"/>
        <c:varyColors val="0"/>
        <c:ser>
          <c:idx val="4"/>
          <c:order val="4"/>
          <c:tx>
            <c:v>tqq_sym</c:v>
          </c:tx>
          <c:spPr>
            <a:ln w="19050">
              <a:noFill/>
            </a:ln>
          </c:spPr>
          <c:marker>
            <c:symbol val="none"/>
          </c:marker>
          <c:xVal>
            <c:numRef>
              <c:f>_ThinQQ!$F$293:$G$293</c:f>
              <c:numCache>
                <c:formatCode>General</c:formatCode>
                <c:ptCount val="2"/>
                <c:pt idx="0">
                  <c:v>-22238.876823530911</c:v>
                </c:pt>
                <c:pt idx="1">
                  <c:v>22238.876823530911</c:v>
                </c:pt>
              </c:numCache>
            </c:numRef>
          </c:xVal>
          <c:yVal>
            <c:numRef>
              <c:f>_ThinQQ!$H$293:$I$293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FF-4773-9EF6-ABE636A80A16}"/>
            </c:ext>
          </c:extLst>
        </c:ser>
        <c:ser>
          <c:idx val="5"/>
          <c:order val="5"/>
          <c:tx>
            <c:v>tqq_cat</c:v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_ThinQQ!$A$295</c:f>
                  <c:strCache>
                    <c:ptCount val="1"/>
                    <c:pt idx="0">
                      <c:v>Aurora Centro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{D986345D-8D52-41F8-9FFD-92B564A8708B}</c15:txfldGUID>
                      <c15:f>_ThinQQ!$A$295</c15:f>
                      <c15:dlblFieldTableCache>
                        <c:ptCount val="1"/>
                        <c:pt idx="0">
                          <c:v>Aurora Centro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0BFF-4773-9EF6-ABE636A80A16}"/>
                </c:ext>
              </c:extLst>
            </c:dLbl>
            <c:dLbl>
              <c:idx val="1"/>
              <c:tx>
                <c:strRef>
                  <c:f>_ThinQQ!$A$296</c:f>
                  <c:strCache>
                    <c:ptCount val="1"/>
                    <c:pt idx="0">
                      <c:v>Porto Sereno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{04410E83-5AA5-4DD9-82A1-F78D867990D8}</c15:txfldGUID>
                      <c15:f>_ThinQQ!$A$296</c15:f>
                      <c15:dlblFieldTableCache>
                        <c:ptCount val="1"/>
                        <c:pt idx="0">
                          <c:v>Porto Sereno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BFF-4773-9EF6-ABE636A80A16}"/>
                </c:ext>
              </c:extLst>
            </c:dLbl>
            <c:dLbl>
              <c:idx val="2"/>
              <c:tx>
                <c:strRef>
                  <c:f>_ThinQQ!$A$297</c:f>
                  <c:strCache>
                    <c:ptCount val="1"/>
                    <c:pt idx="0">
                      <c:v>Campo Dourado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{6E410976-C3C8-4D2F-9404-93095253E062}</c15:txfldGUID>
                      <c15:f>_ThinQQ!$A$297</c15:f>
                      <c15:dlblFieldTableCache>
                        <c:ptCount val="1"/>
                        <c:pt idx="0">
                          <c:v>Campo Dourado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BFF-4773-9EF6-ABE636A80A16}"/>
                </c:ext>
              </c:extLst>
            </c:dLbl>
            <c:dLbl>
              <c:idx val="3"/>
              <c:tx>
                <c:strRef>
                  <c:f>_ThinQQ!$A$298</c:f>
                  <c:strCache>
                    <c:ptCount val="1"/>
                    <c:pt idx="0">
                      <c:v>Aurora Norte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{B6D43D63-82A7-472F-95AD-A44800D5007F}</c15:txfldGUID>
                      <c15:f>_ThinQQ!$A$298</c15:f>
                      <c15:dlblFieldTableCache>
                        <c:ptCount val="1"/>
                        <c:pt idx="0">
                          <c:v>Aurora Norte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BFF-4773-9EF6-ABE636A80A16}"/>
                </c:ext>
              </c:extLst>
            </c:dLbl>
            <c:dLbl>
              <c:idx val="4"/>
              <c:tx>
                <c:strRef>
                  <c:f>_ThinQQ!$A$299</c:f>
                  <c:strCache>
                    <c:ptCount val="1"/>
                    <c:pt idx="0">
                      <c:v>Lago Prateado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{7116A107-EE2E-40DD-B61E-FEE5B845EDCD}</c15:txfldGUID>
                      <c15:f>_ThinQQ!$A$299</c15:f>
                      <c15:dlblFieldTableCache>
                        <c:ptCount val="1"/>
                        <c:pt idx="0">
                          <c:v>Lago Prateado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BFF-4773-9EF6-ABE636A80A16}"/>
                </c:ext>
              </c:extLst>
            </c:dLbl>
            <c:dLbl>
              <c:idx val="5"/>
              <c:tx>
                <c:strRef>
                  <c:f>_ThinQQ!$A$300</c:f>
                  <c:strCache>
                    <c:ptCount val="1"/>
                    <c:pt idx="0">
                      <c:v>Serra Clara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{1AB7D640-B60A-4877-A95C-6F6120CAF7DE}</c15:txfldGUID>
                      <c15:f>_ThinQQ!$A$300</c15:f>
                      <c15:dlblFieldTableCache>
                        <c:ptCount val="1"/>
                        <c:pt idx="0">
                          <c:v>Serra Clara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0BFF-4773-9EF6-ABE636A80A16}"/>
                </c:ext>
              </c:extLst>
            </c:dLbl>
            <c:dLbl>
              <c:idx val="6"/>
              <c:tx>
                <c:strRef>
                  <c:f>_ThinQQ!$A$301</c:f>
                  <c:strCache>
                    <c:ptCount val="1"/>
                    <c:pt idx="0">
                      <c:v>Monte Alvorada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{33A9FB32-6A32-46E9-9CFC-BC6E9CEAC052}</c15:txfldGUID>
                      <c15:f>_ThinQQ!$A$301</c15:f>
                      <c15:dlblFieldTableCache>
                        <c:ptCount val="1"/>
                        <c:pt idx="0">
                          <c:v>Monte Alvorada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0BFF-4773-9EF6-ABE636A80A16}"/>
                </c:ext>
              </c:extLst>
            </c:dLbl>
            <c:dLbl>
              <c:idx val="7"/>
              <c:tx>
                <c:strRef>
                  <c:f>_ThinQQ!$A$302</c:f>
                  <c:strCache>
                    <c:ptCount val="1"/>
                    <c:pt idx="0">
                      <c:v>Rio Turquesa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{E26B2A12-CBF0-4553-99FA-D26038F9EA9C}</c15:txfldGUID>
                      <c15:f>_ThinQQ!$A$302</c15:f>
                      <c15:dlblFieldTableCache>
                        <c:ptCount val="1"/>
                        <c:pt idx="0">
                          <c:v>Rio Turquesa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0BFF-4773-9EF6-ABE636A80A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_ThinQQ!$I$295:$I$302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_ThinQQ!$J$295:$J$302</c:f>
              <c:numCache>
                <c:formatCode>General</c:formatCode>
                <c:ptCount val="8"/>
                <c:pt idx="0">
                  <c:v>7.5</c:v>
                </c:pt>
                <c:pt idx="1">
                  <c:v>6.5</c:v>
                </c:pt>
                <c:pt idx="2">
                  <c:v>5.5</c:v>
                </c:pt>
                <c:pt idx="3">
                  <c:v>4.5</c:v>
                </c:pt>
                <c:pt idx="4">
                  <c:v>3.5</c:v>
                </c:pt>
                <c:pt idx="5">
                  <c:v>2.5</c:v>
                </c:pt>
                <c:pt idx="6">
                  <c:v>1.5</c:v>
                </c:pt>
                <c:pt idx="7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FF-4773-9EF6-ABE636A80A16}"/>
            </c:ext>
          </c:extLst>
        </c:ser>
        <c:ser>
          <c:idx val="6"/>
          <c:order val="6"/>
          <c:tx>
            <c:v>tqq_total</c:v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_ThinQQ!$B$295</c:f>
                  <c:strCache>
                    <c:ptCount val="1"/>
                    <c:pt idx="0">
                      <c:v>26.200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{D4DD847B-FBEF-41A5-B9E7-951CB756CE27}</c15:txfldGUID>
                      <c15:f>_ThinQQ!$B$295</c15:f>
                      <c15:dlblFieldTableCache>
                        <c:ptCount val="1"/>
                        <c:pt idx="0">
                          <c:v>26.200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0BFF-4773-9EF6-ABE636A80A16}"/>
                </c:ext>
              </c:extLst>
            </c:dLbl>
            <c:dLbl>
              <c:idx val="1"/>
              <c:tx>
                <c:strRef>
                  <c:f>_ThinQQ!$B$296</c:f>
                  <c:strCache>
                    <c:ptCount val="1"/>
                    <c:pt idx="0">
                      <c:v>21.085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{89E86D02-94EA-4A52-A89B-A10267324DBB}</c15:txfldGUID>
                      <c15:f>_ThinQQ!$B$296</c15:f>
                      <c15:dlblFieldTableCache>
                        <c:ptCount val="1"/>
                        <c:pt idx="0">
                          <c:v>21.085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0BFF-4773-9EF6-ABE636A80A16}"/>
                </c:ext>
              </c:extLst>
            </c:dLbl>
            <c:dLbl>
              <c:idx val="2"/>
              <c:tx>
                <c:strRef>
                  <c:f>_ThinQQ!$B$297</c:f>
                  <c:strCache>
                    <c:ptCount val="1"/>
                    <c:pt idx="0">
                      <c:v>17.656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{FBBE1B1F-E0D6-435E-AD94-DD7097A035F9}</c15:txfldGUID>
                      <c15:f>_ThinQQ!$B$297</c15:f>
                      <c15:dlblFieldTableCache>
                        <c:ptCount val="1"/>
                        <c:pt idx="0">
                          <c:v>17.656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0BFF-4773-9EF6-ABE636A80A16}"/>
                </c:ext>
              </c:extLst>
            </c:dLbl>
            <c:dLbl>
              <c:idx val="3"/>
              <c:tx>
                <c:strRef>
                  <c:f>_ThinQQ!$B$298</c:f>
                  <c:strCache>
                    <c:ptCount val="1"/>
                    <c:pt idx="0">
                      <c:v>16.064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{92C021EF-B57F-4040-A3AD-96AE04656FC4}</c15:txfldGUID>
                      <c15:f>_ThinQQ!$B$298</c15:f>
                      <c15:dlblFieldTableCache>
                        <c:ptCount val="1"/>
                        <c:pt idx="0">
                          <c:v>16.064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0BFF-4773-9EF6-ABE636A80A16}"/>
                </c:ext>
              </c:extLst>
            </c:dLbl>
            <c:dLbl>
              <c:idx val="4"/>
              <c:tx>
                <c:strRef>
                  <c:f>_ThinQQ!$B$299</c:f>
                  <c:strCache>
                    <c:ptCount val="1"/>
                    <c:pt idx="0">
                      <c:v>14.532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{76FF8200-7262-4281-9A45-55EFEBBD0C82}</c15:txfldGUID>
                      <c15:f>_ThinQQ!$B$299</c15:f>
                      <c15:dlblFieldTableCache>
                        <c:ptCount val="1"/>
                        <c:pt idx="0">
                          <c:v>14.532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0BFF-4773-9EF6-ABE636A80A16}"/>
                </c:ext>
              </c:extLst>
            </c:dLbl>
            <c:dLbl>
              <c:idx val="5"/>
              <c:tx>
                <c:strRef>
                  <c:f>_ThinQQ!$B$300</c:f>
                  <c:strCache>
                    <c:ptCount val="1"/>
                    <c:pt idx="0">
                      <c:v>13.820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{6CF2764E-6C78-40B6-A045-85B4ED5F84E0}</c15:txfldGUID>
                      <c15:f>_ThinQQ!$B$300</c15:f>
                      <c15:dlblFieldTableCache>
                        <c:ptCount val="1"/>
                        <c:pt idx="0">
                          <c:v>13.820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0BFF-4773-9EF6-ABE636A80A16}"/>
                </c:ext>
              </c:extLst>
            </c:dLbl>
            <c:dLbl>
              <c:idx val="6"/>
              <c:tx>
                <c:strRef>
                  <c:f>_ThinQQ!$B$301</c:f>
                  <c:strCache>
                    <c:ptCount val="1"/>
                    <c:pt idx="0">
                      <c:v>10.918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{5F64612C-E29F-4296-815F-2D66D9E1F47C}</c15:txfldGUID>
                      <c15:f>_ThinQQ!$B$301</c15:f>
                      <c15:dlblFieldTableCache>
                        <c:ptCount val="1"/>
                        <c:pt idx="0">
                          <c:v>10.918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0BFF-4773-9EF6-ABE636A80A16}"/>
                </c:ext>
              </c:extLst>
            </c:dLbl>
            <c:dLbl>
              <c:idx val="7"/>
              <c:tx>
                <c:strRef>
                  <c:f>_ThinQQ!$B$302</c:f>
                  <c:strCache>
                    <c:ptCount val="1"/>
                    <c:pt idx="0">
                      <c:v>9.435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{FE84C5F3-D9B3-4ED5-8C2E-F5D3CB5C779A}</c15:txfldGUID>
                      <c15:f>_ThinQQ!$B$302</c15:f>
                      <c15:dlblFieldTableCache>
                        <c:ptCount val="1"/>
                        <c:pt idx="0">
                          <c:v>9.435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0BFF-4773-9EF6-ABE636A80A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_ThinQQ!$C$295:$C$302</c:f>
              <c:numCache>
                <c:formatCode>General</c:formatCode>
                <c:ptCount val="8"/>
                <c:pt idx="0">
                  <c:v>17451.876823530911</c:v>
                </c:pt>
                <c:pt idx="1">
                  <c:v>11207.876823530911</c:v>
                </c:pt>
                <c:pt idx="2">
                  <c:v>11665.876823530911</c:v>
                </c:pt>
                <c:pt idx="3">
                  <c:v>11497.876823530911</c:v>
                </c:pt>
                <c:pt idx="4">
                  <c:v>9251.8768235309108</c:v>
                </c:pt>
                <c:pt idx="5">
                  <c:v>12638.876823530911</c:v>
                </c:pt>
                <c:pt idx="6">
                  <c:v>9274.8768235309108</c:v>
                </c:pt>
                <c:pt idx="7">
                  <c:v>9379.8768235309108</c:v>
                </c:pt>
              </c:numCache>
            </c:numRef>
          </c:xVal>
          <c:yVal>
            <c:numRef>
              <c:f>_ThinQQ!$J$295:$J$302</c:f>
              <c:numCache>
                <c:formatCode>General</c:formatCode>
                <c:ptCount val="8"/>
                <c:pt idx="0">
                  <c:v>7.5</c:v>
                </c:pt>
                <c:pt idx="1">
                  <c:v>6.5</c:v>
                </c:pt>
                <c:pt idx="2">
                  <c:v>5.5</c:v>
                </c:pt>
                <c:pt idx="3">
                  <c:v>4.5</c:v>
                </c:pt>
                <c:pt idx="4">
                  <c:v>3.5</c:v>
                </c:pt>
                <c:pt idx="5">
                  <c:v>2.5</c:v>
                </c:pt>
                <c:pt idx="6">
                  <c:v>1.5</c:v>
                </c:pt>
                <c:pt idx="7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BFF-4773-9EF6-ABE636A80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348568"/>
        <c:axId val="564355408"/>
      </c:scatterChart>
      <c:catAx>
        <c:axId val="5643356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A6A6A6"/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64336688"/>
        <c:crosses val="autoZero"/>
        <c:auto val="0"/>
        <c:lblAlgn val="ctr"/>
        <c:lblOffset val="100"/>
        <c:noMultiLvlLbl val="0"/>
      </c:catAx>
      <c:valAx>
        <c:axId val="56433668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64335608"/>
        <c:crosses val="autoZero"/>
        <c:crossBetween val="between"/>
      </c:valAx>
      <c:valAx>
        <c:axId val="564355408"/>
        <c:scaling>
          <c:orientation val="minMax"/>
          <c:max val="8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64348568"/>
        <c:crosses val="max"/>
        <c:crossBetween val="midCat"/>
      </c:valAx>
      <c:valAx>
        <c:axId val="564348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55408"/>
        <c:crossBetween val="midCat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Margem bruta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c:spPr>
          </c:marker>
          <c:dLbls>
            <c:dLbl>
              <c:idx val="0"/>
              <c:tx>
                <c:strRef>
                  <c:f>_ThinQQ!$A$306</c:f>
                  <c:strCache>
                    <c:ptCount val="1"/>
                    <c:pt idx="0">
                      <c:v>Aurora Centro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{5B3771F5-9511-4C82-AE91-B2001DE0CB87}</c15:txfldGUID>
                      <c15:f>_ThinQQ!$A$306</c15:f>
                      <c15:dlblFieldTableCache>
                        <c:ptCount val="1"/>
                        <c:pt idx="0">
                          <c:v>Aurora Centro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6D11-4294-831C-F7F00A0EDCFB}"/>
                </c:ext>
              </c:extLst>
            </c:dLbl>
            <c:dLbl>
              <c:idx val="1"/>
              <c:tx>
                <c:strRef>
                  <c:f>_ThinQQ!$A$307</c:f>
                  <c:strCache>
                    <c:ptCount val="1"/>
                    <c:pt idx="0">
                      <c:v>Porto Sereno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{3798F6FE-E65E-4DC1-8A21-58EB7F53863E}</c15:txfldGUID>
                      <c15:f>_ThinQQ!$A$307</c15:f>
                      <c15:dlblFieldTableCache>
                        <c:ptCount val="1"/>
                        <c:pt idx="0">
                          <c:v>Porto Sereno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D11-4294-831C-F7F00A0EDCFB}"/>
                </c:ext>
              </c:extLst>
            </c:dLbl>
            <c:dLbl>
              <c:idx val="2"/>
              <c:tx>
                <c:strRef>
                  <c:f>_ThinQQ!$A$308</c:f>
                  <c:strCache>
                    <c:ptCount val="1"/>
                    <c:pt idx="0">
                      <c:v>Campo Dourado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{11C59D9A-E307-4122-89B9-58B83ED5EA14}</c15:txfldGUID>
                      <c15:f>_ThinQQ!$A$308</c15:f>
                      <c15:dlblFieldTableCache>
                        <c:ptCount val="1"/>
                        <c:pt idx="0">
                          <c:v>Campo Dourado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6D11-4294-831C-F7F00A0EDCFB}"/>
                </c:ext>
              </c:extLst>
            </c:dLbl>
            <c:dLbl>
              <c:idx val="3"/>
              <c:tx>
                <c:strRef>
                  <c:f>_ThinQQ!$A$309</c:f>
                  <c:strCache>
                    <c:ptCount val="1"/>
                    <c:pt idx="0">
                      <c:v>Aurora Norte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{B9D85220-90A1-40A0-A1A7-539F151A386A}</c15:txfldGUID>
                      <c15:f>_ThinQQ!$A$309</c15:f>
                      <c15:dlblFieldTableCache>
                        <c:ptCount val="1"/>
                        <c:pt idx="0">
                          <c:v>Aurora Norte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6D11-4294-831C-F7F00A0EDCFB}"/>
                </c:ext>
              </c:extLst>
            </c:dLbl>
            <c:dLbl>
              <c:idx val="4"/>
              <c:tx>
                <c:strRef>
                  <c:f>_ThinQQ!$A$310</c:f>
                  <c:strCache>
                    <c:ptCount val="1"/>
                    <c:pt idx="0">
                      <c:v>Lago Prateado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{4B5B3C15-A5DB-47DB-8E1D-998BEB85EA6C}</c15:txfldGUID>
                      <c15:f>_ThinQQ!$A$310</c15:f>
                      <c15:dlblFieldTableCache>
                        <c:ptCount val="1"/>
                        <c:pt idx="0">
                          <c:v>Lago Prateado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6D11-4294-831C-F7F00A0EDCFB}"/>
                </c:ext>
              </c:extLst>
            </c:dLbl>
            <c:dLbl>
              <c:idx val="5"/>
              <c:tx>
                <c:strRef>
                  <c:f>_ThinQQ!$A$311</c:f>
                  <c:strCache>
                    <c:ptCount val="1"/>
                    <c:pt idx="0">
                      <c:v>Serra Clara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{5F8694AF-EC09-41D4-B806-8C18D06FC90A}</c15:txfldGUID>
                      <c15:f>_ThinQQ!$A$311</c15:f>
                      <c15:dlblFieldTableCache>
                        <c:ptCount val="1"/>
                        <c:pt idx="0">
                          <c:v>Serra Clara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6D11-4294-831C-F7F00A0EDCFB}"/>
                </c:ext>
              </c:extLst>
            </c:dLbl>
            <c:dLbl>
              <c:idx val="6"/>
              <c:tx>
                <c:strRef>
                  <c:f>_ThinQQ!$A$312</c:f>
                  <c:strCache>
                    <c:ptCount val="1"/>
                    <c:pt idx="0">
                      <c:v>Monte Alvorada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{6A3BC86F-5F93-4370-ADDA-20D5FB3203B2}</c15:txfldGUID>
                      <c15:f>_ThinQQ!$A$312</c15:f>
                      <c15:dlblFieldTableCache>
                        <c:ptCount val="1"/>
                        <c:pt idx="0">
                          <c:v>Monte Alvorada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6D11-4294-831C-F7F00A0EDCFB}"/>
                </c:ext>
              </c:extLst>
            </c:dLbl>
            <c:dLbl>
              <c:idx val="7"/>
              <c:tx>
                <c:strRef>
                  <c:f>_ThinQQ!$A$313</c:f>
                  <c:strCache>
                    <c:ptCount val="1"/>
                    <c:pt idx="0">
                      <c:v>Rio Turquesa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{15AE3DC3-DC9D-41A9-8787-78539CC2BB82}</c15:txfldGUID>
                      <c15:f>_ThinQQ!$A$313</c15:f>
                      <c15:dlblFieldTableCache>
                        <c:ptCount val="1"/>
                        <c:pt idx="0">
                          <c:v>Rio Turquesa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6D11-4294-831C-F7F00A0EDCF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1F3864"/>
                </a:solidFill>
                <a:prstDash val="dash"/>
              </a:ln>
            </c:spPr>
            <c:trendlineType val="linear"/>
            <c:dispRSqr val="0"/>
            <c:dispEq val="0"/>
          </c:trendline>
          <c:xVal>
            <c:numRef>
              <c:f>_ThinQQ!$F$306:$F$313</c:f>
              <c:numCache>
                <c:formatCode>General</c:formatCode>
                <c:ptCount val="8"/>
                <c:pt idx="0">
                  <c:v>286</c:v>
                </c:pt>
                <c:pt idx="1">
                  <c:v>252</c:v>
                </c:pt>
                <c:pt idx="2">
                  <c:v>269</c:v>
                </c:pt>
                <c:pt idx="3">
                  <c:v>274</c:v>
                </c:pt>
                <c:pt idx="4">
                  <c:v>244</c:v>
                </c:pt>
                <c:pt idx="5">
                  <c:v>283</c:v>
                </c:pt>
                <c:pt idx="6">
                  <c:v>257</c:v>
                </c:pt>
                <c:pt idx="7">
                  <c:v>259</c:v>
                </c:pt>
              </c:numCache>
            </c:numRef>
          </c:xVal>
          <c:yVal>
            <c:numRef>
              <c:f>_ThinQQ!$G$306:$G$313</c:f>
              <c:numCache>
                <c:formatCode>General</c:formatCode>
                <c:ptCount val="8"/>
                <c:pt idx="0">
                  <c:v>0.312</c:v>
                </c:pt>
                <c:pt idx="1">
                  <c:v>0.33100000000000002</c:v>
                </c:pt>
                <c:pt idx="2">
                  <c:v>0.32</c:v>
                </c:pt>
                <c:pt idx="3">
                  <c:v>0.32600000000000001</c:v>
                </c:pt>
                <c:pt idx="4">
                  <c:v>0.33200000000000002</c:v>
                </c:pt>
                <c:pt idx="5">
                  <c:v>0.30099999999999999</c:v>
                </c:pt>
                <c:pt idx="6">
                  <c:v>0.31900000000000001</c:v>
                </c:pt>
                <c:pt idx="7">
                  <c:v>0.30599999999999999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11-4294-831C-F7F00A0ED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791568"/>
        <c:axId val="569789408"/>
      </c:scatterChart>
      <c:valAx>
        <c:axId val="569791568"/>
        <c:scaling>
          <c:orientation val="minMax"/>
          <c:max val="290"/>
          <c:min val="240"/>
        </c:scaling>
        <c:delete val="0"/>
        <c:axPos val="b"/>
        <c:title>
          <c:tx>
            <c:strRef>
              <c:f>'E20'!$B$6</c:f>
              <c:strCache>
                <c:ptCount val="1"/>
                <c:pt idx="0">
                  <c:v>Ticket médio (R$)</c:v>
                </c:pt>
              </c:strCache>
            </c:strRef>
          </c:tx>
          <c:overlay val="0"/>
          <c:txPr>
            <a:bodyPr/>
            <a:lstStyle/>
            <a:p>
              <a:pPr>
                <a:defRPr sz="900" b="0">
                  <a:solidFill>
                    <a:srgbClr val="595959"/>
                  </a:solidFill>
                </a:defRPr>
              </a:pPr>
              <a:endParaRPr lang="pt-BR"/>
            </a:p>
          </c:txPr>
        </c:title>
        <c:numFmt formatCode="#,##0" sourceLinked="0"/>
        <c:majorTickMark val="out"/>
        <c:minorTickMark val="none"/>
        <c:tickLblPos val="low"/>
        <c:spPr>
          <a:ln>
            <a:solidFill>
              <a:srgbClr val="A6A6A6"/>
            </a:solidFill>
            <a:prstDash val="dash"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pt-BR"/>
          </a:p>
        </c:txPr>
        <c:crossAx val="569789408"/>
        <c:crossesAt val="0.31837500000000002"/>
        <c:crossBetween val="midCat"/>
        <c:majorUnit val="10"/>
      </c:valAx>
      <c:valAx>
        <c:axId val="569789408"/>
        <c:scaling>
          <c:orientation val="minMax"/>
          <c:max val="0.33500000000000002"/>
          <c:min val="0.29499999999999998"/>
        </c:scaling>
        <c:delete val="0"/>
        <c:axPos val="l"/>
        <c:title>
          <c:tx>
            <c:strRef>
              <c:f>'E20'!$C$6</c:f>
              <c:strCache>
                <c:ptCount val="1"/>
                <c:pt idx="0">
                  <c:v>Margem bruta</c:v>
                </c:pt>
              </c:strCache>
            </c:strRef>
          </c:tx>
          <c:overlay val="0"/>
          <c:txPr>
            <a:bodyPr/>
            <a:lstStyle/>
            <a:p>
              <a:pPr>
                <a:defRPr sz="900" b="0">
                  <a:solidFill>
                    <a:srgbClr val="595959"/>
                  </a:solidFill>
                </a:defRPr>
              </a:pPr>
              <a:endParaRPr lang="pt-BR"/>
            </a:p>
          </c:txPr>
        </c:title>
        <c:numFmt formatCode="0.0%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A6A6A6"/>
            </a:solidFill>
            <a:prstDash val="dash"/>
            <a:round/>
          </a:ln>
          <a:effectLst/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pt-BR"/>
          </a:p>
        </c:txPr>
        <c:crossAx val="569791568"/>
        <c:crossesAt val="265.5"/>
        <c:crossBetween val="midCat"/>
        <c:majorUnit val="5.0000000000000001E-3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v>Construção</c:v>
          </c:tx>
          <c:spPr>
            <a:solidFill>
              <a:srgbClr val="1F3864"/>
            </a:solidFill>
            <a:ln w="12700">
              <a:solidFill>
                <a:srgbClr val="FFFFFF"/>
              </a:solidFill>
            </a:ln>
          </c:spPr>
          <c:invertIfNegative val="0"/>
          <c:dLbls>
            <c:dLbl>
              <c:idx val="0"/>
              <c:tx>
                <c:strRef>
                  <c:f>_ThinQQ!$A$317</c:f>
                  <c:strCache>
                    <c:ptCount val="1"/>
                    <c:pt idx="0">
                      <c:v>Cimento e argamassa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{606A277F-6076-4BCA-859D-E5C04EADD19A}</c15:txfldGUID>
                      <c15:f>_ThinQQ!$A$317</c15:f>
                      <c15:dlblFieldTableCache>
                        <c:ptCount val="1"/>
                        <c:pt idx="0">
                          <c:v>Cimento e argamassa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CA83-487B-84A6-DA19585457B9}"/>
                </c:ext>
              </c:extLst>
            </c:dLbl>
            <c:dLbl>
              <c:idx val="1"/>
              <c:tx>
                <c:strRef>
                  <c:f>_ThinQQ!$A$318</c:f>
                  <c:strCache>
                    <c:ptCount val="1"/>
                    <c:pt idx="0">
                      <c:v>Pisos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{6A3AD8BB-5E51-4D63-A992-20C6350ECC99}</c15:txfldGUID>
                      <c15:f>_ThinQQ!$A$318</c15:f>
                      <c15:dlblFieldTableCache>
                        <c:ptCount val="1"/>
                        <c:pt idx="0">
                          <c:v>Pisos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CA83-487B-84A6-DA19585457B9}"/>
                </c:ext>
              </c:extLst>
            </c:dLbl>
            <c:dLbl>
              <c:idx val="2"/>
              <c:tx>
                <c:strRef>
                  <c:f>_ThinQQ!$A$319</c:f>
                  <c:strCache>
                    <c:ptCount val="1"/>
                    <c:pt idx="0">
                      <c:v>Tintas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{12594307-806B-48DB-9CFA-D5C92DCF1135}</c15:txfldGUID>
                      <c15:f>_ThinQQ!$A$319</c15:f>
                      <c15:dlblFieldTableCache>
                        <c:ptCount val="1"/>
                        <c:pt idx="0">
                          <c:v>Tintas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CA83-487B-84A6-DA19585457B9}"/>
                </c:ext>
              </c:extLst>
            </c:dLbl>
            <c:dLbl>
              <c:idx val="3"/>
              <c:tx>
                <c:strRef>
                  <c:f>_ThinQQ!$A$320</c:f>
                  <c:strCache>
                    <c:ptCount val="1"/>
                    <c:pt idx="0">
                      <c:v>Hidráulica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{6047CD89-FEBF-4945-B90A-96E24E6C258E}</c15:txfldGUID>
                      <c15:f>_ThinQQ!$A$320</c15:f>
                      <c15:dlblFieldTableCache>
                        <c:ptCount val="1"/>
                        <c:pt idx="0">
                          <c:v>Hidráulica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CA83-487B-84A6-DA19585457B9}"/>
                </c:ext>
              </c:extLst>
            </c:dLbl>
            <c:dLbl>
              <c:idx val="4"/>
              <c:tx>
                <c:strRef>
                  <c:f>_ThinQQ!$A$321</c:f>
                  <c:strCache>
                    <c:ptCount val="1"/>
                    <c:pt idx="0">
                      <c:v>Elétrica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{91BC4C31-FC49-40AA-9448-3162C75273BF}</c15:txfldGUID>
                      <c15:f>_ThinQQ!$A$321</c15:f>
                      <c15:dlblFieldTableCache>
                        <c:ptCount val="1"/>
                        <c:pt idx="0">
                          <c:v>Elétrica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CA83-487B-84A6-DA19585457B9}"/>
                </c:ext>
              </c:extLst>
            </c:dLbl>
            <c:dLbl>
              <c:idx val="5"/>
              <c:tx>
                <c:strRef>
                  <c:f>_ThinQQ!$A$322</c:f>
                  <c:strCache>
                    <c:ptCount val="1"/>
                    <c:pt idx="0">
                      <c:v>Madeiras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{C2D8A66E-4E96-4940-B900-B73C83F0EB47}</c15:txfldGUID>
                      <c15:f>_ThinQQ!$A$322</c15:f>
                      <c15:dlblFieldTableCache>
                        <c:ptCount val="1"/>
                        <c:pt idx="0">
                          <c:v>Madeiras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CA83-487B-84A6-DA19585457B9}"/>
                </c:ext>
              </c:extLst>
            </c:dLbl>
            <c:dLbl>
              <c:idx val="6"/>
              <c:tx>
                <c:strRef>
                  <c:f>_ThinQQ!$A$323</c:f>
                  <c:strCache>
                    <c:ptCount val="1"/>
                    <c:pt idx="0">
                      <c:v>Ferramentas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{28B0AB41-74BF-440F-97B5-784AF224EC70}</c15:txfldGUID>
                      <c15:f>_ThinQQ!$A$323</c15:f>
                      <c15:dlblFieldTableCache>
                        <c:ptCount val="1"/>
                        <c:pt idx="0">
                          <c:v>Ferramentas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CA83-487B-84A6-DA19585457B9}"/>
                </c:ext>
              </c:extLst>
            </c:dLbl>
            <c:dLbl>
              <c:idx val="7"/>
              <c:tx>
                <c:strRef>
                  <c:f>_ThinQQ!$A$324</c:f>
                  <c:strCache>
                    <c:ptCount val="1"/>
                    <c:pt idx="0">
                      <c:v>Ferragens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{BEB320F9-3644-4C70-A022-321600724886}</c15:txfldGUID>
                      <c15:f>_ThinQQ!$A$324</c15:f>
                      <c15:dlblFieldTableCache>
                        <c:ptCount val="1"/>
                        <c:pt idx="0">
                          <c:v>Ferragens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CA83-487B-84A6-DA19585457B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_ThinQQ!$F$317:$F$324</c:f>
              <c:numCache>
                <c:formatCode>General</c:formatCode>
                <c:ptCount val="8"/>
                <c:pt idx="0">
                  <c:v>418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377</c:v>
                </c:pt>
                <c:pt idx="6">
                  <c:v>#N/A</c:v>
                </c:pt>
                <c:pt idx="7">
                  <c:v>74</c:v>
                </c:pt>
              </c:numCache>
            </c:numRef>
          </c:xVal>
          <c:yVal>
            <c:numRef>
              <c:f>_ThinQQ!$I$317:$I$324</c:f>
              <c:numCache>
                <c:formatCode>General</c:formatCode>
                <c:ptCount val="8"/>
                <c:pt idx="0">
                  <c:v>0.221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0.29099999999999998</c:v>
                </c:pt>
                <c:pt idx="6">
                  <c:v>#N/A</c:v>
                </c:pt>
                <c:pt idx="7">
                  <c:v>0.46100000000000002</c:v>
                </c:pt>
              </c:numCache>
            </c:numRef>
          </c:yVal>
          <c:bubbleSize>
            <c:numRef>
              <c:f>_ThinQQ!$L$317:$L$324</c:f>
              <c:numCache>
                <c:formatCode>General</c:formatCode>
                <c:ptCount val="8"/>
                <c:pt idx="0">
                  <c:v>43324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9250</c:v>
                </c:pt>
                <c:pt idx="6">
                  <c:v>#N/A</c:v>
                </c:pt>
                <c:pt idx="7">
                  <c:v>5488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CA83-487B-84A6-DA19585457B9}"/>
            </c:ext>
          </c:extLst>
        </c:ser>
        <c:ser>
          <c:idx val="1"/>
          <c:order val="1"/>
          <c:tx>
            <c:v>Acabamento</c:v>
          </c:tx>
          <c:spPr>
            <a:solidFill>
              <a:srgbClr val="4472C4"/>
            </a:solidFill>
            <a:ln w="12700">
              <a:solidFill>
                <a:srgbClr val="FFFFFF"/>
              </a:solidFill>
            </a:ln>
          </c:spPr>
          <c:invertIfNegative val="0"/>
          <c:dLbls>
            <c:dLbl>
              <c:idx val="0"/>
              <c:tx>
                <c:strRef>
                  <c:f>_ThinQQ!$A$317</c:f>
                  <c:strCache>
                    <c:ptCount val="1"/>
                    <c:pt idx="0">
                      <c:v>Cimento e argamassa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{7DE5C77E-9E84-4B6D-92F4-9BDC17B45410}</c15:txfldGUID>
                      <c15:f>_ThinQQ!$A$317</c15:f>
                      <c15:dlblFieldTableCache>
                        <c:ptCount val="1"/>
                        <c:pt idx="0">
                          <c:v>Cimento e argamassa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CA83-487B-84A6-DA19585457B9}"/>
                </c:ext>
              </c:extLst>
            </c:dLbl>
            <c:dLbl>
              <c:idx val="1"/>
              <c:tx>
                <c:strRef>
                  <c:f>_ThinQQ!$A$318</c:f>
                  <c:strCache>
                    <c:ptCount val="1"/>
                    <c:pt idx="0">
                      <c:v>Pisos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{F716E31E-AC3A-4A7E-B53A-D397FFAD0080}</c15:txfldGUID>
                      <c15:f>_ThinQQ!$A$318</c15:f>
                      <c15:dlblFieldTableCache>
                        <c:ptCount val="1"/>
                        <c:pt idx="0">
                          <c:v>Pisos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CA83-487B-84A6-DA19585457B9}"/>
                </c:ext>
              </c:extLst>
            </c:dLbl>
            <c:dLbl>
              <c:idx val="2"/>
              <c:tx>
                <c:strRef>
                  <c:f>_ThinQQ!$A$319</c:f>
                  <c:strCache>
                    <c:ptCount val="1"/>
                    <c:pt idx="0">
                      <c:v>Tintas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{9BE012E9-A007-41DF-B153-18840A64E8FB}</c15:txfldGUID>
                      <c15:f>_ThinQQ!$A$319</c15:f>
                      <c15:dlblFieldTableCache>
                        <c:ptCount val="1"/>
                        <c:pt idx="0">
                          <c:v>Tintas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CA83-487B-84A6-DA19585457B9}"/>
                </c:ext>
              </c:extLst>
            </c:dLbl>
            <c:dLbl>
              <c:idx val="3"/>
              <c:tx>
                <c:strRef>
                  <c:f>_ThinQQ!$A$320</c:f>
                  <c:strCache>
                    <c:ptCount val="1"/>
                    <c:pt idx="0">
                      <c:v>Hidráulica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{A131FDD4-EBBB-4A7B-8E09-10AB292BA420}</c15:txfldGUID>
                      <c15:f>_ThinQQ!$A$320</c15:f>
                      <c15:dlblFieldTableCache>
                        <c:ptCount val="1"/>
                        <c:pt idx="0">
                          <c:v>Hidráulica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CA83-487B-84A6-DA19585457B9}"/>
                </c:ext>
              </c:extLst>
            </c:dLbl>
            <c:dLbl>
              <c:idx val="4"/>
              <c:tx>
                <c:strRef>
                  <c:f>_ThinQQ!$A$321</c:f>
                  <c:strCache>
                    <c:ptCount val="1"/>
                    <c:pt idx="0">
                      <c:v>Elétrica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{86909041-0A6A-425E-9938-DB1021C5338A}</c15:txfldGUID>
                      <c15:f>_ThinQQ!$A$321</c15:f>
                      <c15:dlblFieldTableCache>
                        <c:ptCount val="1"/>
                        <c:pt idx="0">
                          <c:v>Elétrica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CA83-487B-84A6-DA19585457B9}"/>
                </c:ext>
              </c:extLst>
            </c:dLbl>
            <c:dLbl>
              <c:idx val="5"/>
              <c:tx>
                <c:strRef>
                  <c:f>_ThinQQ!$A$322</c:f>
                  <c:strCache>
                    <c:ptCount val="1"/>
                    <c:pt idx="0">
                      <c:v>Madeiras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{931AFDC8-1174-4A90-86C9-077594BD2937}</c15:txfldGUID>
                      <c15:f>_ThinQQ!$A$322</c15:f>
                      <c15:dlblFieldTableCache>
                        <c:ptCount val="1"/>
                        <c:pt idx="0">
                          <c:v>Madeiras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CA83-487B-84A6-DA19585457B9}"/>
                </c:ext>
              </c:extLst>
            </c:dLbl>
            <c:dLbl>
              <c:idx val="6"/>
              <c:tx>
                <c:strRef>
                  <c:f>_ThinQQ!$A$323</c:f>
                  <c:strCache>
                    <c:ptCount val="1"/>
                    <c:pt idx="0">
                      <c:v>Ferramentas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{C30B45D1-2893-41DE-8F22-701157BA568C}</c15:txfldGUID>
                      <c15:f>_ThinQQ!$A$323</c15:f>
                      <c15:dlblFieldTableCache>
                        <c:ptCount val="1"/>
                        <c:pt idx="0">
                          <c:v>Ferramentas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CA83-487B-84A6-DA19585457B9}"/>
                </c:ext>
              </c:extLst>
            </c:dLbl>
            <c:dLbl>
              <c:idx val="7"/>
              <c:tx>
                <c:strRef>
                  <c:f>_ThinQQ!$A$324</c:f>
                  <c:strCache>
                    <c:ptCount val="1"/>
                    <c:pt idx="0">
                      <c:v>Ferragens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{C1EF530B-4182-4693-BCD0-DC1AB6F4F8A2}</c15:txfldGUID>
                      <c15:f>_ThinQQ!$A$324</c15:f>
                      <c15:dlblFieldTableCache>
                        <c:ptCount val="1"/>
                        <c:pt idx="0">
                          <c:v>Ferragens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CA83-487B-84A6-DA19585457B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_ThinQQ!$G$317:$G$324</c:f>
              <c:numCache>
                <c:formatCode>General</c:formatCode>
                <c:ptCount val="8"/>
                <c:pt idx="0">
                  <c:v>#N/A</c:v>
                </c:pt>
                <c:pt idx="1">
                  <c:v>696</c:v>
                </c:pt>
                <c:pt idx="2">
                  <c:v>361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xVal>
          <c:yVal>
            <c:numRef>
              <c:f>_ThinQQ!$J$317:$J$324</c:f>
              <c:numCache>
                <c:formatCode>General</c:formatCode>
                <c:ptCount val="8"/>
                <c:pt idx="0">
                  <c:v>#N/A</c:v>
                </c:pt>
                <c:pt idx="1">
                  <c:v>0.33800000000000002</c:v>
                </c:pt>
                <c:pt idx="2">
                  <c:v>0.38100000000000001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yVal>
          <c:bubbleSize>
            <c:numRef>
              <c:f>_ThinQQ!$M$317:$M$324</c:f>
              <c:numCache>
                <c:formatCode>General</c:formatCode>
                <c:ptCount val="8"/>
                <c:pt idx="0">
                  <c:v>#N/A</c:v>
                </c:pt>
                <c:pt idx="1">
                  <c:v>23770</c:v>
                </c:pt>
                <c:pt idx="2">
                  <c:v>15702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CA83-487B-84A6-DA19585457B9}"/>
            </c:ext>
          </c:extLst>
        </c:ser>
        <c:ser>
          <c:idx val="2"/>
          <c:order val="2"/>
          <c:tx>
            <c:v>Instalações</c:v>
          </c:tx>
          <c:spPr>
            <a:solidFill>
              <a:srgbClr val="9DC3E6"/>
            </a:solidFill>
            <a:ln w="12700">
              <a:solidFill>
                <a:srgbClr val="FFFFFF"/>
              </a:solidFill>
            </a:ln>
          </c:spPr>
          <c:invertIfNegative val="0"/>
          <c:dLbls>
            <c:dLbl>
              <c:idx val="0"/>
              <c:tx>
                <c:strRef>
                  <c:f>_ThinQQ!$A$317</c:f>
                  <c:strCache>
                    <c:ptCount val="1"/>
                    <c:pt idx="0">
                      <c:v>Cimento e argamassa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{7C62FBB5-44F0-4082-A4DB-21C2FFE7A089}</c15:txfldGUID>
                      <c15:f>_ThinQQ!$A$317</c15:f>
                      <c15:dlblFieldTableCache>
                        <c:ptCount val="1"/>
                        <c:pt idx="0">
                          <c:v>Cimento e argamassa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CA83-487B-84A6-DA19585457B9}"/>
                </c:ext>
              </c:extLst>
            </c:dLbl>
            <c:dLbl>
              <c:idx val="1"/>
              <c:tx>
                <c:strRef>
                  <c:f>_ThinQQ!$A$318</c:f>
                  <c:strCache>
                    <c:ptCount val="1"/>
                    <c:pt idx="0">
                      <c:v>Pisos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{A090BAB2-2FFA-4C9E-B470-DBC822BD9CA7}</c15:txfldGUID>
                      <c15:f>_ThinQQ!$A$318</c15:f>
                      <c15:dlblFieldTableCache>
                        <c:ptCount val="1"/>
                        <c:pt idx="0">
                          <c:v>Pisos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CA83-487B-84A6-DA19585457B9}"/>
                </c:ext>
              </c:extLst>
            </c:dLbl>
            <c:dLbl>
              <c:idx val="2"/>
              <c:tx>
                <c:strRef>
                  <c:f>_ThinQQ!$A$319</c:f>
                  <c:strCache>
                    <c:ptCount val="1"/>
                    <c:pt idx="0">
                      <c:v>Tintas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{84796BAE-5F18-4C5C-A617-C3203E8F87EA}</c15:txfldGUID>
                      <c15:f>_ThinQQ!$A$319</c15:f>
                      <c15:dlblFieldTableCache>
                        <c:ptCount val="1"/>
                        <c:pt idx="0">
                          <c:v>Tintas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CA83-487B-84A6-DA19585457B9}"/>
                </c:ext>
              </c:extLst>
            </c:dLbl>
            <c:dLbl>
              <c:idx val="3"/>
              <c:tx>
                <c:strRef>
                  <c:f>_ThinQQ!$A$320</c:f>
                  <c:strCache>
                    <c:ptCount val="1"/>
                    <c:pt idx="0">
                      <c:v>Hidráulica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{D923D466-293D-4043-9FED-638ABDCD2C67}</c15:txfldGUID>
                      <c15:f>_ThinQQ!$A$320</c15:f>
                      <c15:dlblFieldTableCache>
                        <c:ptCount val="1"/>
                        <c:pt idx="0">
                          <c:v>Hidráulica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CA83-487B-84A6-DA19585457B9}"/>
                </c:ext>
              </c:extLst>
            </c:dLbl>
            <c:dLbl>
              <c:idx val="4"/>
              <c:tx>
                <c:strRef>
                  <c:f>_ThinQQ!$A$321</c:f>
                  <c:strCache>
                    <c:ptCount val="1"/>
                    <c:pt idx="0">
                      <c:v>Elétrica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{86FE334F-D57F-4C20-821D-4A9CFF03FBC4}</c15:txfldGUID>
                      <c15:f>_ThinQQ!$A$321</c15:f>
                      <c15:dlblFieldTableCache>
                        <c:ptCount val="1"/>
                        <c:pt idx="0">
                          <c:v>Elétrica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CA83-487B-84A6-DA19585457B9}"/>
                </c:ext>
              </c:extLst>
            </c:dLbl>
            <c:dLbl>
              <c:idx val="5"/>
              <c:tx>
                <c:strRef>
                  <c:f>_ThinQQ!$A$322</c:f>
                  <c:strCache>
                    <c:ptCount val="1"/>
                    <c:pt idx="0">
                      <c:v>Madeiras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{B6F473A8-C764-47FC-A577-149B98B11E41}</c15:txfldGUID>
                      <c15:f>_ThinQQ!$A$322</c15:f>
                      <c15:dlblFieldTableCache>
                        <c:ptCount val="1"/>
                        <c:pt idx="0">
                          <c:v>Madeiras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CA83-487B-84A6-DA19585457B9}"/>
                </c:ext>
              </c:extLst>
            </c:dLbl>
            <c:dLbl>
              <c:idx val="6"/>
              <c:tx>
                <c:strRef>
                  <c:f>_ThinQQ!$A$323</c:f>
                  <c:strCache>
                    <c:ptCount val="1"/>
                    <c:pt idx="0">
                      <c:v>Ferramentas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{F76F8795-8053-4581-9D96-99D075BF6B6C}</c15:txfldGUID>
                      <c15:f>_ThinQQ!$A$323</c15:f>
                      <c15:dlblFieldTableCache>
                        <c:ptCount val="1"/>
                        <c:pt idx="0">
                          <c:v>Ferramentas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CA83-487B-84A6-DA19585457B9}"/>
                </c:ext>
              </c:extLst>
            </c:dLbl>
            <c:dLbl>
              <c:idx val="7"/>
              <c:tx>
                <c:strRef>
                  <c:f>_ThinQQ!$A$324</c:f>
                  <c:strCache>
                    <c:ptCount val="1"/>
                    <c:pt idx="0">
                      <c:v>Ferragens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{B4D16CAB-68F2-4D90-8FE4-9E63A32C383F}</c15:txfldGUID>
                      <c15:f>_ThinQQ!$A$324</c15:f>
                      <c15:dlblFieldTableCache>
                        <c:ptCount val="1"/>
                        <c:pt idx="0">
                          <c:v>Ferragens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CA83-487B-84A6-DA19585457B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_ThinQQ!$H$317:$H$324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210</c:v>
                </c:pt>
                <c:pt idx="4">
                  <c:v>120</c:v>
                </c:pt>
                <c:pt idx="5">
                  <c:v>#N/A</c:v>
                </c:pt>
                <c:pt idx="6">
                  <c:v>160</c:v>
                </c:pt>
                <c:pt idx="7">
                  <c:v>#N/A</c:v>
                </c:pt>
              </c:numCache>
            </c:numRef>
          </c:xVal>
          <c:yVal>
            <c:numRef>
              <c:f>_ThinQQ!$K$317:$K$324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0.35799999999999998</c:v>
                </c:pt>
                <c:pt idx="4">
                  <c:v>0.4</c:v>
                </c:pt>
                <c:pt idx="5">
                  <c:v>#N/A</c:v>
                </c:pt>
                <c:pt idx="6">
                  <c:v>0.42899999999999999</c:v>
                </c:pt>
                <c:pt idx="7">
                  <c:v>#N/A</c:v>
                </c:pt>
              </c:numCache>
            </c:numRef>
          </c:yVal>
          <c:bubbleSize>
            <c:numRef>
              <c:f>_ThinQQ!$N$317:$N$324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12317</c:v>
                </c:pt>
                <c:pt idx="4">
                  <c:v>11549</c:v>
                </c:pt>
                <c:pt idx="5">
                  <c:v>#N/A</c:v>
                </c:pt>
                <c:pt idx="6">
                  <c:v>8310</c:v>
                </c:pt>
                <c:pt idx="7">
                  <c:v>#N/A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CA83-487B-84A6-DA1958545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60"/>
        <c:showNegBubbles val="0"/>
        <c:axId val="528453440"/>
        <c:axId val="528453800"/>
      </c:bubbleChart>
      <c:valAx>
        <c:axId val="528453440"/>
        <c:scaling>
          <c:orientation val="minMax"/>
        </c:scaling>
        <c:delete val="0"/>
        <c:axPos val="b"/>
        <c:title>
          <c:tx>
            <c:strRef>
              <c:f>'E21'!$B$6</c:f>
              <c:strCache>
                <c:ptCount val="1"/>
                <c:pt idx="0">
                  <c:v>Ticket médio (R$)</c:v>
                </c:pt>
              </c:strCache>
            </c:strRef>
          </c:tx>
          <c:overlay val="0"/>
          <c:txPr>
            <a:bodyPr/>
            <a:lstStyle/>
            <a:p>
              <a:pPr>
                <a:defRPr sz="900" b="0">
                  <a:solidFill>
                    <a:srgbClr val="595959"/>
                  </a:solidFill>
                </a:defRPr>
              </a:pPr>
              <a:endParaRPr lang="pt-BR"/>
            </a:p>
          </c:txPr>
        </c:title>
        <c:numFmt formatCode="#,##0" sourceLinked="0"/>
        <c:majorTickMark val="out"/>
        <c:minorTickMark val="none"/>
        <c:tickLblPos val="low"/>
        <c:spPr>
          <a:ln>
            <a:solidFill>
              <a:srgbClr val="A6A6A6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pt-BR"/>
          </a:p>
        </c:txPr>
        <c:crossAx val="528453800"/>
        <c:crosses val="autoZero"/>
        <c:crossBetween val="midCat"/>
      </c:valAx>
      <c:valAx>
        <c:axId val="528453800"/>
        <c:scaling>
          <c:orientation val="minMax"/>
          <c:max val="0.55000000000000004"/>
          <c:min val="0.15000000000000002"/>
        </c:scaling>
        <c:delete val="0"/>
        <c:axPos val="l"/>
        <c:title>
          <c:tx>
            <c:strRef>
              <c:f>'E21'!$C$6</c:f>
              <c:strCache>
                <c:ptCount val="1"/>
                <c:pt idx="0">
                  <c:v>Margem bruta</c:v>
                </c:pt>
              </c:strCache>
            </c:strRef>
          </c:tx>
          <c:overlay val="0"/>
          <c:txPr>
            <a:bodyPr/>
            <a:lstStyle/>
            <a:p>
              <a:pPr>
                <a:defRPr sz="900" b="0">
                  <a:solidFill>
                    <a:srgbClr val="595959"/>
                  </a:solidFill>
                </a:defRPr>
              </a:pPr>
              <a:endParaRPr lang="pt-BR"/>
            </a:p>
          </c:txPr>
        </c:title>
        <c:numFmt formatCode="0.0%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A6A6A6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pt-BR"/>
          </a:p>
        </c:txPr>
        <c:crossAx val="528453440"/>
        <c:crosses val="autoZero"/>
        <c:crossBetween val="midCat"/>
        <c:majorUnit val="0.05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391304347826087E-2"/>
          <c:y val="0.2"/>
          <c:w val="0.73411571379664498"/>
          <c:h val="0.760714285714285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'E22'!$B$6</c:f>
              <c:strCache>
                <c:ptCount val="1"/>
                <c:pt idx="0">
                  <c:v>Cimento e argamassa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'E22'!$A$7:$A$8</c:f>
              <c:numCache>
                <c:formatCode>0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'E22'!$B$7:$B$8</c:f>
              <c:numCache>
                <c:formatCode>#,##0</c:formatCode>
                <c:ptCount val="2"/>
                <c:pt idx="0">
                  <c:v>40185</c:v>
                </c:pt>
                <c:pt idx="1">
                  <c:v>43324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F-4E6E-812B-2DCA8221E350}"/>
            </c:ext>
          </c:extLst>
        </c:ser>
        <c:ser>
          <c:idx val="1"/>
          <c:order val="1"/>
          <c:tx>
            <c:strRef>
              <c:f>'E22'!$C$6</c:f>
              <c:strCache>
                <c:ptCount val="1"/>
                <c:pt idx="0">
                  <c:v>Pisos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'E22'!$A$7:$A$8</c:f>
              <c:numCache>
                <c:formatCode>0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'E22'!$C$7:$C$8</c:f>
              <c:numCache>
                <c:formatCode>#,##0</c:formatCode>
                <c:ptCount val="2"/>
                <c:pt idx="0">
                  <c:v>20173</c:v>
                </c:pt>
                <c:pt idx="1">
                  <c:v>23770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7F-4E6E-812B-2DCA8221E350}"/>
            </c:ext>
          </c:extLst>
        </c:ser>
        <c:ser>
          <c:idx val="2"/>
          <c:order val="2"/>
          <c:tx>
            <c:strRef>
              <c:f>'E22'!$D$6</c:f>
              <c:strCache>
                <c:ptCount val="1"/>
                <c:pt idx="0">
                  <c:v>Tintas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'E22'!$A$7:$A$8</c:f>
              <c:numCache>
                <c:formatCode>0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'E22'!$D$7:$D$8</c:f>
              <c:numCache>
                <c:formatCode>#,##0</c:formatCode>
                <c:ptCount val="2"/>
                <c:pt idx="0">
                  <c:v>14131</c:v>
                </c:pt>
                <c:pt idx="1">
                  <c:v>15702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7F-4E6E-812B-2DCA8221E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97400176"/>
        <c:axId val="397402336"/>
      </c:barChart>
      <c:lineChart>
        <c:grouping val="standard"/>
        <c:varyColors val="0"/>
        <c:ser>
          <c:idx val="3"/>
          <c:order val="3"/>
          <c:tx>
            <c:v>tqq_total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_ThinQQ!$B$328</c:f>
                  <c:strCache>
                    <c:ptCount val="1"/>
                    <c:pt idx="0">
                      <c:v>74.489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{5EDC4773-6A32-4533-BFDC-4D7C7882409B}</c15:txfldGUID>
                      <c15:f>_ThinQQ!$B$328</c15:f>
                      <c15:dlblFieldTableCache>
                        <c:ptCount val="1"/>
                        <c:pt idx="0">
                          <c:v>74.489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127F-4E6E-812B-2DCA8221E350}"/>
                </c:ext>
              </c:extLst>
            </c:dLbl>
            <c:dLbl>
              <c:idx val="1"/>
              <c:tx>
                <c:strRef>
                  <c:f>_ThinQQ!$B$329</c:f>
                  <c:strCache>
                    <c:ptCount val="1"/>
                    <c:pt idx="0">
                      <c:v>82.796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{1A9DBC26-5378-4285-96C7-80417A842ACC}</c15:txfldGUID>
                      <c15:f>_ThinQQ!$B$329</c15:f>
                      <c15:dlblFieldTableCache>
                        <c:ptCount val="1"/>
                        <c:pt idx="0">
                          <c:v>82.796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127F-4E6E-812B-2DCA8221E3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_ThinQQ!$C$328:$C$329</c:f>
              <c:numCache>
                <c:formatCode>General</c:formatCode>
                <c:ptCount val="2"/>
                <c:pt idx="0">
                  <c:v>74489</c:v>
                </c:pt>
                <c:pt idx="1">
                  <c:v>82796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7F-4E6E-812B-2DCA8221E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400176"/>
        <c:axId val="397402336"/>
      </c:lineChart>
      <c:catAx>
        <c:axId val="39740017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397402336"/>
        <c:crosses val="autoZero"/>
        <c:auto val="0"/>
        <c:lblAlgn val="ctr"/>
        <c:lblOffset val="100"/>
        <c:noMultiLvlLbl val="0"/>
      </c:catAx>
      <c:valAx>
        <c:axId val="39740233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397400176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10869565217391304"/>
          <c:y val="3.9285714285714285E-2"/>
          <c:w val="0.71867031838411521"/>
          <c:h val="0.9214285714285713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'E23'!$B$6</c:f>
              <c:strCache>
                <c:ptCount val="1"/>
                <c:pt idx="0">
                  <c:v>Construção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_ThinQQ!$M$333</c:f>
                  <c:strCache>
                    <c:ptCount val="1"/>
                    <c:pt idx="0">
                      <c:v>38%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{399ECFFA-80F1-47A8-9D84-191E337EC3F4}</c15:txfldGUID>
                      <c15:f>_ThinQQ!$M$333</c15:f>
                      <c15:dlblFieldTableCache>
                        <c:ptCount val="1"/>
                        <c:pt idx="0">
                          <c:v>38%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C06F-4436-9FE7-6E838DF95D71}"/>
                </c:ext>
              </c:extLst>
            </c:dLbl>
            <c:dLbl>
              <c:idx val="1"/>
              <c:tx>
                <c:strRef>
                  <c:f>_ThinQQ!$M$334</c:f>
                  <c:strCache>
                    <c:ptCount val="1"/>
                    <c:pt idx="0">
                      <c:v>42%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{CE336AB3-18F0-4411-BDD4-0CDB1ABDA7AF}</c15:txfldGUID>
                      <c15:f>_ThinQQ!$M$334</c15:f>
                      <c15:dlblFieldTableCache>
                        <c:ptCount val="1"/>
                        <c:pt idx="0">
                          <c:v>42%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C06F-4436-9FE7-6E838DF95D71}"/>
                </c:ext>
              </c:extLst>
            </c:dLbl>
            <c:dLbl>
              <c:idx val="2"/>
              <c:tx>
                <c:strRef>
                  <c:f>_ThinQQ!$M$335</c:f>
                  <c:strCache>
                    <c:ptCount val="1"/>
                    <c:pt idx="0">
                      <c:v>52%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{2B08B50D-1F1C-495B-AEFB-73368846C040}</c15:txfldGUID>
                      <c15:f>_ThinQQ!$M$335</c15:f>
                      <c15:dlblFieldTableCache>
                        <c:ptCount val="1"/>
                        <c:pt idx="0">
                          <c:v>52%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C06F-4436-9FE7-6E838DF95D71}"/>
                </c:ext>
              </c:extLst>
            </c:dLbl>
            <c:dLbl>
              <c:idx val="3"/>
              <c:tx>
                <c:strRef>
                  <c:f>_ThinQQ!$M$336</c:f>
                  <c:strCache>
                    <c:ptCount val="1"/>
                    <c:pt idx="0">
                      <c:v>50%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{647C3C98-56A8-411B-96C3-F171D5DC4B0D}</c15:txfldGUID>
                      <c15:f>_ThinQQ!$M$336</c15:f>
                      <c15:dlblFieldTableCache>
                        <c:ptCount val="1"/>
                        <c:pt idx="0">
                          <c:v>50%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C06F-4436-9FE7-6E838DF95D71}"/>
                </c:ext>
              </c:extLst>
            </c:dLbl>
            <c:dLbl>
              <c:idx val="4"/>
              <c:tx>
                <c:strRef>
                  <c:f>_ThinQQ!$M$337</c:f>
                  <c:strCache>
                    <c:ptCount val="1"/>
                    <c:pt idx="0">
                      <c:v>56%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{D57CB4B7-3CEC-4FCF-AF22-9A6A893B877F}</c15:txfldGUID>
                      <c15:f>_ThinQQ!$M$337</c15:f>
                      <c15:dlblFieldTableCache>
                        <c:ptCount val="1"/>
                        <c:pt idx="0">
                          <c:v>56%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C06F-4436-9FE7-6E838DF95D71}"/>
                </c:ext>
              </c:extLst>
            </c:dLbl>
            <c:numFmt formatCode="0%;\-0%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'E23'!$A$7:$A$11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'E23'!$B$7:$B$11</c:f>
              <c:numCache>
                <c:formatCode>#,##0</c:formatCode>
                <c:ptCount val="5"/>
                <c:pt idx="0">
                  <c:v>16128</c:v>
                </c:pt>
                <c:pt idx="1">
                  <c:v>14703</c:v>
                </c:pt>
                <c:pt idx="2">
                  <c:v>13144</c:v>
                </c:pt>
                <c:pt idx="3">
                  <c:v>8781</c:v>
                </c:pt>
                <c:pt idx="4">
                  <c:v>5306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6F-4436-9FE7-6E838DF95D71}"/>
            </c:ext>
          </c:extLst>
        </c:ser>
        <c:ser>
          <c:idx val="1"/>
          <c:order val="1"/>
          <c:tx>
            <c:strRef>
              <c:f>'E23'!$C$6</c:f>
              <c:strCache>
                <c:ptCount val="1"/>
                <c:pt idx="0">
                  <c:v>Acabamento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_ThinQQ!$N$333</c:f>
                  <c:strCache>
                    <c:ptCount val="1"/>
                    <c:pt idx="0">
                      <c:v>36%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{D3B6F1D8-FFAD-40D1-BB26-9FEFCE21447B}</c15:txfldGUID>
                      <c15:f>_ThinQQ!$N$333</c15:f>
                      <c15:dlblFieldTableCache>
                        <c:ptCount val="1"/>
                        <c:pt idx="0">
                          <c:v>36%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C06F-4436-9FE7-6E838DF95D71}"/>
                </c:ext>
              </c:extLst>
            </c:dLbl>
            <c:dLbl>
              <c:idx val="1"/>
              <c:tx>
                <c:strRef>
                  <c:f>_ThinQQ!$N$334</c:f>
                  <c:strCache>
                    <c:ptCount val="1"/>
                    <c:pt idx="0">
                      <c:v>32%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{0C48D629-7D9C-4497-BEBC-7965F8CD23DC}</c15:txfldGUID>
                      <c15:f>_ThinQQ!$N$334</c15:f>
                      <c15:dlblFieldTableCache>
                        <c:ptCount val="1"/>
                        <c:pt idx="0">
                          <c:v>32%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C06F-4436-9FE7-6E838DF95D71}"/>
                </c:ext>
              </c:extLst>
            </c:dLbl>
            <c:dLbl>
              <c:idx val="2"/>
              <c:tx>
                <c:strRef>
                  <c:f>_ThinQQ!$N$335</c:f>
                  <c:strCache>
                    <c:ptCount val="1"/>
                    <c:pt idx="0">
                      <c:v>25%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{0044A1D3-1F62-44C6-A898-58B5130EFE1F}</c15:txfldGUID>
                      <c15:f>_ThinQQ!$N$335</c15:f>
                      <c15:dlblFieldTableCache>
                        <c:ptCount val="1"/>
                        <c:pt idx="0">
                          <c:v>25%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C06F-4436-9FE7-6E838DF95D71}"/>
                </c:ext>
              </c:extLst>
            </c:dLbl>
            <c:dLbl>
              <c:idx val="3"/>
              <c:tx>
                <c:strRef>
                  <c:f>_ThinQQ!$N$336</c:f>
                  <c:strCache>
                    <c:ptCount val="1"/>
                    <c:pt idx="0">
                      <c:v>27%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{A77B2309-97C1-485B-8B73-CE848C75CBD3}</c15:txfldGUID>
                      <c15:f>_ThinQQ!$N$336</c15:f>
                      <c15:dlblFieldTableCache>
                        <c:ptCount val="1"/>
                        <c:pt idx="0">
                          <c:v>27%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C06F-4436-9FE7-6E838DF95D71}"/>
                </c:ext>
              </c:extLst>
            </c:dLbl>
            <c:dLbl>
              <c:idx val="4"/>
              <c:tx>
                <c:strRef>
                  <c:f>_ThinQQ!$N$337</c:f>
                  <c:strCache>
                    <c:ptCount val="1"/>
                    <c:pt idx="0">
                      <c:v>22%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{B4D3CC81-5B98-44FA-A734-4679E2F1D80E}</c15:txfldGUID>
                      <c15:f>_ThinQQ!$N$337</c15:f>
                      <c15:dlblFieldTableCache>
                        <c:ptCount val="1"/>
                        <c:pt idx="0">
                          <c:v>22%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C06F-4436-9FE7-6E838DF95D71}"/>
                </c:ext>
              </c:extLst>
            </c:dLbl>
            <c:numFmt formatCode="0%;\-0%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'E23'!$A$7:$A$11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'E23'!$C$7:$C$11</c:f>
              <c:numCache>
                <c:formatCode>#,##0</c:formatCode>
                <c:ptCount val="5"/>
                <c:pt idx="0">
                  <c:v>15176</c:v>
                </c:pt>
                <c:pt idx="1">
                  <c:v>11116</c:v>
                </c:pt>
                <c:pt idx="2">
                  <c:v>6289</c:v>
                </c:pt>
                <c:pt idx="3">
                  <c:v>4873</c:v>
                </c:pt>
                <c:pt idx="4">
                  <c:v>2018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6F-4436-9FE7-6E838DF95D71}"/>
            </c:ext>
          </c:extLst>
        </c:ser>
        <c:ser>
          <c:idx val="2"/>
          <c:order val="2"/>
          <c:tx>
            <c:strRef>
              <c:f>'E23'!$D$6</c:f>
              <c:strCache>
                <c:ptCount val="1"/>
                <c:pt idx="0">
                  <c:v>Instalações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_ThinQQ!$O$333</c:f>
                  <c:strCache>
                    <c:ptCount val="1"/>
                    <c:pt idx="0">
                      <c:v>26%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{6A3ADE45-4EBE-47B3-BC54-AED992E81D7F}</c15:txfldGUID>
                      <c15:f>_ThinQQ!$O$333</c15:f>
                      <c15:dlblFieldTableCache>
                        <c:ptCount val="1"/>
                        <c:pt idx="0">
                          <c:v>26%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C06F-4436-9FE7-6E838DF95D71}"/>
                </c:ext>
              </c:extLst>
            </c:dLbl>
            <c:dLbl>
              <c:idx val="1"/>
              <c:tx>
                <c:strRef>
                  <c:f>_ThinQQ!$O$334</c:f>
                  <c:strCache>
                    <c:ptCount val="1"/>
                    <c:pt idx="0">
                      <c:v>26%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{85C1637B-7B11-4237-B97B-DB49A5427128}</c15:txfldGUID>
                      <c15:f>_ThinQQ!$O$334</c15:f>
                      <c15:dlblFieldTableCache>
                        <c:ptCount val="1"/>
                        <c:pt idx="0">
                          <c:v>26%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C06F-4436-9FE7-6E838DF95D71}"/>
                </c:ext>
              </c:extLst>
            </c:dLbl>
            <c:dLbl>
              <c:idx val="2"/>
              <c:tx>
                <c:strRef>
                  <c:f>_ThinQQ!$O$335</c:f>
                  <c:strCache>
                    <c:ptCount val="1"/>
                    <c:pt idx="0">
                      <c:v>23%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{44F1905F-BE60-45B6-882A-BDC1D8837130}</c15:txfldGUID>
                      <c15:f>_ThinQQ!$O$335</c15:f>
                      <c15:dlblFieldTableCache>
                        <c:ptCount val="1"/>
                        <c:pt idx="0">
                          <c:v>23%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C06F-4436-9FE7-6E838DF95D71}"/>
                </c:ext>
              </c:extLst>
            </c:dLbl>
            <c:dLbl>
              <c:idx val="3"/>
              <c:tx>
                <c:strRef>
                  <c:f>_ThinQQ!$O$336</c:f>
                  <c:strCache>
                    <c:ptCount val="1"/>
                    <c:pt idx="0">
                      <c:v>23%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{FFFC0823-AC3F-4E1B-BB0A-3DC3E6EB0E00}</c15:txfldGUID>
                      <c15:f>_ThinQQ!$O$336</c15:f>
                      <c15:dlblFieldTableCache>
                        <c:ptCount val="1"/>
                        <c:pt idx="0">
                          <c:v>23%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C06F-4436-9FE7-6E838DF95D71}"/>
                </c:ext>
              </c:extLst>
            </c:dLbl>
            <c:dLbl>
              <c:idx val="4"/>
              <c:tx>
                <c:strRef>
                  <c:f>_ThinQQ!$O$337</c:f>
                  <c:strCache>
                    <c:ptCount val="1"/>
                    <c:pt idx="0">
                      <c:v>22%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{E2DE067F-A5E9-43DF-AC27-7840C6EFFA6C}</c15:txfldGUID>
                      <c15:f>_ThinQQ!$O$337</c15:f>
                      <c15:dlblFieldTableCache>
                        <c:ptCount val="1"/>
                        <c:pt idx="0">
                          <c:v>22%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C06F-4436-9FE7-6E838DF95D71}"/>
                </c:ext>
              </c:extLst>
            </c:dLbl>
            <c:numFmt formatCode="0%;\-0%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'E23'!$A$7:$A$11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'E23'!$D$7:$D$11</c:f>
              <c:numCache>
                <c:formatCode>#,##0</c:formatCode>
                <c:ptCount val="5"/>
                <c:pt idx="0">
                  <c:v>10960</c:v>
                </c:pt>
                <c:pt idx="1">
                  <c:v>9086</c:v>
                </c:pt>
                <c:pt idx="2">
                  <c:v>6017</c:v>
                </c:pt>
                <c:pt idx="3">
                  <c:v>4002</c:v>
                </c:pt>
                <c:pt idx="4">
                  <c:v>2111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6F-4436-9FE7-6E838DF95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6023920"/>
        <c:axId val="526021400"/>
      </c:barChart>
      <c:lineChart>
        <c:grouping val="standard"/>
        <c:varyColors val="0"/>
        <c:ser>
          <c:idx val="3"/>
          <c:order val="3"/>
          <c:tx>
            <c:v>tqq_total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_ThinQQ!$B$333</c:f>
                  <c:strCache>
                    <c:ptCount val="1"/>
                    <c:pt idx="0">
                      <c:v>42.264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{F042DD71-2466-4824-8A5F-2CBDC8A5CE13}</c15:txfldGUID>
                      <c15:f>_ThinQQ!$B$333</c15:f>
                      <c15:dlblFieldTableCache>
                        <c:ptCount val="1"/>
                        <c:pt idx="0">
                          <c:v>42.264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C06F-4436-9FE7-6E838DF95D71}"/>
                </c:ext>
              </c:extLst>
            </c:dLbl>
            <c:dLbl>
              <c:idx val="1"/>
              <c:tx>
                <c:strRef>
                  <c:f>_ThinQQ!$B$334</c:f>
                  <c:strCache>
                    <c:ptCount val="1"/>
                    <c:pt idx="0">
                      <c:v>34.905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{B2006D13-39EF-4148-8B31-EFFD1D503868}</c15:txfldGUID>
                      <c15:f>_ThinQQ!$B$334</c15:f>
                      <c15:dlblFieldTableCache>
                        <c:ptCount val="1"/>
                        <c:pt idx="0">
                          <c:v>34.905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C06F-4436-9FE7-6E838DF95D71}"/>
                </c:ext>
              </c:extLst>
            </c:dLbl>
            <c:dLbl>
              <c:idx val="2"/>
              <c:tx>
                <c:strRef>
                  <c:f>_ThinQQ!$B$335</c:f>
                  <c:strCache>
                    <c:ptCount val="1"/>
                    <c:pt idx="0">
                      <c:v>25.450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{11EB05CC-59C9-43FF-B1F4-BF3A64CAC3CB}</c15:txfldGUID>
                      <c15:f>_ThinQQ!$B$335</c15:f>
                      <c15:dlblFieldTableCache>
                        <c:ptCount val="1"/>
                        <c:pt idx="0">
                          <c:v>25.450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C06F-4436-9FE7-6E838DF95D71}"/>
                </c:ext>
              </c:extLst>
            </c:dLbl>
            <c:dLbl>
              <c:idx val="3"/>
              <c:tx>
                <c:strRef>
                  <c:f>_ThinQQ!$B$336</c:f>
                  <c:strCache>
                    <c:ptCount val="1"/>
                    <c:pt idx="0">
                      <c:v>17.656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{89843660-85B0-45DD-BFB5-A28778C5D17A}</c15:txfldGUID>
                      <c15:f>_ThinQQ!$B$336</c15:f>
                      <c15:dlblFieldTableCache>
                        <c:ptCount val="1"/>
                        <c:pt idx="0">
                          <c:v>17.656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C06F-4436-9FE7-6E838DF95D71}"/>
                </c:ext>
              </c:extLst>
            </c:dLbl>
            <c:dLbl>
              <c:idx val="4"/>
              <c:tx>
                <c:strRef>
                  <c:f>_ThinQQ!$B$337</c:f>
                  <c:strCache>
                    <c:ptCount val="1"/>
                    <c:pt idx="0">
                      <c:v>9.435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{7E2E3120-D05B-4CFB-A1DF-A09CAABF205F}</c15:txfldGUID>
                      <c15:f>_ThinQQ!$B$337</c15:f>
                      <c15:dlblFieldTableCache>
                        <c:ptCount val="1"/>
                        <c:pt idx="0">
                          <c:v>9.435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C06F-4436-9FE7-6E838DF95D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_ThinQQ!$C$333:$C$337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06F-4436-9FE7-6E838DF95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023920"/>
        <c:axId val="526021400"/>
      </c:lineChart>
      <c:catAx>
        <c:axId val="52602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26021400"/>
        <c:crosses val="autoZero"/>
        <c:auto val="0"/>
        <c:lblAlgn val="ctr"/>
        <c:lblOffset val="100"/>
        <c:noMultiLvlLbl val="0"/>
      </c:catAx>
      <c:valAx>
        <c:axId val="52602140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6023920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391304347826087E-2"/>
          <c:y val="0.1"/>
          <c:w val="0.87339866484080797"/>
          <c:h val="0.860714285714285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'E24'!$B$6</c:f>
              <c:strCache>
                <c:ptCount val="1"/>
                <c:pt idx="0">
                  <c:v>B2C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'E24'!$A$7:$A$14</c:f>
              <c:strCache>
                <c:ptCount val="8"/>
                <c:pt idx="0">
                  <c:v>Cimento e argamassa</c:v>
                </c:pt>
                <c:pt idx="1">
                  <c:v>Pisos</c:v>
                </c:pt>
                <c:pt idx="2">
                  <c:v>Tintas</c:v>
                </c:pt>
                <c:pt idx="3">
                  <c:v>Hidráulica</c:v>
                </c:pt>
                <c:pt idx="4">
                  <c:v>Elétrica</c:v>
                </c:pt>
                <c:pt idx="5">
                  <c:v>Madeiras</c:v>
                </c:pt>
                <c:pt idx="6">
                  <c:v>Ferramentas</c:v>
                </c:pt>
                <c:pt idx="7">
                  <c:v>Ferragens</c:v>
                </c:pt>
              </c:strCache>
            </c:strRef>
          </c:cat>
          <c:val>
            <c:numRef>
              <c:f>'E24'!$B$7:$B$14</c:f>
              <c:numCache>
                <c:formatCode>#,##0</c:formatCode>
                <c:ptCount val="8"/>
                <c:pt idx="0">
                  <c:v>29255</c:v>
                </c:pt>
                <c:pt idx="1">
                  <c:v>15725</c:v>
                </c:pt>
                <c:pt idx="2">
                  <c:v>10401</c:v>
                </c:pt>
                <c:pt idx="3">
                  <c:v>8241</c:v>
                </c:pt>
                <c:pt idx="4">
                  <c:v>7705</c:v>
                </c:pt>
                <c:pt idx="5">
                  <c:v>6234</c:v>
                </c:pt>
                <c:pt idx="6">
                  <c:v>5530</c:v>
                </c:pt>
                <c:pt idx="7">
                  <c:v>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BD-49F3-925B-031C3D57D9B1}"/>
            </c:ext>
          </c:extLst>
        </c:ser>
        <c:ser>
          <c:idx val="1"/>
          <c:order val="1"/>
          <c:tx>
            <c:strRef>
              <c:f>'E24'!$C$6</c:f>
              <c:strCache>
                <c:ptCount val="1"/>
                <c:pt idx="0">
                  <c:v>B2B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BBD-49F3-925B-031C3D57D9B1}"/>
                </c:ext>
              </c:extLst>
            </c:dLbl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'E24'!$A$7:$A$14</c:f>
              <c:strCache>
                <c:ptCount val="8"/>
                <c:pt idx="0">
                  <c:v>Cimento e argamassa</c:v>
                </c:pt>
                <c:pt idx="1">
                  <c:v>Pisos</c:v>
                </c:pt>
                <c:pt idx="2">
                  <c:v>Tintas</c:v>
                </c:pt>
                <c:pt idx="3">
                  <c:v>Hidráulica</c:v>
                </c:pt>
                <c:pt idx="4">
                  <c:v>Elétrica</c:v>
                </c:pt>
                <c:pt idx="5">
                  <c:v>Madeiras</c:v>
                </c:pt>
                <c:pt idx="6">
                  <c:v>Ferramentas</c:v>
                </c:pt>
                <c:pt idx="7">
                  <c:v>Ferragens</c:v>
                </c:pt>
              </c:strCache>
            </c:strRef>
          </c:cat>
          <c:val>
            <c:numRef>
              <c:f>'E24'!$C$7:$C$14</c:f>
              <c:numCache>
                <c:formatCode>#,##0</c:formatCode>
                <c:ptCount val="8"/>
                <c:pt idx="0">
                  <c:v>14069</c:v>
                </c:pt>
                <c:pt idx="1">
                  <c:v>8045</c:v>
                </c:pt>
                <c:pt idx="2">
                  <c:v>5301</c:v>
                </c:pt>
                <c:pt idx="3">
                  <c:v>4076</c:v>
                </c:pt>
                <c:pt idx="4">
                  <c:v>3844</c:v>
                </c:pt>
                <c:pt idx="5">
                  <c:v>3016</c:v>
                </c:pt>
                <c:pt idx="6">
                  <c:v>2780</c:v>
                </c:pt>
                <c:pt idx="7">
                  <c:v>1792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BD-49F3-925B-031C3D57D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68451456"/>
        <c:axId val="568448216"/>
      </c:barChart>
      <c:lineChart>
        <c:grouping val="standard"/>
        <c:varyColors val="0"/>
        <c:ser>
          <c:idx val="2"/>
          <c:order val="2"/>
          <c:tx>
            <c:v>tqq_total</c:v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_ThinQQ!$B$341</c:f>
                  <c:strCache>
                    <c:ptCount val="1"/>
                    <c:pt idx="0">
                      <c:v>43.324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{68C92C75-42C0-4796-A509-1AD91C45471C}</c15:txfldGUID>
                      <c15:f>_ThinQQ!$B$341</c15:f>
                      <c15:dlblFieldTableCache>
                        <c:ptCount val="1"/>
                        <c:pt idx="0">
                          <c:v>43.324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EBBD-49F3-925B-031C3D57D9B1}"/>
                </c:ext>
              </c:extLst>
            </c:dLbl>
            <c:dLbl>
              <c:idx val="1"/>
              <c:tx>
                <c:strRef>
                  <c:f>_ThinQQ!$B$342</c:f>
                  <c:strCache>
                    <c:ptCount val="1"/>
                    <c:pt idx="0">
                      <c:v>23.770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{6EAA8ABE-9ED1-40F7-BCDB-86AD326396CF}</c15:txfldGUID>
                      <c15:f>_ThinQQ!$B$342</c15:f>
                      <c15:dlblFieldTableCache>
                        <c:ptCount val="1"/>
                        <c:pt idx="0">
                          <c:v>23.770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EBBD-49F3-925B-031C3D57D9B1}"/>
                </c:ext>
              </c:extLst>
            </c:dLbl>
            <c:dLbl>
              <c:idx val="2"/>
              <c:tx>
                <c:strRef>
                  <c:f>_ThinQQ!$B$343</c:f>
                  <c:strCache>
                    <c:ptCount val="1"/>
                    <c:pt idx="0">
                      <c:v>15.702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{CDB731E0-5678-4FBB-8B95-431A545A4853}</c15:txfldGUID>
                      <c15:f>_ThinQQ!$B$343</c15:f>
                      <c15:dlblFieldTableCache>
                        <c:ptCount val="1"/>
                        <c:pt idx="0">
                          <c:v>15.702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EBBD-49F3-925B-031C3D57D9B1}"/>
                </c:ext>
              </c:extLst>
            </c:dLbl>
            <c:dLbl>
              <c:idx val="3"/>
              <c:tx>
                <c:strRef>
                  <c:f>_ThinQQ!$B$344</c:f>
                  <c:strCache>
                    <c:ptCount val="1"/>
                    <c:pt idx="0">
                      <c:v>12.317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{C4D59175-4249-4A58-89FE-912BAD524591}</c15:txfldGUID>
                      <c15:f>_ThinQQ!$B$344</c15:f>
                      <c15:dlblFieldTableCache>
                        <c:ptCount val="1"/>
                        <c:pt idx="0">
                          <c:v>12.317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EBBD-49F3-925B-031C3D57D9B1}"/>
                </c:ext>
              </c:extLst>
            </c:dLbl>
            <c:dLbl>
              <c:idx val="4"/>
              <c:tx>
                <c:strRef>
                  <c:f>_ThinQQ!$B$345</c:f>
                  <c:strCache>
                    <c:ptCount val="1"/>
                    <c:pt idx="0">
                      <c:v>11.549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{A6C58EDD-C089-4622-9EE0-9E1DFFB495EE}</c15:txfldGUID>
                      <c15:f>_ThinQQ!$B$345</c15:f>
                      <c15:dlblFieldTableCache>
                        <c:ptCount val="1"/>
                        <c:pt idx="0">
                          <c:v>11.549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EBBD-49F3-925B-031C3D57D9B1}"/>
                </c:ext>
              </c:extLst>
            </c:dLbl>
            <c:dLbl>
              <c:idx val="5"/>
              <c:tx>
                <c:strRef>
                  <c:f>_ThinQQ!$B$346</c:f>
                  <c:strCache>
                    <c:ptCount val="1"/>
                    <c:pt idx="0">
                      <c:v>9.250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{EB44C364-9B98-4723-8200-DA62731748FA}</c15:txfldGUID>
                      <c15:f>_ThinQQ!$B$346</c15:f>
                      <c15:dlblFieldTableCache>
                        <c:ptCount val="1"/>
                        <c:pt idx="0">
                          <c:v>9.250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EBBD-49F3-925B-031C3D57D9B1}"/>
                </c:ext>
              </c:extLst>
            </c:dLbl>
            <c:dLbl>
              <c:idx val="6"/>
              <c:tx>
                <c:strRef>
                  <c:f>_ThinQQ!$B$347</c:f>
                  <c:strCache>
                    <c:ptCount val="1"/>
                    <c:pt idx="0">
                      <c:v>8.310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{1C096AB9-5661-444F-A5B0-F7623BEFF998}</c15:txfldGUID>
                      <c15:f>_ThinQQ!$B$347</c15:f>
                      <c15:dlblFieldTableCache>
                        <c:ptCount val="1"/>
                        <c:pt idx="0">
                          <c:v>8.310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BBD-49F3-925B-031C3D57D9B1}"/>
                </c:ext>
              </c:extLst>
            </c:dLbl>
            <c:dLbl>
              <c:idx val="7"/>
              <c:tx>
                <c:strRef>
                  <c:f>_ThinQQ!$B$348</c:f>
                  <c:strCache>
                    <c:ptCount val="1"/>
                    <c:pt idx="0">
                      <c:v>5.488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{3BF8CE2E-7E15-4661-A0FB-E8AE1A189445}</c15:txfldGUID>
                      <c15:f>_ThinQQ!$B$348</c15:f>
                      <c15:dlblFieldTableCache>
                        <c:ptCount val="1"/>
                        <c:pt idx="0">
                          <c:v>5.488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EBBD-49F3-925B-031C3D57D9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_ThinQQ!$F$341:$F$348</c:f>
              <c:numCache>
                <c:formatCode>General</c:formatCode>
                <c:ptCount val="8"/>
                <c:pt idx="0">
                  <c:v>37000</c:v>
                </c:pt>
                <c:pt idx="1">
                  <c:v>23770</c:v>
                </c:pt>
                <c:pt idx="2">
                  <c:v>15702</c:v>
                </c:pt>
                <c:pt idx="3">
                  <c:v>12317</c:v>
                </c:pt>
                <c:pt idx="4">
                  <c:v>11549</c:v>
                </c:pt>
                <c:pt idx="5">
                  <c:v>9250</c:v>
                </c:pt>
                <c:pt idx="6">
                  <c:v>8310</c:v>
                </c:pt>
                <c:pt idx="7">
                  <c:v>5488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BD-49F3-925B-031C3D57D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451456"/>
        <c:axId val="568448216"/>
      </c:lineChart>
      <c:catAx>
        <c:axId val="5684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68448216"/>
        <c:crosses val="autoZero"/>
        <c:auto val="0"/>
        <c:lblAlgn val="ctr"/>
        <c:lblOffset val="100"/>
        <c:noMultiLvlLbl val="0"/>
      </c:catAx>
      <c:valAx>
        <c:axId val="568448216"/>
        <c:scaling>
          <c:orientation val="minMax"/>
          <c:max val="37000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68451456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'E25'!$B$6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'E25'!$A$7:$A$8</c:f>
              <c:numCache>
                <c:formatCode>0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'E25'!$B$7:$B$8</c:f>
              <c:numCache>
                <c:formatCode>#,##0</c:formatCode>
                <c:ptCount val="2"/>
                <c:pt idx="0">
                  <c:v>23324</c:v>
                </c:pt>
                <c:pt idx="1">
                  <c:v>26200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E3-4DDE-85CC-8A8043FB6E2A}"/>
            </c:ext>
          </c:extLst>
        </c:ser>
        <c:ser>
          <c:idx val="1"/>
          <c:order val="1"/>
          <c:tx>
            <c:strRef>
              <c:f>'E25'!$C$6</c:f>
              <c:strCache>
                <c:ptCount val="1"/>
                <c:pt idx="0">
                  <c:v>Custo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'E25'!$A$7:$A$8</c:f>
              <c:numCache>
                <c:formatCode>0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'E25'!$C$7:$C$8</c:f>
              <c:numCache>
                <c:formatCode>#,##0</c:formatCode>
                <c:ptCount val="2"/>
                <c:pt idx="0">
                  <c:v>16040</c:v>
                </c:pt>
                <c:pt idx="1">
                  <c:v>18013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E3-4DDE-85CC-8A8043FB6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64356488"/>
        <c:axId val="564354688"/>
      </c:barChart>
      <c:catAx>
        <c:axId val="56435648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64354688"/>
        <c:crosses val="autoZero"/>
        <c:auto val="0"/>
        <c:lblAlgn val="ctr"/>
        <c:lblOffset val="100"/>
        <c:noMultiLvlLbl val="0"/>
      </c:catAx>
      <c:valAx>
        <c:axId val="564354688"/>
        <c:scaling>
          <c:orientation val="minMax"/>
          <c:max val="30000"/>
          <c:min val="0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64356488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'E25'!$B$11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'E25'!$A$12:$A$13</c:f>
              <c:numCache>
                <c:formatCode>0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'E25'!$B$12:$B$13</c:f>
              <c:numCache>
                <c:formatCode>#,##0</c:formatCode>
                <c:ptCount val="2"/>
                <c:pt idx="0">
                  <c:v>8715</c:v>
                </c:pt>
                <c:pt idx="1">
                  <c:v>9435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47-43A2-80D1-92A3D338F44A}"/>
            </c:ext>
          </c:extLst>
        </c:ser>
        <c:ser>
          <c:idx val="1"/>
          <c:order val="1"/>
          <c:tx>
            <c:strRef>
              <c:f>'E25'!$C$11</c:f>
              <c:strCache>
                <c:ptCount val="1"/>
                <c:pt idx="0">
                  <c:v>Custo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'E25'!$A$12:$A$13</c:f>
              <c:numCache>
                <c:formatCode>0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'E25'!$C$12:$C$13</c:f>
              <c:numCache>
                <c:formatCode>#,##0</c:formatCode>
                <c:ptCount val="2"/>
                <c:pt idx="0">
                  <c:v>6052</c:v>
                </c:pt>
                <c:pt idx="1">
                  <c:v>6546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47-43A2-80D1-92A3D338F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64351448"/>
        <c:axId val="564346408"/>
      </c:barChart>
      <c:catAx>
        <c:axId val="5643514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64346408"/>
        <c:crosses val="autoZero"/>
        <c:auto val="0"/>
        <c:lblAlgn val="ctr"/>
        <c:lblOffset val="100"/>
        <c:noMultiLvlLbl val="0"/>
      </c:catAx>
      <c:valAx>
        <c:axId val="564346408"/>
        <c:scaling>
          <c:orientation val="minMax"/>
          <c:max val="30000"/>
          <c:min val="0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64351448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'E26'!$B$6</c:f>
              <c:strCache>
                <c:ptCount val="1"/>
                <c:pt idx="0">
                  <c:v>Vendas</c:v>
                </c:pt>
              </c:strCache>
            </c:strRef>
          </c:tx>
          <c:spPr>
            <a:ln w="25400">
              <a:solidFill>
                <a:srgbClr val="1F3864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 w="25400">
                <a:solidFill>
                  <a:srgbClr val="1F3864"/>
                </a:solidFill>
              </a:ln>
            </c:spPr>
          </c:marker>
          <c:dLbls>
            <c:numFmt formatCode="#,##0;\-#,##0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'E26'!$A$7:$A$18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'E26'!$B$7:$B$18</c:f>
              <c:numCache>
                <c:formatCode>#,##0</c:formatCode>
                <c:ptCount val="12"/>
                <c:pt idx="0">
                  <c:v>2072</c:v>
                </c:pt>
                <c:pt idx="1">
                  <c:v>1976</c:v>
                </c:pt>
                <c:pt idx="2">
                  <c:v>1903</c:v>
                </c:pt>
                <c:pt idx="3">
                  <c:v>1890</c:v>
                </c:pt>
                <c:pt idx="4">
                  <c:v>1950</c:v>
                </c:pt>
                <c:pt idx="5">
                  <c:v>2094</c:v>
                </c:pt>
                <c:pt idx="6">
                  <c:v>2248</c:v>
                </c:pt>
                <c:pt idx="7">
                  <c:v>2332</c:v>
                </c:pt>
                <c:pt idx="8">
                  <c:v>2372</c:v>
                </c:pt>
                <c:pt idx="9">
                  <c:v>2444</c:v>
                </c:pt>
                <c:pt idx="10">
                  <c:v>2467</c:v>
                </c:pt>
                <c:pt idx="11">
                  <c:v>2450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2-4C10-AECB-05EE49FDC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457760"/>
        <c:axId val="528458480"/>
      </c:lineChart>
      <c:catAx>
        <c:axId val="5284577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28458480"/>
        <c:crosses val="autoZero"/>
        <c:auto val="0"/>
        <c:lblAlgn val="ctr"/>
        <c:lblOffset val="100"/>
        <c:noMultiLvlLbl val="0"/>
      </c:catAx>
      <c:valAx>
        <c:axId val="52845848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8457760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tqq_base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4472C4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multiLvlStrRef>
              <c:f>_ThinQQ!$AC$377:$AD$396</c:f>
              <c:multiLvlStrCache>
                <c:ptCount val="20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</c:lvl>
                <c:lvl>
                  <c:pt idx="0">
                    <c:v>Receita bruta</c:v>
                  </c:pt>
                  <c:pt idx="2">
                    <c:v> </c:v>
                  </c:pt>
                  <c:pt idx="3">
                    <c:v>Custo das mercadorias</c:v>
                  </c:pt>
                  <c:pt idx="5">
                    <c:v> </c:v>
                  </c:pt>
                  <c:pt idx="6">
                    <c:v>Despesas operacionais</c:v>
                  </c:pt>
                  <c:pt idx="8">
                    <c:v> </c:v>
                  </c:pt>
                  <c:pt idx="9">
                    <c:v>EBITDA</c:v>
                  </c:pt>
                  <c:pt idx="11">
                    <c:v> </c:v>
                  </c:pt>
                  <c:pt idx="12">
                    <c:v>Depreciação e juros</c:v>
                  </c:pt>
                  <c:pt idx="14">
                    <c:v> </c:v>
                  </c:pt>
                  <c:pt idx="15">
                    <c:v>Impostos</c:v>
                  </c:pt>
                  <c:pt idx="17">
                    <c:v> </c:v>
                  </c:pt>
                  <c:pt idx="18">
                    <c:v>Lucro líquido</c:v>
                  </c:pt>
                </c:lvl>
              </c:multiLvlStrCache>
            </c:multiLvlStrRef>
          </c:cat>
          <c:val>
            <c:numRef>
              <c:f>_ThinQQ!$AE$377:$AE$396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37.299999999999997</c:v>
                </c:pt>
                <c:pt idx="4">
                  <c:v>41.399999999999991</c:v>
                </c:pt>
                <c:pt idx="5">
                  <c:v>0</c:v>
                </c:pt>
                <c:pt idx="6">
                  <c:v>12.699999999999996</c:v>
                </c:pt>
                <c:pt idx="7">
                  <c:v>14.199999999999992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9.7999999999999954</c:v>
                </c:pt>
                <c:pt idx="13">
                  <c:v>10.999999999999993</c:v>
                </c:pt>
                <c:pt idx="14">
                  <c:v>0</c:v>
                </c:pt>
                <c:pt idx="15">
                  <c:v>6.4999999999999956</c:v>
                </c:pt>
                <c:pt idx="16">
                  <c:v>7.2999999999999927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1-43F5-8B15-90564F8A8999}"/>
            </c:ext>
          </c:extLst>
        </c:ser>
        <c:ser>
          <c:idx val="1"/>
          <c:order val="1"/>
          <c:tx>
            <c:strRef>
              <c:f>'E27'!$B$6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multiLvlStrRef>
              <c:f>_ThinQQ!$AC$377:$AD$396</c:f>
              <c:multiLvlStrCache>
                <c:ptCount val="20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</c:lvl>
                <c:lvl>
                  <c:pt idx="0">
                    <c:v>Receita bruta</c:v>
                  </c:pt>
                  <c:pt idx="2">
                    <c:v> </c:v>
                  </c:pt>
                  <c:pt idx="3">
                    <c:v>Custo das mercadorias</c:v>
                  </c:pt>
                  <c:pt idx="5">
                    <c:v> </c:v>
                  </c:pt>
                  <c:pt idx="6">
                    <c:v>Despesas operacionais</c:v>
                  </c:pt>
                  <c:pt idx="8">
                    <c:v> </c:v>
                  </c:pt>
                  <c:pt idx="9">
                    <c:v>EBITDA</c:v>
                  </c:pt>
                  <c:pt idx="11">
                    <c:v> </c:v>
                  </c:pt>
                  <c:pt idx="12">
                    <c:v>Depreciação e juros</c:v>
                  </c:pt>
                  <c:pt idx="14">
                    <c:v> </c:v>
                  </c:pt>
                  <c:pt idx="15">
                    <c:v>Impostos</c:v>
                  </c:pt>
                  <c:pt idx="17">
                    <c:v> </c:v>
                  </c:pt>
                  <c:pt idx="18">
                    <c:v>Lucro líquido</c:v>
                  </c:pt>
                </c:lvl>
              </c:multiLvlStrCache>
            </c:multiLvlStrRef>
          </c:cat>
          <c:val>
            <c:numRef>
              <c:f>_ThinQQ!$AF$377:$AF$396</c:f>
              <c:numCache>
                <c:formatCode>General</c:formatCode>
                <c:ptCount val="20"/>
                <c:pt idx="0">
                  <c:v>117.2</c:v>
                </c:pt>
                <c:pt idx="1">
                  <c:v>0</c:v>
                </c:pt>
                <c:pt idx="2">
                  <c:v>0</c:v>
                </c:pt>
                <c:pt idx="3">
                  <c:v>79.900000000000006</c:v>
                </c:pt>
                <c:pt idx="4">
                  <c:v>0</c:v>
                </c:pt>
                <c:pt idx="5">
                  <c:v>0</c:v>
                </c:pt>
                <c:pt idx="6">
                  <c:v>24.6</c:v>
                </c:pt>
                <c:pt idx="7">
                  <c:v>0</c:v>
                </c:pt>
                <c:pt idx="8">
                  <c:v>0</c:v>
                </c:pt>
                <c:pt idx="9">
                  <c:v>12.699999999999996</c:v>
                </c:pt>
                <c:pt idx="10">
                  <c:v>0</c:v>
                </c:pt>
                <c:pt idx="11">
                  <c:v>0</c:v>
                </c:pt>
                <c:pt idx="12">
                  <c:v>2.9000000000000004</c:v>
                </c:pt>
                <c:pt idx="13">
                  <c:v>0</c:v>
                </c:pt>
                <c:pt idx="14">
                  <c:v>0</c:v>
                </c:pt>
                <c:pt idx="15">
                  <c:v>3.3</c:v>
                </c:pt>
                <c:pt idx="16">
                  <c:v>0</c:v>
                </c:pt>
                <c:pt idx="17">
                  <c:v>0</c:v>
                </c:pt>
                <c:pt idx="18">
                  <c:v>6.4999999999999956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71-43F5-8B15-90564F8A8999}"/>
            </c:ext>
          </c:extLst>
        </c:ser>
        <c:ser>
          <c:idx val="2"/>
          <c:order val="2"/>
          <c:tx>
            <c:v>tqq_aneg</c:v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multiLvlStrRef>
              <c:f>_ThinQQ!$AC$377:$AD$396</c:f>
              <c:multiLvlStrCache>
                <c:ptCount val="20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</c:lvl>
                <c:lvl>
                  <c:pt idx="0">
                    <c:v>Receita bruta</c:v>
                  </c:pt>
                  <c:pt idx="2">
                    <c:v> </c:v>
                  </c:pt>
                  <c:pt idx="3">
                    <c:v>Custo das mercadorias</c:v>
                  </c:pt>
                  <c:pt idx="5">
                    <c:v> </c:v>
                  </c:pt>
                  <c:pt idx="6">
                    <c:v>Despesas operacionais</c:v>
                  </c:pt>
                  <c:pt idx="8">
                    <c:v> </c:v>
                  </c:pt>
                  <c:pt idx="9">
                    <c:v>EBITDA</c:v>
                  </c:pt>
                  <c:pt idx="11">
                    <c:v> </c:v>
                  </c:pt>
                  <c:pt idx="12">
                    <c:v>Depreciação e juros</c:v>
                  </c:pt>
                  <c:pt idx="14">
                    <c:v> </c:v>
                  </c:pt>
                  <c:pt idx="15">
                    <c:v>Impostos</c:v>
                  </c:pt>
                  <c:pt idx="17">
                    <c:v> </c:v>
                  </c:pt>
                  <c:pt idx="18">
                    <c:v>Lucro líquido</c:v>
                  </c:pt>
                </c:lvl>
              </c:multiLvlStrCache>
            </c:multiLvlStrRef>
          </c:cat>
          <c:val>
            <c:numRef>
              <c:f>_ThinQQ!$AG$377:$AG$396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71-43F5-8B15-90564F8A8999}"/>
            </c:ext>
          </c:extLst>
        </c:ser>
        <c:ser>
          <c:idx val="3"/>
          <c:order val="3"/>
          <c:tx>
            <c:strRef>
              <c:f>'E27'!$C$6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multiLvlStrRef>
              <c:f>_ThinQQ!$AC$377:$AD$396</c:f>
              <c:multiLvlStrCache>
                <c:ptCount val="20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</c:lvl>
                <c:lvl>
                  <c:pt idx="0">
                    <c:v>Receita bruta</c:v>
                  </c:pt>
                  <c:pt idx="2">
                    <c:v> </c:v>
                  </c:pt>
                  <c:pt idx="3">
                    <c:v>Custo das mercadorias</c:v>
                  </c:pt>
                  <c:pt idx="5">
                    <c:v> </c:v>
                  </c:pt>
                  <c:pt idx="6">
                    <c:v>Despesas operacionais</c:v>
                  </c:pt>
                  <c:pt idx="8">
                    <c:v> </c:v>
                  </c:pt>
                  <c:pt idx="9">
                    <c:v>EBITDA</c:v>
                  </c:pt>
                  <c:pt idx="11">
                    <c:v> </c:v>
                  </c:pt>
                  <c:pt idx="12">
                    <c:v>Depreciação e juros</c:v>
                  </c:pt>
                  <c:pt idx="14">
                    <c:v> </c:v>
                  </c:pt>
                  <c:pt idx="15">
                    <c:v>Impostos</c:v>
                  </c:pt>
                  <c:pt idx="17">
                    <c:v> </c:v>
                  </c:pt>
                  <c:pt idx="18">
                    <c:v>Lucro líquido</c:v>
                  </c:pt>
                </c:lvl>
              </c:multiLvlStrCache>
            </c:multiLvlStrRef>
          </c:cat>
          <c:val>
            <c:numRef>
              <c:f>_ThinQQ!$AH$377:$AH$396</c:f>
              <c:numCache>
                <c:formatCode>General</c:formatCode>
                <c:ptCount val="20"/>
                <c:pt idx="0">
                  <c:v>0</c:v>
                </c:pt>
                <c:pt idx="1">
                  <c:v>129.69999999999999</c:v>
                </c:pt>
                <c:pt idx="2">
                  <c:v>0</c:v>
                </c:pt>
                <c:pt idx="3">
                  <c:v>0</c:v>
                </c:pt>
                <c:pt idx="4">
                  <c:v>88.3</c:v>
                </c:pt>
                <c:pt idx="5">
                  <c:v>0</c:v>
                </c:pt>
                <c:pt idx="6">
                  <c:v>0</c:v>
                </c:pt>
                <c:pt idx="7">
                  <c:v>27.2</c:v>
                </c:pt>
                <c:pt idx="8">
                  <c:v>0</c:v>
                </c:pt>
                <c:pt idx="9">
                  <c:v>0</c:v>
                </c:pt>
                <c:pt idx="10">
                  <c:v>14.199999999999992</c:v>
                </c:pt>
                <c:pt idx="11">
                  <c:v>0</c:v>
                </c:pt>
                <c:pt idx="12">
                  <c:v>0</c:v>
                </c:pt>
                <c:pt idx="13">
                  <c:v>3.1999999999999993</c:v>
                </c:pt>
                <c:pt idx="14">
                  <c:v>0</c:v>
                </c:pt>
                <c:pt idx="15">
                  <c:v>0</c:v>
                </c:pt>
                <c:pt idx="16">
                  <c:v>3.7</c:v>
                </c:pt>
                <c:pt idx="17">
                  <c:v>0</c:v>
                </c:pt>
                <c:pt idx="18">
                  <c:v>0</c:v>
                </c:pt>
                <c:pt idx="19">
                  <c:v>7.2999999999999927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71-43F5-8B15-90564F8A8999}"/>
            </c:ext>
          </c:extLst>
        </c:ser>
        <c:ser>
          <c:idx val="4"/>
          <c:order val="4"/>
          <c:tx>
            <c:v>tqq_bneg</c:v>
          </c:tx>
          <c:spPr>
            <a:solidFill>
              <a:srgbClr val="9DC3E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multiLvlStrRef>
              <c:f>_ThinQQ!$AC$377:$AD$396</c:f>
              <c:multiLvlStrCache>
                <c:ptCount val="20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</c:lvl>
                <c:lvl>
                  <c:pt idx="0">
                    <c:v>Receita bruta</c:v>
                  </c:pt>
                  <c:pt idx="2">
                    <c:v> </c:v>
                  </c:pt>
                  <c:pt idx="3">
                    <c:v>Custo das mercadorias</c:v>
                  </c:pt>
                  <c:pt idx="5">
                    <c:v> </c:v>
                  </c:pt>
                  <c:pt idx="6">
                    <c:v>Despesas operacionais</c:v>
                  </c:pt>
                  <c:pt idx="8">
                    <c:v> </c:v>
                  </c:pt>
                  <c:pt idx="9">
                    <c:v>EBITDA</c:v>
                  </c:pt>
                  <c:pt idx="11">
                    <c:v> </c:v>
                  </c:pt>
                  <c:pt idx="12">
                    <c:v>Depreciação e juros</c:v>
                  </c:pt>
                  <c:pt idx="14">
                    <c:v> </c:v>
                  </c:pt>
                  <c:pt idx="15">
                    <c:v>Impostos</c:v>
                  </c:pt>
                  <c:pt idx="17">
                    <c:v> </c:v>
                  </c:pt>
                  <c:pt idx="18">
                    <c:v>Lucro líquido</c:v>
                  </c:pt>
                </c:lvl>
              </c:multiLvlStrCache>
            </c:multiLvlStrRef>
          </c:cat>
          <c:val>
            <c:numRef>
              <c:f>_ThinQQ!$AI$377:$AI$396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71-43F5-8B15-90564F8A8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528599560"/>
        <c:axId val="528596320"/>
      </c:barChart>
      <c:lineChart>
        <c:grouping val="standard"/>
        <c:varyColors val="0"/>
        <c:ser>
          <c:idx val="7"/>
          <c:order val="7"/>
          <c:tx>
            <c:v>tqq_lbl_a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ED7D31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_ThinQQ!$AK$377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{7971CAAC-2314-43ED-8656-5DF25AE1E2A7}</c15:txfldGUID>
                      <c15:f>_ThinQQ!$AK$377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B271-43F5-8B15-90564F8A8999}"/>
                </c:ext>
              </c:extLst>
            </c:dLbl>
            <c:dLbl>
              <c:idx val="1"/>
              <c:tx>
                <c:strRef>
                  <c:f>_ThinQQ!$AK$378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{84FDE54B-562E-41E6-806D-9C487C527EA7}</c15:txfldGUID>
                      <c15:f>_ThinQQ!$AK$378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B271-43F5-8B15-90564F8A8999}"/>
                </c:ext>
              </c:extLst>
            </c:dLbl>
            <c:dLbl>
              <c:idx val="2"/>
              <c:tx>
                <c:strRef>
                  <c:f>_ThinQQ!$AK$379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{9EB4D06E-D230-4470-B075-27610F65498E}</c15:txfldGUID>
                      <c15:f>_ThinQQ!$AK$379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B271-43F5-8B15-90564F8A8999}"/>
                </c:ext>
              </c:extLst>
            </c:dLbl>
            <c:dLbl>
              <c:idx val="3"/>
              <c:tx>
                <c:strRef>
                  <c:f>_ThinQQ!$AK$380</c:f>
                  <c:strCache>
                    <c:ptCount val="1"/>
                    <c:pt idx="0">
                      <c:v>-79,9</c:v>
                    </c:pt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{0AE8C560-9D2D-439F-9A50-720CFBD3B860}</c15:txfldGUID>
                      <c15:f>_ThinQQ!$AK$380</c15:f>
                      <c15:dlblFieldTableCache>
                        <c:ptCount val="1"/>
                        <c:pt idx="0">
                          <c:v>-79,9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B271-43F5-8B15-90564F8A8999}"/>
                </c:ext>
              </c:extLst>
            </c:dLbl>
            <c:dLbl>
              <c:idx val="4"/>
              <c:tx>
                <c:strRef>
                  <c:f>_ThinQQ!$AK$381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{97297CC4-BA86-4D89-B264-96F799ED0A5F}</c15:txfldGUID>
                      <c15:f>_ThinQQ!$AK$381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B271-43F5-8B15-90564F8A8999}"/>
                </c:ext>
              </c:extLst>
            </c:dLbl>
            <c:dLbl>
              <c:idx val="5"/>
              <c:tx>
                <c:strRef>
                  <c:f>_ThinQQ!$AK$382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{625C9543-3C60-4B8A-8296-5B3D774729F0}</c15:txfldGUID>
                      <c15:f>_ThinQQ!$AK$382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B271-43F5-8B15-90564F8A8999}"/>
                </c:ext>
              </c:extLst>
            </c:dLbl>
            <c:dLbl>
              <c:idx val="6"/>
              <c:tx>
                <c:strRef>
                  <c:f>_ThinQQ!$AK$383</c:f>
                  <c:strCache>
                    <c:ptCount val="1"/>
                    <c:pt idx="0">
                      <c:v>-24,6</c:v>
                    </c:pt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{FF3ECC0D-9B53-4E65-AE34-CEABE099C176}</c15:txfldGUID>
                      <c15:f>_ThinQQ!$AK$383</c15:f>
                      <c15:dlblFieldTableCache>
                        <c:ptCount val="1"/>
                        <c:pt idx="0">
                          <c:v>-24,6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B271-43F5-8B15-90564F8A8999}"/>
                </c:ext>
              </c:extLst>
            </c:dLbl>
            <c:dLbl>
              <c:idx val="7"/>
              <c:tx>
                <c:strRef>
                  <c:f>_ThinQQ!$AK$384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{59E327E5-7172-41BC-A725-21E7B9720529}</c15:txfldGUID>
                      <c15:f>_ThinQQ!$AK$384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B271-43F5-8B15-90564F8A8999}"/>
                </c:ext>
              </c:extLst>
            </c:dLbl>
            <c:dLbl>
              <c:idx val="8"/>
              <c:tx>
                <c:strRef>
                  <c:f>_ThinQQ!$AK$385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{DAF4D6F9-C38D-486F-B4A8-07DC76E4A150}</c15:txfldGUID>
                      <c15:f>_ThinQQ!$AK$385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B271-43F5-8B15-90564F8A8999}"/>
                </c:ext>
              </c:extLst>
            </c:dLbl>
            <c:dLbl>
              <c:idx val="9"/>
              <c:tx>
                <c:strRef>
                  <c:f>_ThinQQ!$AK$386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{F393A881-35D7-4D38-A943-9B908CA28429}</c15:txfldGUID>
                      <c15:f>_ThinQQ!$AK$386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B271-43F5-8B15-90564F8A8999}"/>
                </c:ext>
              </c:extLst>
            </c:dLbl>
            <c:dLbl>
              <c:idx val="10"/>
              <c:tx>
                <c:strRef>
                  <c:f>_ThinQQ!$AK$387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{123A2B17-9987-47E3-A25C-64845A2E5848}</c15:txfldGUID>
                      <c15:f>_ThinQQ!$AK$387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B271-43F5-8B15-90564F8A8999}"/>
                </c:ext>
              </c:extLst>
            </c:dLbl>
            <c:dLbl>
              <c:idx val="11"/>
              <c:tx>
                <c:strRef>
                  <c:f>_ThinQQ!$AK$388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{F6AD51FE-FC29-4431-BCB9-E01F50F346BA}</c15:txfldGUID>
                      <c15:f>_ThinQQ!$AK$388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B271-43F5-8B15-90564F8A8999}"/>
                </c:ext>
              </c:extLst>
            </c:dLbl>
            <c:dLbl>
              <c:idx val="12"/>
              <c:tx>
                <c:strRef>
                  <c:f>_ThinQQ!$AK$389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{6D0EA905-8226-4056-8458-4346AF957318}</c15:txfldGUID>
                      <c15:f>_ThinQQ!$AK$389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B271-43F5-8B15-90564F8A8999}"/>
                </c:ext>
              </c:extLst>
            </c:dLbl>
            <c:dLbl>
              <c:idx val="13"/>
              <c:tx>
                <c:strRef>
                  <c:f>_ThinQQ!$AK$390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{473FCE61-D092-46F8-9465-8C5D9AA68634}</c15:txfldGUID>
                      <c15:f>_ThinQQ!$AK$390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B271-43F5-8B15-90564F8A8999}"/>
                </c:ext>
              </c:extLst>
            </c:dLbl>
            <c:dLbl>
              <c:idx val="14"/>
              <c:tx>
                <c:strRef>
                  <c:f>_ThinQQ!$AK$391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{31A24FF8-A70C-477B-8B2B-DDF2BE3ED7C2}</c15:txfldGUID>
                      <c15:f>_ThinQQ!$AK$391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B271-43F5-8B15-90564F8A8999}"/>
                </c:ext>
              </c:extLst>
            </c:dLbl>
            <c:dLbl>
              <c:idx val="15"/>
              <c:tx>
                <c:strRef>
                  <c:f>_ThinQQ!$AK$392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{0C65EDFF-1FA9-4ABD-8D21-5C74BA33CAAF}</c15:txfldGUID>
                      <c15:f>_ThinQQ!$AK$392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B271-43F5-8B15-90564F8A8999}"/>
                </c:ext>
              </c:extLst>
            </c:dLbl>
            <c:dLbl>
              <c:idx val="16"/>
              <c:tx>
                <c:strRef>
                  <c:f>_ThinQQ!$AK$393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{43F1A4ED-28AD-4F13-8075-B125E7AF602A}</c15:txfldGUID>
                      <c15:f>_ThinQQ!$AK$393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B271-43F5-8B15-90564F8A8999}"/>
                </c:ext>
              </c:extLst>
            </c:dLbl>
            <c:dLbl>
              <c:idx val="17"/>
              <c:tx>
                <c:strRef>
                  <c:f>_ThinQQ!$AK$394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{484E76F4-C978-4605-A300-55962015605B}</c15:txfldGUID>
                      <c15:f>_ThinQQ!$AK$394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B271-43F5-8B15-90564F8A8999}"/>
                </c:ext>
              </c:extLst>
            </c:dLbl>
            <c:dLbl>
              <c:idx val="18"/>
              <c:tx>
                <c:strRef>
                  <c:f>_ThinQQ!$AK$395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{425BC15D-667E-47CC-ADC7-B1EE879961F5}</c15:txfldGUID>
                      <c15:f>_ThinQQ!$AK$395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B271-43F5-8B15-90564F8A8999}"/>
                </c:ext>
              </c:extLst>
            </c:dLbl>
            <c:dLbl>
              <c:idx val="19"/>
              <c:tx>
                <c:strRef>
                  <c:f>_ThinQQ!$AK$396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{155DB11E-7673-4281-9654-DF835A7A8162}</c15:txfldGUID>
                      <c15:f>_ThinQQ!$AK$396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B271-43F5-8B15-90564F8A89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_ThinQQ!$AJ$377:$AJ$396</c:f>
              <c:numCache>
                <c:formatCode>General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77.25</c:v>
                </c:pt>
                <c:pt idx="4">
                  <c:v>#N/A</c:v>
                </c:pt>
                <c:pt idx="5">
                  <c:v>#N/A</c:v>
                </c:pt>
                <c:pt idx="6">
                  <c:v>24.999999999999996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11.249999999999996</c:v>
                </c:pt>
                <c:pt idx="13">
                  <c:v>#N/A</c:v>
                </c:pt>
                <c:pt idx="14">
                  <c:v>#N/A</c:v>
                </c:pt>
                <c:pt idx="15">
                  <c:v>8.149999999999995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271-43F5-8B15-90564F8A8999}"/>
            </c:ext>
          </c:extLst>
        </c:ser>
        <c:ser>
          <c:idx val="8"/>
          <c:order val="8"/>
          <c:tx>
            <c:v>tqq_lbl_b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_ThinQQ!$AM$377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{AEEC57CB-FB29-444E-8AAE-8218DC25A035}</c15:txfldGUID>
                      <c15:f>_ThinQQ!$AM$377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B271-43F5-8B15-90564F8A8999}"/>
                </c:ext>
              </c:extLst>
            </c:dLbl>
            <c:dLbl>
              <c:idx val="1"/>
              <c:tx>
                <c:strRef>
                  <c:f>_ThinQQ!$AM$378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{2EDFD8E1-6C56-4D1E-A586-7669F93C3304}</c15:txfldGUID>
                      <c15:f>_ThinQQ!$AM$378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B271-43F5-8B15-90564F8A8999}"/>
                </c:ext>
              </c:extLst>
            </c:dLbl>
            <c:dLbl>
              <c:idx val="2"/>
              <c:tx>
                <c:strRef>
                  <c:f>_ThinQQ!$AM$379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{2C63AB71-097C-40F3-8C3E-6D2FDAF1A0CB}</c15:txfldGUID>
                      <c15:f>_ThinQQ!$AM$379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B271-43F5-8B15-90564F8A8999}"/>
                </c:ext>
              </c:extLst>
            </c:dLbl>
            <c:dLbl>
              <c:idx val="3"/>
              <c:tx>
                <c:strRef>
                  <c:f>_ThinQQ!$AM$380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{DABA34E0-ACB7-4381-B55C-FC1135E575BB}</c15:txfldGUID>
                      <c15:f>_ThinQQ!$AM$380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B271-43F5-8B15-90564F8A8999}"/>
                </c:ext>
              </c:extLst>
            </c:dLbl>
            <c:dLbl>
              <c:idx val="4"/>
              <c:tx>
                <c:strRef>
                  <c:f>_ThinQQ!$AM$381</c:f>
                  <c:strCache>
                    <c:ptCount val="1"/>
                    <c:pt idx="0">
                      <c:v>-88,3</c:v>
                    </c:pt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{429DC8BD-490D-4F52-A2CB-D3A4DB29A8C6}</c15:txfldGUID>
                      <c15:f>_ThinQQ!$AM$381</c15:f>
                      <c15:dlblFieldTableCache>
                        <c:ptCount val="1"/>
                        <c:pt idx="0">
                          <c:v>-88,3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B271-43F5-8B15-90564F8A8999}"/>
                </c:ext>
              </c:extLst>
            </c:dLbl>
            <c:dLbl>
              <c:idx val="5"/>
              <c:tx>
                <c:strRef>
                  <c:f>_ThinQQ!$AM$382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{C9D8E359-2082-41CD-8A1F-83638E05C3F6}</c15:txfldGUID>
                      <c15:f>_ThinQQ!$AM$382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B271-43F5-8B15-90564F8A8999}"/>
                </c:ext>
              </c:extLst>
            </c:dLbl>
            <c:dLbl>
              <c:idx val="6"/>
              <c:tx>
                <c:strRef>
                  <c:f>_ThinQQ!$AM$383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{CD222FAC-C473-44FB-8FE7-0E5C4C9BBE4F}</c15:txfldGUID>
                      <c15:f>_ThinQQ!$AM$383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B271-43F5-8B15-90564F8A8999}"/>
                </c:ext>
              </c:extLst>
            </c:dLbl>
            <c:dLbl>
              <c:idx val="7"/>
              <c:tx>
                <c:strRef>
                  <c:f>_ThinQQ!$AM$384</c:f>
                  <c:strCache>
                    <c:ptCount val="1"/>
                    <c:pt idx="0">
                      <c:v>-27,2</c:v>
                    </c:pt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{D5E93E0D-2889-4DAD-8FAF-77966C0237B8}</c15:txfldGUID>
                      <c15:f>_ThinQQ!$AM$384</c15:f>
                      <c15:dlblFieldTableCache>
                        <c:ptCount val="1"/>
                        <c:pt idx="0">
                          <c:v>-27,2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B271-43F5-8B15-90564F8A8999}"/>
                </c:ext>
              </c:extLst>
            </c:dLbl>
            <c:dLbl>
              <c:idx val="8"/>
              <c:tx>
                <c:strRef>
                  <c:f>_ThinQQ!$AM$385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{666E8FEE-F231-4098-9DC0-92F6BCAC19AC}</c15:txfldGUID>
                      <c15:f>_ThinQQ!$AM$385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B271-43F5-8B15-90564F8A8999}"/>
                </c:ext>
              </c:extLst>
            </c:dLbl>
            <c:dLbl>
              <c:idx val="9"/>
              <c:tx>
                <c:strRef>
                  <c:f>_ThinQQ!$AM$386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{7C43BD15-BA25-458E-8F33-4A33B539A93B}</c15:txfldGUID>
                      <c15:f>_ThinQQ!$AM$386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B271-43F5-8B15-90564F8A8999}"/>
                </c:ext>
              </c:extLst>
            </c:dLbl>
            <c:dLbl>
              <c:idx val="10"/>
              <c:tx>
                <c:strRef>
                  <c:f>_ThinQQ!$AM$387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{917FCD67-CEDF-4F7D-BED1-6E8582013FDA}</c15:txfldGUID>
                      <c15:f>_ThinQQ!$AM$387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B271-43F5-8B15-90564F8A8999}"/>
                </c:ext>
              </c:extLst>
            </c:dLbl>
            <c:dLbl>
              <c:idx val="11"/>
              <c:tx>
                <c:strRef>
                  <c:f>_ThinQQ!$AM$388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{4B5CCE6D-5867-4E55-B981-24610604DFA3}</c15:txfldGUID>
                      <c15:f>_ThinQQ!$AM$388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B271-43F5-8B15-90564F8A8999}"/>
                </c:ext>
              </c:extLst>
            </c:dLbl>
            <c:dLbl>
              <c:idx val="12"/>
              <c:tx>
                <c:strRef>
                  <c:f>_ThinQQ!$AM$389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{C14583C9-584B-44DA-B845-1551CE508E8D}</c15:txfldGUID>
                      <c15:f>_ThinQQ!$AM$389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B271-43F5-8B15-90564F8A8999}"/>
                </c:ext>
              </c:extLst>
            </c:dLbl>
            <c:dLbl>
              <c:idx val="13"/>
              <c:tx>
                <c:strRef>
                  <c:f>_ThinQQ!$AM$390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{23F1F714-6001-4741-AAA1-A5DB68BE15A2}</c15:txfldGUID>
                      <c15:f>_ThinQQ!$AM$390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B271-43F5-8B15-90564F8A8999}"/>
                </c:ext>
              </c:extLst>
            </c:dLbl>
            <c:dLbl>
              <c:idx val="14"/>
              <c:tx>
                <c:strRef>
                  <c:f>_ThinQQ!$AM$391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{E9E2EEC0-2D6A-4CF6-A54D-184B65A11E1B}</c15:txfldGUID>
                      <c15:f>_ThinQQ!$AM$391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B271-43F5-8B15-90564F8A8999}"/>
                </c:ext>
              </c:extLst>
            </c:dLbl>
            <c:dLbl>
              <c:idx val="15"/>
              <c:tx>
                <c:strRef>
                  <c:f>_ThinQQ!$AM$392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{563F869E-0132-41FF-985B-D3913F187412}</c15:txfldGUID>
                      <c15:f>_ThinQQ!$AM$392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B271-43F5-8B15-90564F8A8999}"/>
                </c:ext>
              </c:extLst>
            </c:dLbl>
            <c:dLbl>
              <c:idx val="16"/>
              <c:tx>
                <c:strRef>
                  <c:f>_ThinQQ!$AM$393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{73DCE2E9-1D91-488D-BD62-E7AC4054351E}</c15:txfldGUID>
                      <c15:f>_ThinQQ!$AM$393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B271-43F5-8B15-90564F8A8999}"/>
                </c:ext>
              </c:extLst>
            </c:dLbl>
            <c:dLbl>
              <c:idx val="17"/>
              <c:tx>
                <c:strRef>
                  <c:f>_ThinQQ!$AM$394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{F10DB117-A79C-4C9E-832A-149FEE3E4130}</c15:txfldGUID>
                      <c15:f>_ThinQQ!$AM$394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B271-43F5-8B15-90564F8A8999}"/>
                </c:ext>
              </c:extLst>
            </c:dLbl>
            <c:dLbl>
              <c:idx val="18"/>
              <c:tx>
                <c:strRef>
                  <c:f>_ThinQQ!$AM$395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{BD0F3BB4-3CA7-4405-8478-BA69BC5652BE}</c15:txfldGUID>
                      <c15:f>_ThinQQ!$AM$395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B271-43F5-8B15-90564F8A8999}"/>
                </c:ext>
              </c:extLst>
            </c:dLbl>
            <c:dLbl>
              <c:idx val="19"/>
              <c:tx>
                <c:strRef>
                  <c:f>_ThinQQ!$AM$396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{F19A9EB5-DB27-41A6-893E-B717AF0AA681}</c15:txfldGUID>
                      <c15:f>_ThinQQ!$AM$396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B271-43F5-8B15-90564F8A89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_ThinQQ!$AL$377:$AL$396</c:f>
              <c:numCache>
                <c:formatCode>General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85.549999999999983</c:v>
                </c:pt>
                <c:pt idx="5">
                  <c:v>#N/A</c:v>
                </c:pt>
                <c:pt idx="6">
                  <c:v>#N/A</c:v>
                </c:pt>
                <c:pt idx="7">
                  <c:v>27.79999999999999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12.599999999999993</c:v>
                </c:pt>
                <c:pt idx="14">
                  <c:v>#N/A</c:v>
                </c:pt>
                <c:pt idx="15">
                  <c:v>#N/A</c:v>
                </c:pt>
                <c:pt idx="16">
                  <c:v>9.1499999999999932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271-43F5-8B15-90564F8A8999}"/>
            </c:ext>
          </c:extLst>
        </c:ser>
        <c:ser>
          <c:idx val="9"/>
          <c:order val="9"/>
          <c:tx>
            <c:v>tqq_lbltot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_ThinQQ!$AO$377</c:f>
                  <c:strCache>
                    <c:ptCount val="1"/>
                    <c:pt idx="0">
                      <c:v>117,2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{E0BCE814-B5E9-445B-A405-7C2294142C2F}</c15:txfldGUID>
                      <c15:f>_ThinQQ!$AO$377</c15:f>
                      <c15:dlblFieldTableCache>
                        <c:ptCount val="1"/>
                        <c:pt idx="0">
                          <c:v>117,2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B271-43F5-8B15-90564F8A8999}"/>
                </c:ext>
              </c:extLst>
            </c:dLbl>
            <c:dLbl>
              <c:idx val="1"/>
              <c:tx>
                <c:strRef>
                  <c:f>_ThinQQ!$AO$378</c:f>
                  <c:strCache>
                    <c:ptCount val="1"/>
                    <c:pt idx="0">
                      <c:v>129,7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{EF44CFE9-F613-40C6-98F0-74A58714D4D0}</c15:txfldGUID>
                      <c15:f>_ThinQQ!$AO$378</c15:f>
                      <c15:dlblFieldTableCache>
                        <c:ptCount val="1"/>
                        <c:pt idx="0">
                          <c:v>129,7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B271-43F5-8B15-90564F8A8999}"/>
                </c:ext>
              </c:extLst>
            </c:dLbl>
            <c:dLbl>
              <c:idx val="2"/>
              <c:tx>
                <c:strRef>
                  <c:f>_ThinQQ!$AO$379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{0E9FBDE2-0FB1-44D7-B4B3-B9F68EA45EF8}</c15:txfldGUID>
                      <c15:f>_ThinQQ!$AO$379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B271-43F5-8B15-90564F8A8999}"/>
                </c:ext>
              </c:extLst>
            </c:dLbl>
            <c:dLbl>
              <c:idx val="3"/>
              <c:tx>
                <c:strRef>
                  <c:f>_ThinQQ!$AO$380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{E6BE080D-9803-418F-9977-60F7F7FEC8C2}</c15:txfldGUID>
                      <c15:f>_ThinQQ!$AO$380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B271-43F5-8B15-90564F8A8999}"/>
                </c:ext>
              </c:extLst>
            </c:dLbl>
            <c:dLbl>
              <c:idx val="4"/>
              <c:tx>
                <c:strRef>
                  <c:f>_ThinQQ!$AO$381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{42E0FAEC-C245-4B45-975E-5C4A7B47A97E}</c15:txfldGUID>
                      <c15:f>_ThinQQ!$AO$381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B271-43F5-8B15-90564F8A8999}"/>
                </c:ext>
              </c:extLst>
            </c:dLbl>
            <c:dLbl>
              <c:idx val="5"/>
              <c:tx>
                <c:strRef>
                  <c:f>_ThinQQ!$AO$382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{40247F15-8DA9-4F9C-BD68-21C3D3C821E1}</c15:txfldGUID>
                      <c15:f>_ThinQQ!$AO$382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B271-43F5-8B15-90564F8A8999}"/>
                </c:ext>
              </c:extLst>
            </c:dLbl>
            <c:dLbl>
              <c:idx val="6"/>
              <c:tx>
                <c:strRef>
                  <c:f>_ThinQQ!$AO$383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{72DA92D5-BE66-49B2-8459-4EAEB22CB3A8}</c15:txfldGUID>
                      <c15:f>_ThinQQ!$AO$383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B271-43F5-8B15-90564F8A8999}"/>
                </c:ext>
              </c:extLst>
            </c:dLbl>
            <c:dLbl>
              <c:idx val="7"/>
              <c:tx>
                <c:strRef>
                  <c:f>_ThinQQ!$AO$384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{07356953-8695-4F6F-987E-1F1786E5C4CC}</c15:txfldGUID>
                      <c15:f>_ThinQQ!$AO$384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B271-43F5-8B15-90564F8A8999}"/>
                </c:ext>
              </c:extLst>
            </c:dLbl>
            <c:dLbl>
              <c:idx val="8"/>
              <c:tx>
                <c:strRef>
                  <c:f>_ThinQQ!$AO$385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{DDF0C2B4-0B4B-414E-9340-D9E14ADE15FA}</c15:txfldGUID>
                      <c15:f>_ThinQQ!$AO$385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B271-43F5-8B15-90564F8A8999}"/>
                </c:ext>
              </c:extLst>
            </c:dLbl>
            <c:dLbl>
              <c:idx val="9"/>
              <c:tx>
                <c:strRef>
                  <c:f>_ThinQQ!$AO$386</c:f>
                  <c:strCache>
                    <c:ptCount val="1"/>
                    <c:pt idx="0">
                      <c:v>12,7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{5E9C02F1-76FB-4524-878A-86392D467166}</c15:txfldGUID>
                      <c15:f>_ThinQQ!$AO$386</c15:f>
                      <c15:dlblFieldTableCache>
                        <c:ptCount val="1"/>
                        <c:pt idx="0">
                          <c:v>12,7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B271-43F5-8B15-90564F8A8999}"/>
                </c:ext>
              </c:extLst>
            </c:dLbl>
            <c:dLbl>
              <c:idx val="10"/>
              <c:tx>
                <c:strRef>
                  <c:f>_ThinQQ!$AO$387</c:f>
                  <c:strCache>
                    <c:ptCount val="1"/>
                    <c:pt idx="0">
                      <c:v>14,2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{79204284-3C98-42C6-B3E8-58AEFE5A1EE4}</c15:txfldGUID>
                      <c15:f>_ThinQQ!$AO$387</c15:f>
                      <c15:dlblFieldTableCache>
                        <c:ptCount val="1"/>
                        <c:pt idx="0">
                          <c:v>14,2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B271-43F5-8B15-90564F8A8999}"/>
                </c:ext>
              </c:extLst>
            </c:dLbl>
            <c:dLbl>
              <c:idx val="11"/>
              <c:tx>
                <c:strRef>
                  <c:f>_ThinQQ!$AO$388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{0860D0AE-FCF1-4910-AABA-2EA9B1806B00}</c15:txfldGUID>
                      <c15:f>_ThinQQ!$AO$388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B271-43F5-8B15-90564F8A8999}"/>
                </c:ext>
              </c:extLst>
            </c:dLbl>
            <c:dLbl>
              <c:idx val="12"/>
              <c:tx>
                <c:strRef>
                  <c:f>_ThinQQ!$AO$389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{1830F2F7-7732-4BD2-9C29-E300AC7F96CC}</c15:txfldGUID>
                      <c15:f>_ThinQQ!$AO$389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B271-43F5-8B15-90564F8A8999}"/>
                </c:ext>
              </c:extLst>
            </c:dLbl>
            <c:dLbl>
              <c:idx val="13"/>
              <c:tx>
                <c:strRef>
                  <c:f>_ThinQQ!$AO$390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{4338FB4B-852F-4BBF-A85F-E159E5D44254}</c15:txfldGUID>
                      <c15:f>_ThinQQ!$AO$390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B271-43F5-8B15-90564F8A8999}"/>
                </c:ext>
              </c:extLst>
            </c:dLbl>
            <c:dLbl>
              <c:idx val="14"/>
              <c:tx>
                <c:strRef>
                  <c:f>_ThinQQ!$AO$391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{E5502621-5266-4D02-BA1B-FF96928DEF8A}</c15:txfldGUID>
                      <c15:f>_ThinQQ!$AO$391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B271-43F5-8B15-90564F8A8999}"/>
                </c:ext>
              </c:extLst>
            </c:dLbl>
            <c:dLbl>
              <c:idx val="15"/>
              <c:tx>
                <c:strRef>
                  <c:f>_ThinQQ!$AO$392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{9B3827F2-7BE2-45E6-AFC8-500F66C4D7C1}</c15:txfldGUID>
                      <c15:f>_ThinQQ!$AO$392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B271-43F5-8B15-90564F8A8999}"/>
                </c:ext>
              </c:extLst>
            </c:dLbl>
            <c:dLbl>
              <c:idx val="16"/>
              <c:tx>
                <c:strRef>
                  <c:f>_ThinQQ!$AO$393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{82D31B21-9DBD-41FD-A2AC-9AED68284D5B}</c15:txfldGUID>
                      <c15:f>_ThinQQ!$AO$393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B271-43F5-8B15-90564F8A8999}"/>
                </c:ext>
              </c:extLst>
            </c:dLbl>
            <c:dLbl>
              <c:idx val="17"/>
              <c:tx>
                <c:strRef>
                  <c:f>_ThinQQ!$AO$394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{943728A2-ECA8-44A3-A989-58A55DC7E746}</c15:txfldGUID>
                      <c15:f>_ThinQQ!$AO$394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B271-43F5-8B15-90564F8A8999}"/>
                </c:ext>
              </c:extLst>
            </c:dLbl>
            <c:dLbl>
              <c:idx val="18"/>
              <c:tx>
                <c:strRef>
                  <c:f>_ThinQQ!$AO$395</c:f>
                  <c:strCache>
                    <c:ptCount val="1"/>
                    <c:pt idx="0">
                      <c:v>6,5 (6%)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{DB2B7CBE-48F3-40AD-9D54-2AFA71C152F3}</c15:txfldGUID>
                      <c15:f>_ThinQQ!$AO$395</c15:f>
                      <c15:dlblFieldTableCache>
                        <c:ptCount val="1"/>
                        <c:pt idx="0">
                          <c:v>6,5 (6%)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B271-43F5-8B15-90564F8A8999}"/>
                </c:ext>
              </c:extLst>
            </c:dLbl>
            <c:dLbl>
              <c:idx val="19"/>
              <c:tx>
                <c:strRef>
                  <c:f>_ThinQQ!$AO$396</c:f>
                  <c:strCache>
                    <c:ptCount val="1"/>
                    <c:pt idx="0">
                      <c:v>7,3 (6%)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{2D7B194D-9D1F-4DB8-88A5-96F8AB1FBEEE}</c15:txfldGUID>
                      <c15:f>_ThinQQ!$AO$396</c15:f>
                      <c15:dlblFieldTableCache>
                        <c:ptCount val="1"/>
                        <c:pt idx="0">
                          <c:v>7,3 (6%)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B271-43F5-8B15-90564F8A8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_ThinQQ!$AN$377:$AN$396</c:f>
              <c:numCache>
                <c:formatCode>General</c:formatCode>
                <c:ptCount val="20"/>
                <c:pt idx="0">
                  <c:v>117.2</c:v>
                </c:pt>
                <c:pt idx="1">
                  <c:v>129.69999999999999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12.699999999999996</c:v>
                </c:pt>
                <c:pt idx="10">
                  <c:v>14.199999999999992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6.4999999999999956</c:v>
                </c:pt>
                <c:pt idx="19">
                  <c:v>7.2999999999999927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271-43F5-8B15-90564F8A8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599560"/>
        <c:axId val="528596320"/>
      </c:lineChart>
      <c:scatterChart>
        <c:scatterStyle val="lineMarker"/>
        <c:varyColors val="0"/>
        <c:ser>
          <c:idx val="5"/>
          <c:order val="5"/>
          <c:tx>
            <c:v>tqq_zero</c:v>
          </c:tx>
          <c:spPr>
            <a:ln w="9525">
              <a:solidFill>
                <a:srgbClr val="A6A6A6"/>
              </a:solidFill>
            </a:ln>
          </c:spPr>
          <c:marker>
            <c:symbol val="none"/>
          </c:marker>
          <c:xVal>
            <c:numRef>
              <c:f>_ThinQQ!$BE$377:$BE$378</c:f>
              <c:numCache>
                <c:formatCode>General</c:formatCode>
                <c:ptCount val="2"/>
                <c:pt idx="0">
                  <c:v>0.5</c:v>
                </c:pt>
                <c:pt idx="1">
                  <c:v>20.5</c:v>
                </c:pt>
              </c:numCache>
            </c:numRef>
          </c:xVal>
          <c:yVal>
            <c:numRef>
              <c:f>_ThinQQ!$BF$377:$BF$378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271-43F5-8B15-90564F8A8999}"/>
            </c:ext>
          </c:extLst>
        </c:ser>
        <c:ser>
          <c:idx val="6"/>
          <c:order val="6"/>
          <c:tx>
            <c:v>tqq_names</c:v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_ThinQQ!$BD$377</c:f>
                  <c:strCache>
                    <c:ptCount val="1"/>
                    <c:pt idx="0">
                      <c:v>2024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{79E252BF-024E-4A77-BB71-F3EB1189D1A7}</c15:txfldGUID>
                      <c15:f>_ThinQQ!$BD$377</c15:f>
                      <c15:dlblFieldTableCache>
                        <c:ptCount val="1"/>
                        <c:pt idx="0">
                          <c:v>2024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B271-43F5-8B15-90564F8A8999}"/>
                </c:ext>
              </c:extLst>
            </c:dLbl>
            <c:dLbl>
              <c:idx val="1"/>
              <c:tx>
                <c:strRef>
                  <c:f>_ThinQQ!$BD$378</c:f>
                  <c:strCache>
                    <c:ptCount val="1"/>
                    <c:pt idx="0">
                      <c:v>2025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{4EA84AB9-FADD-4B37-B24B-39A1E92517CB}</c15:txfldGUID>
                      <c15:f>_ThinQQ!$BD$378</c15:f>
                      <c15:dlblFieldTableCache>
                        <c:ptCount val="1"/>
                        <c:pt idx="0">
                          <c:v>2025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B271-43F5-8B15-90564F8A89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_ThinQQ!$BB$377:$BB$378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_ThinQQ!$BC$377:$BC$378</c:f>
              <c:numCache>
                <c:formatCode>General</c:formatCode>
                <c:ptCount val="2"/>
                <c:pt idx="0">
                  <c:v>58.6</c:v>
                </c:pt>
                <c:pt idx="1">
                  <c:v>64.849999999999994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271-43F5-8B15-90564F8A8999}"/>
            </c:ext>
          </c:extLst>
        </c:ser>
        <c:ser>
          <c:idx val="10"/>
          <c:order val="10"/>
          <c:tx>
            <c:v>tqq_conn_a</c:v>
          </c:tx>
          <c:spPr>
            <a:ln w="19050">
              <a:noFill/>
            </a:ln>
          </c:spPr>
          <c:marker>
            <c:symbol val="none"/>
          </c:marker>
          <c:errBars>
            <c:errDir val="x"/>
            <c:errBarType val="plus"/>
            <c:errValType val="cust"/>
            <c:noEndCap val="1"/>
            <c:plus>
              <c:numRef>
                <c:f>_ThinQQ!$AT$377:$AT$382</c:f>
                <c:numCache>
                  <c:formatCode>General</c:formatCode>
                  <c:ptCount val="6"/>
                  <c:pt idx="0">
                    <c:v>2.2307692307692308</c:v>
                  </c:pt>
                  <c:pt idx="1">
                    <c:v>2.2307692307692308</c:v>
                  </c:pt>
                  <c:pt idx="2">
                    <c:v>2.2307692307692308</c:v>
                  </c:pt>
                  <c:pt idx="3">
                    <c:v>2.2307692307692308</c:v>
                  </c:pt>
                  <c:pt idx="4">
                    <c:v>2.2307692307692308</c:v>
                  </c:pt>
                  <c:pt idx="5">
                    <c:v>2.2307692307692308</c:v>
                  </c:pt>
                </c:numCache>
              </c:numRef>
            </c:plus>
            <c:spPr>
              <a:ln w="9525">
                <a:solidFill>
                  <a:srgbClr val="737373"/>
                </a:solidFill>
                <a:prstDash val="dash"/>
              </a:ln>
            </c:spPr>
          </c:errBars>
          <c:xVal>
            <c:numRef>
              <c:f>_ThinQQ!$AR$377:$AR$382</c:f>
              <c:numCache>
                <c:formatCode>General</c:formatCode>
                <c:ptCount val="6"/>
                <c:pt idx="0">
                  <c:v>1.3846153846153846</c:v>
                </c:pt>
                <c:pt idx="1">
                  <c:v>4.384615384615385</c:v>
                </c:pt>
                <c:pt idx="2">
                  <c:v>7.384615384615385</c:v>
                </c:pt>
                <c:pt idx="3">
                  <c:v>10.384615384615385</c:v>
                </c:pt>
                <c:pt idx="4">
                  <c:v>13.384615384615385</c:v>
                </c:pt>
                <c:pt idx="5">
                  <c:v>16.384615384615383</c:v>
                </c:pt>
              </c:numCache>
            </c:numRef>
          </c:xVal>
          <c:yVal>
            <c:numRef>
              <c:f>_ThinQQ!$AS$377:$AS$382</c:f>
              <c:numCache>
                <c:formatCode>General</c:formatCode>
                <c:ptCount val="6"/>
                <c:pt idx="0">
                  <c:v>117.2</c:v>
                </c:pt>
                <c:pt idx="1">
                  <c:v>37.299999999999997</c:v>
                </c:pt>
                <c:pt idx="2">
                  <c:v>12.699999999999996</c:v>
                </c:pt>
                <c:pt idx="3">
                  <c:v>12.699999999999996</c:v>
                </c:pt>
                <c:pt idx="4">
                  <c:v>9.7999999999999954</c:v>
                </c:pt>
                <c:pt idx="5">
                  <c:v>6.4999999999999956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B271-43F5-8B15-90564F8A8999}"/>
            </c:ext>
          </c:extLst>
        </c:ser>
        <c:ser>
          <c:idx val="11"/>
          <c:order val="11"/>
          <c:tx>
            <c:v>tqq_conn_b</c:v>
          </c:tx>
          <c:spPr>
            <a:ln w="19050">
              <a:noFill/>
            </a:ln>
          </c:spPr>
          <c:marker>
            <c:symbol val="none"/>
          </c:marker>
          <c:errBars>
            <c:errDir val="x"/>
            <c:errBarType val="plus"/>
            <c:errValType val="cust"/>
            <c:noEndCap val="1"/>
            <c:plus>
              <c:numRef>
                <c:f>_ThinQQ!$AT$377:$AT$382</c:f>
                <c:numCache>
                  <c:formatCode>General</c:formatCode>
                  <c:ptCount val="6"/>
                  <c:pt idx="0">
                    <c:v>2.2307692307692308</c:v>
                  </c:pt>
                  <c:pt idx="1">
                    <c:v>2.2307692307692308</c:v>
                  </c:pt>
                  <c:pt idx="2">
                    <c:v>2.2307692307692308</c:v>
                  </c:pt>
                  <c:pt idx="3">
                    <c:v>2.2307692307692308</c:v>
                  </c:pt>
                  <c:pt idx="4">
                    <c:v>2.2307692307692308</c:v>
                  </c:pt>
                  <c:pt idx="5">
                    <c:v>2.2307692307692308</c:v>
                  </c:pt>
                </c:numCache>
              </c:numRef>
            </c:plus>
            <c:spPr>
              <a:ln w="9525">
                <a:solidFill>
                  <a:srgbClr val="737373"/>
                </a:solidFill>
                <a:prstDash val="dash"/>
              </a:ln>
            </c:spPr>
          </c:errBars>
          <c:xVal>
            <c:numRef>
              <c:f>_ThinQQ!$AU$377:$AU$382</c:f>
              <c:numCache>
                <c:formatCode>General</c:formatCode>
                <c:ptCount val="6"/>
                <c:pt idx="0">
                  <c:v>2.3846153846153846</c:v>
                </c:pt>
                <c:pt idx="1">
                  <c:v>5.384615384615385</c:v>
                </c:pt>
                <c:pt idx="2">
                  <c:v>8.384615384615385</c:v>
                </c:pt>
                <c:pt idx="3">
                  <c:v>11.384615384615385</c:v>
                </c:pt>
                <c:pt idx="4">
                  <c:v>14.384615384615385</c:v>
                </c:pt>
                <c:pt idx="5">
                  <c:v>17.384615384615383</c:v>
                </c:pt>
              </c:numCache>
            </c:numRef>
          </c:xVal>
          <c:yVal>
            <c:numRef>
              <c:f>_ThinQQ!$AV$377:$AV$382</c:f>
              <c:numCache>
                <c:formatCode>General</c:formatCode>
                <c:ptCount val="6"/>
                <c:pt idx="0">
                  <c:v>129.69999999999999</c:v>
                </c:pt>
                <c:pt idx="1">
                  <c:v>41.399999999999991</c:v>
                </c:pt>
                <c:pt idx="2">
                  <c:v>14.199999999999992</c:v>
                </c:pt>
                <c:pt idx="3">
                  <c:v>14.199999999999992</c:v>
                </c:pt>
                <c:pt idx="4">
                  <c:v>10.999999999999993</c:v>
                </c:pt>
                <c:pt idx="5">
                  <c:v>7.2999999999999927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B271-43F5-8B15-90564F8A8999}"/>
            </c:ext>
          </c:extLst>
        </c:ser>
        <c:ser>
          <c:idx val="12"/>
          <c:order val="12"/>
          <c:tx>
            <c:v>tqq_pd</c:v>
          </c:tx>
          <c:spPr>
            <a:ln w="12700">
              <a:solidFill>
                <a:srgbClr val="595959"/>
              </a:solidFill>
              <a:tailEnd type="triangle" w="sm" len="sm"/>
            </a:ln>
          </c:spPr>
          <c:marker>
            <c:symbol val="none"/>
          </c:marker>
          <c:dLbls>
            <c:dLbl>
              <c:idx val="2"/>
              <c:tx>
                <c:strRef>
                  <c:f>_ThinQQ!$AY$379</c:f>
                  <c:strCache>
                    <c:ptCount val="1"/>
                    <c:pt idx="0">
                      <c:v>+11%</c:v>
                    </c:pt>
                  </c:strCache>
                </c:strRef>
              </c:tx>
              <c:spPr>
                <a:solidFill>
                  <a:srgbClr val="FFFFFF"/>
                </a:solidFill>
                <a:ln w="9525">
                  <a:solidFill>
                    <a:srgbClr val="A6A6A6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dlblFieldTable>
                    <c15:dlblFTEntry>
                      <c15:txfldGUID>{ADF3E416-5F07-4F56-9F62-D5E9D64DFCFD}</c15:txfldGUID>
                      <c15:f>_ThinQQ!$AY$379</c15:f>
                      <c15:dlblFieldTableCache>
                        <c:ptCount val="1"/>
                        <c:pt idx="0">
                          <c:v>+11%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B271-43F5-8B15-90564F8A8999}"/>
                </c:ext>
              </c:extLst>
            </c:dLbl>
            <c:dLbl>
              <c:idx val="8"/>
              <c:tx>
                <c:strRef>
                  <c:f>_ThinQQ!$AY$385</c:f>
                  <c:strCache>
                    <c:ptCount val="1"/>
                    <c:pt idx="0">
                      <c:v>+11%</c:v>
                    </c:pt>
                  </c:strCache>
                </c:strRef>
              </c:tx>
              <c:spPr>
                <a:solidFill>
                  <a:srgbClr val="FFFFFF"/>
                </a:solidFill>
                <a:ln w="9525">
                  <a:solidFill>
                    <a:srgbClr val="A6A6A6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dlblFieldTable>
                    <c15:dlblFTEntry>
                      <c15:txfldGUID>{07278341-3DF9-4FD5-B9CE-F609A7831860}</c15:txfldGUID>
                      <c15:f>_ThinQQ!$AY$385</c15:f>
                      <c15:dlblFieldTableCache>
                        <c:ptCount val="1"/>
                        <c:pt idx="0">
                          <c:v>+11%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B271-43F5-8B15-90564F8A8999}"/>
                </c:ext>
              </c:extLst>
            </c:dLbl>
            <c:dLbl>
              <c:idx val="14"/>
              <c:tx>
                <c:strRef>
                  <c:f>_ThinQQ!$AY$391</c:f>
                  <c:strCache>
                    <c:ptCount val="1"/>
                    <c:pt idx="0">
                      <c:v>+11%</c:v>
                    </c:pt>
                  </c:strCache>
                </c:strRef>
              </c:tx>
              <c:spPr>
                <a:solidFill>
                  <a:srgbClr val="FFFFFF"/>
                </a:solidFill>
                <a:ln w="9525">
                  <a:solidFill>
                    <a:srgbClr val="A6A6A6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dlblFieldTable>
                    <c15:dlblFTEntry>
                      <c15:txfldGUID>{9638219E-E255-47AC-B61E-E8E235BEA860}</c15:txfldGUID>
                      <c15:f>_ThinQQ!$AY$391</c15:f>
                      <c15:dlblFieldTableCache>
                        <c:ptCount val="1"/>
                        <c:pt idx="0">
                          <c:v>+11%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B271-43F5-8B15-90564F8A8999}"/>
                </c:ext>
              </c:extLst>
            </c:dLbl>
            <c:dLbl>
              <c:idx val="20"/>
              <c:tx>
                <c:strRef>
                  <c:f>_ThinQQ!$AY$397</c:f>
                  <c:strCache>
                    <c:ptCount val="1"/>
                    <c:pt idx="0">
                      <c:v>+12%</c:v>
                    </c:pt>
                  </c:strCache>
                </c:strRef>
              </c:tx>
              <c:spPr>
                <a:solidFill>
                  <a:srgbClr val="FFFFFF"/>
                </a:solidFill>
                <a:ln w="9525">
                  <a:solidFill>
                    <a:srgbClr val="A6A6A6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dlblFieldTable>
                    <c15:dlblFTEntry>
                      <c15:txfldGUID>{B376FA2D-1070-4906-AF4E-7C628161E2FE}</c15:txfldGUID>
                      <c15:f>_ThinQQ!$AY$397</c15:f>
                      <c15:dlblFieldTableCache>
                        <c:ptCount val="1"/>
                        <c:pt idx="0">
                          <c:v>+12%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B271-43F5-8B15-90564F8A8999}"/>
                </c:ext>
              </c:extLst>
            </c:dLbl>
            <c:dLbl>
              <c:idx val="26"/>
              <c:tx>
                <c:strRef>
                  <c:f>_ThinQQ!$AY$403</c:f>
                  <c:strCache>
                    <c:ptCount val="1"/>
                    <c:pt idx="0">
                      <c:v>+10%</c:v>
                    </c:pt>
                  </c:strCache>
                </c:strRef>
              </c:tx>
              <c:spPr>
                <a:solidFill>
                  <a:srgbClr val="FFFFFF"/>
                </a:solidFill>
                <a:ln w="9525">
                  <a:solidFill>
                    <a:srgbClr val="A6A6A6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dlblFieldTable>
                    <c15:dlblFTEntry>
                      <c15:txfldGUID>{611D4951-BE17-4006-8CB2-3AB5BA1B00DF}</c15:txfldGUID>
                      <c15:f>_ThinQQ!$AY$403</c15:f>
                      <c15:dlblFieldTableCache>
                        <c:ptCount val="1"/>
                        <c:pt idx="0">
                          <c:v>+10%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B271-43F5-8B15-90564F8A8999}"/>
                </c:ext>
              </c:extLst>
            </c:dLbl>
            <c:dLbl>
              <c:idx val="32"/>
              <c:tx>
                <c:strRef>
                  <c:f>_ThinQQ!$AY$409</c:f>
                  <c:strCache>
                    <c:ptCount val="1"/>
                    <c:pt idx="0">
                      <c:v>+12%</c:v>
                    </c:pt>
                  </c:strCache>
                </c:strRef>
              </c:tx>
              <c:spPr>
                <a:solidFill>
                  <a:srgbClr val="FFFFFF"/>
                </a:solidFill>
                <a:ln w="9525">
                  <a:solidFill>
                    <a:srgbClr val="A6A6A6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dlblFieldTable>
                    <c15:dlblFTEntry>
                      <c15:txfldGUID>{2DDD7E92-F58A-444B-AAE1-C037143E8858}</c15:txfldGUID>
                      <c15:f>_ThinQQ!$AY$409</c15:f>
                      <c15:dlblFieldTableCache>
                        <c:ptCount val="1"/>
                        <c:pt idx="0">
                          <c:v>+12%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B271-43F5-8B15-90564F8A8999}"/>
                </c:ext>
              </c:extLst>
            </c:dLbl>
            <c:dLbl>
              <c:idx val="38"/>
              <c:tx>
                <c:strRef>
                  <c:f>_ThinQQ!$AY$415</c:f>
                  <c:strCache>
                    <c:ptCount val="1"/>
                    <c:pt idx="0">
                      <c:v>+12%</c:v>
                    </c:pt>
                  </c:strCache>
                </c:strRef>
              </c:tx>
              <c:spPr>
                <a:solidFill>
                  <a:srgbClr val="FFFFFF"/>
                </a:solidFill>
                <a:ln w="9525">
                  <a:solidFill>
                    <a:srgbClr val="A6A6A6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dlblFieldTable>
                    <c15:dlblFTEntry>
                      <c15:txfldGUID>{05984F64-84EC-467A-A593-D2D73932F561}</c15:txfldGUID>
                      <c15:f>_ThinQQ!$AY$415</c15:f>
                      <c15:dlblFieldTableCache>
                        <c:ptCount val="1"/>
                        <c:pt idx="0">
                          <c:v>+12%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B271-43F5-8B15-90564F8A89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_ThinQQ!$AW$377:$AW$417</c:f>
              <c:numCache>
                <c:formatCode>General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</c:v>
                </c:pt>
                <c:pt idx="12">
                  <c:v>7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</c:v>
                </c:pt>
                <c:pt idx="18">
                  <c:v>10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</c:v>
                </c:pt>
                <c:pt idx="24">
                  <c:v>13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</c:v>
                </c:pt>
                <c:pt idx="30">
                  <c:v>16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</c:v>
                </c:pt>
                <c:pt idx="36">
                  <c:v>19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</c:v>
                </c:pt>
              </c:numCache>
            </c:numRef>
          </c:xVal>
          <c:yVal>
            <c:numRef>
              <c:f>_ThinQQ!$AX$377:$AX$417</c:f>
              <c:numCache>
                <c:formatCode>General</c:formatCode>
                <c:ptCount val="41"/>
                <c:pt idx="0">
                  <c:v>131.43853884257089</c:v>
                </c:pt>
                <c:pt idx="1">
                  <c:v>151.70501457488226</c:v>
                </c:pt>
                <c:pt idx="2">
                  <c:v>151.70501457488226</c:v>
                </c:pt>
                <c:pt idx="3">
                  <c:v>151.70501457488226</c:v>
                </c:pt>
                <c:pt idx="4">
                  <c:v>143.93853884257086</c:v>
                </c:pt>
                <c:pt idx="6">
                  <c:v>119.14161893307785</c:v>
                </c:pt>
                <c:pt idx="7">
                  <c:v>139.40809466538923</c:v>
                </c:pt>
                <c:pt idx="8">
                  <c:v>139.40809466538923</c:v>
                </c:pt>
                <c:pt idx="9">
                  <c:v>139.40809466538923</c:v>
                </c:pt>
                <c:pt idx="10">
                  <c:v>131.64161893307784</c:v>
                </c:pt>
                <c:pt idx="12">
                  <c:v>39.241618933077845</c:v>
                </c:pt>
                <c:pt idx="13">
                  <c:v>51.108094665389231</c:v>
                </c:pt>
                <c:pt idx="14">
                  <c:v>51.108094665389231</c:v>
                </c:pt>
                <c:pt idx="15">
                  <c:v>51.108094665389231</c:v>
                </c:pt>
                <c:pt idx="16">
                  <c:v>43.341618933077839</c:v>
                </c:pt>
                <c:pt idx="18">
                  <c:v>26.938538842570882</c:v>
                </c:pt>
                <c:pt idx="19">
                  <c:v>36.20501457488227</c:v>
                </c:pt>
                <c:pt idx="20">
                  <c:v>36.20501457488227</c:v>
                </c:pt>
                <c:pt idx="21">
                  <c:v>36.20501457488227</c:v>
                </c:pt>
                <c:pt idx="22">
                  <c:v>28.438538842570878</c:v>
                </c:pt>
                <c:pt idx="24">
                  <c:v>14.641618933077844</c:v>
                </c:pt>
                <c:pt idx="25">
                  <c:v>23.908094665389232</c:v>
                </c:pt>
                <c:pt idx="26">
                  <c:v>23.908094665389232</c:v>
                </c:pt>
                <c:pt idx="27">
                  <c:v>23.908094665389232</c:v>
                </c:pt>
                <c:pt idx="28">
                  <c:v>16.14161893307784</c:v>
                </c:pt>
                <c:pt idx="30">
                  <c:v>11.741618933077843</c:v>
                </c:pt>
                <c:pt idx="31">
                  <c:v>20.708094665389233</c:v>
                </c:pt>
                <c:pt idx="32">
                  <c:v>20.708094665389233</c:v>
                </c:pt>
                <c:pt idx="33">
                  <c:v>20.708094665389233</c:v>
                </c:pt>
                <c:pt idx="34">
                  <c:v>12.941618933077841</c:v>
                </c:pt>
                <c:pt idx="36">
                  <c:v>20.738538842570883</c:v>
                </c:pt>
                <c:pt idx="37">
                  <c:v>29.305014574882271</c:v>
                </c:pt>
                <c:pt idx="38">
                  <c:v>29.305014574882271</c:v>
                </c:pt>
                <c:pt idx="39">
                  <c:v>29.305014574882271</c:v>
                </c:pt>
                <c:pt idx="40">
                  <c:v>21.53853884257088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B271-43F5-8B15-90564F8A8999}"/>
            </c:ext>
          </c:extLst>
        </c:ser>
        <c:ser>
          <c:idx val="13"/>
          <c:order val="13"/>
          <c:tx>
            <c:v>tqq_pdroom</c:v>
          </c:tx>
          <c:spPr>
            <a:ln w="19050">
              <a:noFill/>
            </a:ln>
          </c:spPr>
          <c:marker>
            <c:symbol val="none"/>
          </c:marker>
          <c:xVal>
            <c:numRef>
              <c:f>_ThinQQ!$AZ$377:$AZ$383</c:f>
              <c:numCache>
                <c:formatCode>General</c:formatCode>
                <c:ptCount val="7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</c:numCache>
            </c:numRef>
          </c:xVal>
          <c:yVal>
            <c:numRef>
              <c:f>_ThinQQ!$BA$377:$BA$383</c:f>
              <c:numCache>
                <c:formatCode>General</c:formatCode>
                <c:ptCount val="7"/>
                <c:pt idx="0">
                  <c:v>159.47149030719365</c:v>
                </c:pt>
                <c:pt idx="1">
                  <c:v>147.17457039770062</c:v>
                </c:pt>
                <c:pt idx="2">
                  <c:v>58.874570397700623</c:v>
                </c:pt>
                <c:pt idx="3">
                  <c:v>43.971490307193662</c:v>
                </c:pt>
                <c:pt idx="4">
                  <c:v>31.674570397700624</c:v>
                </c:pt>
                <c:pt idx="5">
                  <c:v>28.474570397700624</c:v>
                </c:pt>
                <c:pt idx="6">
                  <c:v>37.071490307193663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B271-43F5-8B15-90564F8A8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599560"/>
        <c:axId val="528596320"/>
      </c:scatterChart>
      <c:catAx>
        <c:axId val="52859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A6A6A6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528596320"/>
        <c:crosses val="autoZero"/>
        <c:auto val="0"/>
        <c:lblAlgn val="ctr"/>
        <c:lblOffset val="100"/>
        <c:noMultiLvlLbl val="0"/>
      </c:catAx>
      <c:valAx>
        <c:axId val="528596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528599560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tqq_base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4472C4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multiLvlStrRef>
              <c:f>_ThinQQ!$AC$422:$AD$441</c:f>
              <c:multiLvlStrCache>
                <c:ptCount val="20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</c:lvl>
                <c:lvl>
                  <c:pt idx="0">
                    <c:v>Receita bruta</c:v>
                  </c:pt>
                  <c:pt idx="2">
                    <c:v> </c:v>
                  </c:pt>
                  <c:pt idx="3">
                    <c:v>Custo das mercadorias</c:v>
                  </c:pt>
                  <c:pt idx="5">
                    <c:v> </c:v>
                  </c:pt>
                  <c:pt idx="6">
                    <c:v>Despesas operacionais</c:v>
                  </c:pt>
                  <c:pt idx="8">
                    <c:v> </c:v>
                  </c:pt>
                  <c:pt idx="9">
                    <c:v>EBITDA</c:v>
                  </c:pt>
                  <c:pt idx="11">
                    <c:v> </c:v>
                  </c:pt>
                  <c:pt idx="12">
                    <c:v>Depreciação e juros</c:v>
                  </c:pt>
                  <c:pt idx="14">
                    <c:v> </c:v>
                  </c:pt>
                  <c:pt idx="15">
                    <c:v>Impostos</c:v>
                  </c:pt>
                  <c:pt idx="17">
                    <c:v> </c:v>
                  </c:pt>
                  <c:pt idx="18">
                    <c:v>Lucro líquido</c:v>
                  </c:pt>
                </c:lvl>
              </c:multiLvlStrCache>
            </c:multiLvlStrRef>
          </c:cat>
          <c:val>
            <c:numRef>
              <c:f>_ThinQQ!$AE$422:$AE$441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8.1999999999999993</c:v>
                </c:pt>
                <c:pt idx="4">
                  <c:v>7.0000000000000018</c:v>
                </c:pt>
                <c:pt idx="5">
                  <c:v>0</c:v>
                </c:pt>
                <c:pt idx="6">
                  <c:v>2.6999999999999993</c:v>
                </c:pt>
                <c:pt idx="7">
                  <c:v>2.6000000000000014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1.9999999999999993</c:v>
                </c:pt>
                <c:pt idx="13">
                  <c:v>2.1000000000000014</c:v>
                </c:pt>
                <c:pt idx="14">
                  <c:v>0</c:v>
                </c:pt>
                <c:pt idx="15">
                  <c:v>1.2999999999999994</c:v>
                </c:pt>
                <c:pt idx="16">
                  <c:v>1.4000000000000015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1-407A-8D0A-9E5617D9A00C}"/>
            </c:ext>
          </c:extLst>
        </c:ser>
        <c:ser>
          <c:idx val="1"/>
          <c:order val="1"/>
          <c:tx>
            <c:strRef>
              <c:f>'E28'!$B$6</c:f>
              <c:strCache>
                <c:ptCount val="1"/>
                <c:pt idx="0">
                  <c:v>Aurora Centro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multiLvlStrRef>
              <c:f>_ThinQQ!$AC$422:$AD$441</c:f>
              <c:multiLvlStrCache>
                <c:ptCount val="20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</c:lvl>
                <c:lvl>
                  <c:pt idx="0">
                    <c:v>Receita bruta</c:v>
                  </c:pt>
                  <c:pt idx="2">
                    <c:v> </c:v>
                  </c:pt>
                  <c:pt idx="3">
                    <c:v>Custo das mercadorias</c:v>
                  </c:pt>
                  <c:pt idx="5">
                    <c:v> </c:v>
                  </c:pt>
                  <c:pt idx="6">
                    <c:v>Despesas operacionais</c:v>
                  </c:pt>
                  <c:pt idx="8">
                    <c:v> </c:v>
                  </c:pt>
                  <c:pt idx="9">
                    <c:v>EBITDA</c:v>
                  </c:pt>
                  <c:pt idx="11">
                    <c:v> </c:v>
                  </c:pt>
                  <c:pt idx="12">
                    <c:v>Depreciação e juros</c:v>
                  </c:pt>
                  <c:pt idx="14">
                    <c:v> </c:v>
                  </c:pt>
                  <c:pt idx="15">
                    <c:v>Impostos</c:v>
                  </c:pt>
                  <c:pt idx="17">
                    <c:v> </c:v>
                  </c:pt>
                  <c:pt idx="18">
                    <c:v>Lucro líquido</c:v>
                  </c:pt>
                </c:lvl>
              </c:multiLvlStrCache>
            </c:multiLvlStrRef>
          </c:cat>
          <c:val>
            <c:numRef>
              <c:f>_ThinQQ!$AF$422:$AF$441</c:f>
              <c:numCache>
                <c:formatCode>General</c:formatCode>
                <c:ptCount val="20"/>
                <c:pt idx="0">
                  <c:v>26.2</c:v>
                </c:pt>
                <c:pt idx="1">
                  <c:v>0</c:v>
                </c:pt>
                <c:pt idx="2">
                  <c:v>0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5.5</c:v>
                </c:pt>
                <c:pt idx="7">
                  <c:v>0</c:v>
                </c:pt>
                <c:pt idx="8">
                  <c:v>0</c:v>
                </c:pt>
                <c:pt idx="9">
                  <c:v>2.6999999999999993</c:v>
                </c:pt>
                <c:pt idx="10">
                  <c:v>0</c:v>
                </c:pt>
                <c:pt idx="11">
                  <c:v>0</c:v>
                </c:pt>
                <c:pt idx="12">
                  <c:v>0.7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</c:v>
                </c:pt>
                <c:pt idx="17">
                  <c:v>0</c:v>
                </c:pt>
                <c:pt idx="18">
                  <c:v>1.2999999999999994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F1-407A-8D0A-9E5617D9A00C}"/>
            </c:ext>
          </c:extLst>
        </c:ser>
        <c:ser>
          <c:idx val="2"/>
          <c:order val="2"/>
          <c:tx>
            <c:v>tqq_aneg</c:v>
          </c:tx>
          <c:spPr>
            <a:solidFill>
              <a:srgbClr val="1F386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multiLvlStrRef>
              <c:f>_ThinQQ!$AC$422:$AD$441</c:f>
              <c:multiLvlStrCache>
                <c:ptCount val="20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</c:lvl>
                <c:lvl>
                  <c:pt idx="0">
                    <c:v>Receita bruta</c:v>
                  </c:pt>
                  <c:pt idx="2">
                    <c:v> </c:v>
                  </c:pt>
                  <c:pt idx="3">
                    <c:v>Custo das mercadorias</c:v>
                  </c:pt>
                  <c:pt idx="5">
                    <c:v> </c:v>
                  </c:pt>
                  <c:pt idx="6">
                    <c:v>Despesas operacionais</c:v>
                  </c:pt>
                  <c:pt idx="8">
                    <c:v> </c:v>
                  </c:pt>
                  <c:pt idx="9">
                    <c:v>EBITDA</c:v>
                  </c:pt>
                  <c:pt idx="11">
                    <c:v> </c:v>
                  </c:pt>
                  <c:pt idx="12">
                    <c:v>Depreciação e juros</c:v>
                  </c:pt>
                  <c:pt idx="14">
                    <c:v> </c:v>
                  </c:pt>
                  <c:pt idx="15">
                    <c:v>Impostos</c:v>
                  </c:pt>
                  <c:pt idx="17">
                    <c:v> </c:v>
                  </c:pt>
                  <c:pt idx="18">
                    <c:v>Lucro líquido</c:v>
                  </c:pt>
                </c:lvl>
              </c:multiLvlStrCache>
            </c:multiLvlStrRef>
          </c:cat>
          <c:val>
            <c:numRef>
              <c:f>_ThinQQ!$AG$422:$AG$441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F1-407A-8D0A-9E5617D9A00C}"/>
            </c:ext>
          </c:extLst>
        </c:ser>
        <c:ser>
          <c:idx val="3"/>
          <c:order val="3"/>
          <c:tx>
            <c:strRef>
              <c:f>'E28'!$C$6</c:f>
              <c:strCache>
                <c:ptCount val="1"/>
                <c:pt idx="0">
                  <c:v>Porto Sereno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multiLvlStrRef>
              <c:f>_ThinQQ!$AC$422:$AD$441</c:f>
              <c:multiLvlStrCache>
                <c:ptCount val="20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</c:lvl>
                <c:lvl>
                  <c:pt idx="0">
                    <c:v>Receita bruta</c:v>
                  </c:pt>
                  <c:pt idx="2">
                    <c:v> </c:v>
                  </c:pt>
                  <c:pt idx="3">
                    <c:v>Custo das mercadorias</c:v>
                  </c:pt>
                  <c:pt idx="5">
                    <c:v> </c:v>
                  </c:pt>
                  <c:pt idx="6">
                    <c:v>Despesas operacionais</c:v>
                  </c:pt>
                  <c:pt idx="8">
                    <c:v> </c:v>
                  </c:pt>
                  <c:pt idx="9">
                    <c:v>EBITDA</c:v>
                  </c:pt>
                  <c:pt idx="11">
                    <c:v> </c:v>
                  </c:pt>
                  <c:pt idx="12">
                    <c:v>Depreciação e juros</c:v>
                  </c:pt>
                  <c:pt idx="14">
                    <c:v> </c:v>
                  </c:pt>
                  <c:pt idx="15">
                    <c:v>Impostos</c:v>
                  </c:pt>
                  <c:pt idx="17">
                    <c:v> </c:v>
                  </c:pt>
                  <c:pt idx="18">
                    <c:v>Lucro líquido</c:v>
                  </c:pt>
                </c:lvl>
              </c:multiLvlStrCache>
            </c:multiLvlStrRef>
          </c:cat>
          <c:val>
            <c:numRef>
              <c:f>_ThinQQ!$AH$422:$AH$441</c:f>
              <c:numCache>
                <c:formatCode>General</c:formatCode>
                <c:ptCount val="20"/>
                <c:pt idx="0">
                  <c:v>0</c:v>
                </c:pt>
                <c:pt idx="1">
                  <c:v>21.1</c:v>
                </c:pt>
                <c:pt idx="2">
                  <c:v>0</c:v>
                </c:pt>
                <c:pt idx="3">
                  <c:v>0</c:v>
                </c:pt>
                <c:pt idx="4">
                  <c:v>14.1</c:v>
                </c:pt>
                <c:pt idx="5">
                  <c:v>0</c:v>
                </c:pt>
                <c:pt idx="6">
                  <c:v>0</c:v>
                </c:pt>
                <c:pt idx="7">
                  <c:v>4.4000000000000004</c:v>
                </c:pt>
                <c:pt idx="8">
                  <c:v>0</c:v>
                </c:pt>
                <c:pt idx="9">
                  <c:v>0</c:v>
                </c:pt>
                <c:pt idx="10">
                  <c:v>2.6000000000000014</c:v>
                </c:pt>
                <c:pt idx="11">
                  <c:v>0</c:v>
                </c:pt>
                <c:pt idx="12">
                  <c:v>0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  <c:pt idx="16">
                  <c:v>0.7</c:v>
                </c:pt>
                <c:pt idx="17">
                  <c:v>0</c:v>
                </c:pt>
                <c:pt idx="18">
                  <c:v>0</c:v>
                </c:pt>
                <c:pt idx="19">
                  <c:v>1.4000000000000015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F1-407A-8D0A-9E5617D9A00C}"/>
            </c:ext>
          </c:extLst>
        </c:ser>
        <c:ser>
          <c:idx val="4"/>
          <c:order val="4"/>
          <c:tx>
            <c:v>tqq_bneg</c:v>
          </c:tx>
          <c:spPr>
            <a:solidFill>
              <a:srgbClr val="9DC3E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multiLvlStrRef>
              <c:f>_ThinQQ!$AC$422:$AD$441</c:f>
              <c:multiLvlStrCache>
                <c:ptCount val="20"/>
                <c:lvl>
                  <c:pt idx="0">
                    <c:v> </c:v>
                  </c:pt>
                  <c:pt idx="1">
                    <c:v> </c:v>
                  </c:pt>
                  <c:pt idx="2">
                    <c:v> </c:v>
                  </c:pt>
                  <c:pt idx="3">
                    <c:v> </c:v>
                  </c:pt>
                  <c:pt idx="4">
                    <c:v> 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 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</c:lvl>
                <c:lvl>
                  <c:pt idx="0">
                    <c:v>Receita bruta</c:v>
                  </c:pt>
                  <c:pt idx="2">
                    <c:v> </c:v>
                  </c:pt>
                  <c:pt idx="3">
                    <c:v>Custo das mercadorias</c:v>
                  </c:pt>
                  <c:pt idx="5">
                    <c:v> </c:v>
                  </c:pt>
                  <c:pt idx="6">
                    <c:v>Despesas operacionais</c:v>
                  </c:pt>
                  <c:pt idx="8">
                    <c:v> </c:v>
                  </c:pt>
                  <c:pt idx="9">
                    <c:v>EBITDA</c:v>
                  </c:pt>
                  <c:pt idx="11">
                    <c:v> </c:v>
                  </c:pt>
                  <c:pt idx="12">
                    <c:v>Depreciação e juros</c:v>
                  </c:pt>
                  <c:pt idx="14">
                    <c:v> </c:v>
                  </c:pt>
                  <c:pt idx="15">
                    <c:v>Impostos</c:v>
                  </c:pt>
                  <c:pt idx="17">
                    <c:v> </c:v>
                  </c:pt>
                  <c:pt idx="18">
                    <c:v>Lucro líquido</c:v>
                  </c:pt>
                </c:lvl>
              </c:multiLvlStrCache>
            </c:multiLvlStrRef>
          </c:cat>
          <c:val>
            <c:numRef>
              <c:f>_ThinQQ!$AI$422:$AI$441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F1-407A-8D0A-9E5617D9A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618611104"/>
        <c:axId val="618618664"/>
      </c:barChart>
      <c:lineChart>
        <c:grouping val="standard"/>
        <c:varyColors val="0"/>
        <c:ser>
          <c:idx val="7"/>
          <c:order val="7"/>
          <c:tx>
            <c:v>tqq_lbl_a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ED7D31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_ThinQQ!$AK$422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{092AFC30-3C24-477E-831E-C66CF081A266}</c15:txfldGUID>
                      <c15:f>_ThinQQ!$AK$422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2F1-407A-8D0A-9E5617D9A00C}"/>
                </c:ext>
              </c:extLst>
            </c:dLbl>
            <c:dLbl>
              <c:idx val="1"/>
              <c:tx>
                <c:strRef>
                  <c:f>_ThinQQ!$AK$423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{B7BA570D-D2B8-4014-AC3E-847389B6D027}</c15:txfldGUID>
                      <c15:f>_ThinQQ!$AK$423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E2F1-407A-8D0A-9E5617D9A00C}"/>
                </c:ext>
              </c:extLst>
            </c:dLbl>
            <c:dLbl>
              <c:idx val="2"/>
              <c:tx>
                <c:strRef>
                  <c:f>_ThinQQ!$AK$424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{081A78F7-3739-456A-992D-9AEDE5E3823E}</c15:txfldGUID>
                      <c15:f>_ThinQQ!$AK$424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E2F1-407A-8D0A-9E5617D9A00C}"/>
                </c:ext>
              </c:extLst>
            </c:dLbl>
            <c:dLbl>
              <c:idx val="3"/>
              <c:tx>
                <c:strRef>
                  <c:f>_ThinQQ!$AK$425</c:f>
                  <c:strCache>
                    <c:ptCount val="1"/>
                    <c:pt idx="0">
                      <c:v>-18,0</c:v>
                    </c:pt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{83D7B7F9-5335-459D-AD5A-0637AA36EED3}</c15:txfldGUID>
                      <c15:f>_ThinQQ!$AK$425</c15:f>
                      <c15:dlblFieldTableCache>
                        <c:ptCount val="1"/>
                        <c:pt idx="0">
                          <c:v>-18,0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E2F1-407A-8D0A-9E5617D9A00C}"/>
                </c:ext>
              </c:extLst>
            </c:dLbl>
            <c:dLbl>
              <c:idx val="4"/>
              <c:tx>
                <c:strRef>
                  <c:f>_ThinQQ!$AK$426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{25D99FBA-E089-4261-AABB-F4BE08E9DF6A}</c15:txfldGUID>
                      <c15:f>_ThinQQ!$AK$426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E2F1-407A-8D0A-9E5617D9A00C}"/>
                </c:ext>
              </c:extLst>
            </c:dLbl>
            <c:dLbl>
              <c:idx val="5"/>
              <c:tx>
                <c:strRef>
                  <c:f>_ThinQQ!$AK$427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{23936CC5-7F26-4F11-9CB3-AB31CF0E77AE}</c15:txfldGUID>
                      <c15:f>_ThinQQ!$AK$427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E2F1-407A-8D0A-9E5617D9A00C}"/>
                </c:ext>
              </c:extLst>
            </c:dLbl>
            <c:dLbl>
              <c:idx val="6"/>
              <c:tx>
                <c:strRef>
                  <c:f>_ThinQQ!$AK$428</c:f>
                  <c:strCache>
                    <c:ptCount val="1"/>
                    <c:pt idx="0">
                      <c:v>-5,5</c:v>
                    </c:pt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{544F94BC-4C71-4B5C-A5A1-511E1A09E054}</c15:txfldGUID>
                      <c15:f>_ThinQQ!$AK$428</c15:f>
                      <c15:dlblFieldTableCache>
                        <c:ptCount val="1"/>
                        <c:pt idx="0">
                          <c:v>-5,5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E2F1-407A-8D0A-9E5617D9A00C}"/>
                </c:ext>
              </c:extLst>
            </c:dLbl>
            <c:dLbl>
              <c:idx val="7"/>
              <c:tx>
                <c:strRef>
                  <c:f>_ThinQQ!$AK$429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{E0E53C3C-3D8A-4B49-A1A6-CF2314F689BD}</c15:txfldGUID>
                      <c15:f>_ThinQQ!$AK$429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E2F1-407A-8D0A-9E5617D9A00C}"/>
                </c:ext>
              </c:extLst>
            </c:dLbl>
            <c:dLbl>
              <c:idx val="8"/>
              <c:tx>
                <c:strRef>
                  <c:f>_ThinQQ!$AK$430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{D92F10BF-7F1B-4DF4-B83D-CDCBBF679860}</c15:txfldGUID>
                      <c15:f>_ThinQQ!$AK$430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E2F1-407A-8D0A-9E5617D9A00C}"/>
                </c:ext>
              </c:extLst>
            </c:dLbl>
            <c:dLbl>
              <c:idx val="9"/>
              <c:tx>
                <c:strRef>
                  <c:f>_ThinQQ!$AK$431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{F4FC4A5E-887E-4A69-9ECF-87C55C0CB13C}</c15:txfldGUID>
                      <c15:f>_ThinQQ!$AK$431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E2F1-407A-8D0A-9E5617D9A00C}"/>
                </c:ext>
              </c:extLst>
            </c:dLbl>
            <c:dLbl>
              <c:idx val="10"/>
              <c:tx>
                <c:strRef>
                  <c:f>_ThinQQ!$AK$432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{FD1F679F-3450-463A-AE36-ACACFAA2AB67}</c15:txfldGUID>
                      <c15:f>_ThinQQ!$AK$432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E2F1-407A-8D0A-9E5617D9A00C}"/>
                </c:ext>
              </c:extLst>
            </c:dLbl>
            <c:dLbl>
              <c:idx val="11"/>
              <c:tx>
                <c:strRef>
                  <c:f>_ThinQQ!$AK$433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{A4E3C6FB-E814-4FCF-B142-383A83F12B91}</c15:txfldGUID>
                      <c15:f>_ThinQQ!$AK$433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E2F1-407A-8D0A-9E5617D9A00C}"/>
                </c:ext>
              </c:extLst>
            </c:dLbl>
            <c:dLbl>
              <c:idx val="12"/>
              <c:tx>
                <c:strRef>
                  <c:f>_ThinQQ!$AK$434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{EFC0FAEB-226D-428B-9E86-90FB6CFC8E92}</c15:txfldGUID>
                      <c15:f>_ThinQQ!$AK$434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E2F1-407A-8D0A-9E5617D9A00C}"/>
                </c:ext>
              </c:extLst>
            </c:dLbl>
            <c:dLbl>
              <c:idx val="13"/>
              <c:tx>
                <c:strRef>
                  <c:f>_ThinQQ!$AK$435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{2389CEFC-7C48-4F4A-A31B-AE66A16034A9}</c15:txfldGUID>
                      <c15:f>_ThinQQ!$AK$435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E2F1-407A-8D0A-9E5617D9A00C}"/>
                </c:ext>
              </c:extLst>
            </c:dLbl>
            <c:dLbl>
              <c:idx val="14"/>
              <c:tx>
                <c:strRef>
                  <c:f>_ThinQQ!$AK$436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{1460A73A-1735-4890-AF8F-ACE6EFBDDFAC}</c15:txfldGUID>
                      <c15:f>_ThinQQ!$AK$436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E2F1-407A-8D0A-9E5617D9A00C}"/>
                </c:ext>
              </c:extLst>
            </c:dLbl>
            <c:dLbl>
              <c:idx val="15"/>
              <c:tx>
                <c:strRef>
                  <c:f>_ThinQQ!$AK$437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{6659D4EF-319B-458A-AD54-3F2435E08D5B}</c15:txfldGUID>
                      <c15:f>_ThinQQ!$AK$437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E2F1-407A-8D0A-9E5617D9A00C}"/>
                </c:ext>
              </c:extLst>
            </c:dLbl>
            <c:dLbl>
              <c:idx val="16"/>
              <c:tx>
                <c:strRef>
                  <c:f>_ThinQQ!$AK$438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{217C1BE1-0F6A-4253-935B-B9B35975B6F1}</c15:txfldGUID>
                      <c15:f>_ThinQQ!$AK$438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E2F1-407A-8D0A-9E5617D9A00C}"/>
                </c:ext>
              </c:extLst>
            </c:dLbl>
            <c:dLbl>
              <c:idx val="17"/>
              <c:tx>
                <c:strRef>
                  <c:f>_ThinQQ!$AK$439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{46119605-C5C5-46A3-907A-733FCD7888B2}</c15:txfldGUID>
                      <c15:f>_ThinQQ!$AK$439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E2F1-407A-8D0A-9E5617D9A00C}"/>
                </c:ext>
              </c:extLst>
            </c:dLbl>
            <c:dLbl>
              <c:idx val="18"/>
              <c:tx>
                <c:strRef>
                  <c:f>_ThinQQ!$AK$440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{9BEDF578-B978-4D7B-90B5-5F4571C18660}</c15:txfldGUID>
                      <c15:f>_ThinQQ!$AK$440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E2F1-407A-8D0A-9E5617D9A00C}"/>
                </c:ext>
              </c:extLst>
            </c:dLbl>
            <c:dLbl>
              <c:idx val="19"/>
              <c:tx>
                <c:strRef>
                  <c:f>_ThinQQ!$AK$441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{6DBEAC91-CCD7-45B9-A595-81C53DD62ABA}</c15:txfldGUID>
                      <c15:f>_ThinQQ!$AK$441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E2F1-407A-8D0A-9E5617D9A00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_ThinQQ!$AJ$422:$AJ$441</c:f>
              <c:numCache>
                <c:formatCode>General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17.2</c:v>
                </c:pt>
                <c:pt idx="4">
                  <c:v>#N/A</c:v>
                </c:pt>
                <c:pt idx="5">
                  <c:v>#N/A</c:v>
                </c:pt>
                <c:pt idx="6">
                  <c:v>5.4499999999999993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2.3499999999999992</c:v>
                </c:pt>
                <c:pt idx="13">
                  <c:v>#N/A</c:v>
                </c:pt>
                <c:pt idx="14">
                  <c:v>#N/A</c:v>
                </c:pt>
                <c:pt idx="15">
                  <c:v>1.6499999999999995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F1-407A-8D0A-9E5617D9A00C}"/>
            </c:ext>
          </c:extLst>
        </c:ser>
        <c:ser>
          <c:idx val="8"/>
          <c:order val="8"/>
          <c:tx>
            <c:v>tqq_lbl_b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_ThinQQ!$AM$422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{225404E9-86EC-435D-A69D-CDB6E1AB1A90}</c15:txfldGUID>
                      <c15:f>_ThinQQ!$AM$422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E2F1-407A-8D0A-9E5617D9A00C}"/>
                </c:ext>
              </c:extLst>
            </c:dLbl>
            <c:dLbl>
              <c:idx val="1"/>
              <c:tx>
                <c:strRef>
                  <c:f>_ThinQQ!$AM$423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{F5D48CAE-EE21-4A5F-9A04-7BFA3C92729B}</c15:txfldGUID>
                      <c15:f>_ThinQQ!$AM$423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E2F1-407A-8D0A-9E5617D9A00C}"/>
                </c:ext>
              </c:extLst>
            </c:dLbl>
            <c:dLbl>
              <c:idx val="2"/>
              <c:tx>
                <c:strRef>
                  <c:f>_ThinQQ!$AM$424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{0EE28CF2-F127-4130-82BB-C95AEB761A45}</c15:txfldGUID>
                      <c15:f>_ThinQQ!$AM$424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E2F1-407A-8D0A-9E5617D9A00C}"/>
                </c:ext>
              </c:extLst>
            </c:dLbl>
            <c:dLbl>
              <c:idx val="3"/>
              <c:tx>
                <c:strRef>
                  <c:f>_ThinQQ!$AM$425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{F1CF776E-E69F-4753-8C18-FC91F47E407A}</c15:txfldGUID>
                      <c15:f>_ThinQQ!$AM$425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E2F1-407A-8D0A-9E5617D9A00C}"/>
                </c:ext>
              </c:extLst>
            </c:dLbl>
            <c:dLbl>
              <c:idx val="4"/>
              <c:tx>
                <c:strRef>
                  <c:f>_ThinQQ!$AM$426</c:f>
                  <c:strCache>
                    <c:ptCount val="1"/>
                    <c:pt idx="0">
                      <c:v>-14,1</c:v>
                    </c:pt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{B1DF23C5-B1FF-4EB0-B8F8-9A1B2651873D}</c15:txfldGUID>
                      <c15:f>_ThinQQ!$AM$426</c15:f>
                      <c15:dlblFieldTableCache>
                        <c:ptCount val="1"/>
                        <c:pt idx="0">
                          <c:v>-14,1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E2F1-407A-8D0A-9E5617D9A00C}"/>
                </c:ext>
              </c:extLst>
            </c:dLbl>
            <c:dLbl>
              <c:idx val="5"/>
              <c:tx>
                <c:strRef>
                  <c:f>_ThinQQ!$AM$427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{F60CBC33-F32B-4752-A049-9DCC1753F39B}</c15:txfldGUID>
                      <c15:f>_ThinQQ!$AM$427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E2F1-407A-8D0A-9E5617D9A00C}"/>
                </c:ext>
              </c:extLst>
            </c:dLbl>
            <c:dLbl>
              <c:idx val="6"/>
              <c:tx>
                <c:strRef>
                  <c:f>_ThinQQ!$AM$428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{3DAFBC4C-7F9F-4FCC-863F-9CCC99DBE155}</c15:txfldGUID>
                      <c15:f>_ThinQQ!$AM$428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E2F1-407A-8D0A-9E5617D9A00C}"/>
                </c:ext>
              </c:extLst>
            </c:dLbl>
            <c:dLbl>
              <c:idx val="7"/>
              <c:tx>
                <c:strRef>
                  <c:f>_ThinQQ!$AM$429</c:f>
                  <c:strCache>
                    <c:ptCount val="1"/>
                    <c:pt idx="0">
                      <c:v>-4,4</c:v>
                    </c:pt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{05D013FD-BAAB-4E21-BF05-059F8165A4C7}</c15:txfldGUID>
                      <c15:f>_ThinQQ!$AM$429</c15:f>
                      <c15:dlblFieldTableCache>
                        <c:ptCount val="1"/>
                        <c:pt idx="0">
                          <c:v>-4,4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E2F1-407A-8D0A-9E5617D9A00C}"/>
                </c:ext>
              </c:extLst>
            </c:dLbl>
            <c:dLbl>
              <c:idx val="8"/>
              <c:tx>
                <c:strRef>
                  <c:f>_ThinQQ!$AM$430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{AAA42A77-03D0-42DA-AF84-A09AE8B8D5B9}</c15:txfldGUID>
                      <c15:f>_ThinQQ!$AM$430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E2F1-407A-8D0A-9E5617D9A00C}"/>
                </c:ext>
              </c:extLst>
            </c:dLbl>
            <c:dLbl>
              <c:idx val="9"/>
              <c:tx>
                <c:strRef>
                  <c:f>_ThinQQ!$AM$431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{8F78DC94-4FC9-47F1-B1BE-5D5B83F9EC66}</c15:txfldGUID>
                      <c15:f>_ThinQQ!$AM$431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E2F1-407A-8D0A-9E5617D9A00C}"/>
                </c:ext>
              </c:extLst>
            </c:dLbl>
            <c:dLbl>
              <c:idx val="10"/>
              <c:tx>
                <c:strRef>
                  <c:f>_ThinQQ!$AM$432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{BF10692B-7C29-4F25-8CEF-856DA7D6995A}</c15:txfldGUID>
                      <c15:f>_ThinQQ!$AM$432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E2F1-407A-8D0A-9E5617D9A00C}"/>
                </c:ext>
              </c:extLst>
            </c:dLbl>
            <c:dLbl>
              <c:idx val="11"/>
              <c:tx>
                <c:strRef>
                  <c:f>_ThinQQ!$AM$433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{51112ED4-1BE1-4B62-8D4A-2AEAE3F7AAC7}</c15:txfldGUID>
                      <c15:f>_ThinQQ!$AM$433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E2F1-407A-8D0A-9E5617D9A00C}"/>
                </c:ext>
              </c:extLst>
            </c:dLbl>
            <c:dLbl>
              <c:idx val="12"/>
              <c:tx>
                <c:strRef>
                  <c:f>_ThinQQ!$AM$434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{F69E9226-62C2-472D-9442-F4A99BA81282}</c15:txfldGUID>
                      <c15:f>_ThinQQ!$AM$434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E2F1-407A-8D0A-9E5617D9A00C}"/>
                </c:ext>
              </c:extLst>
            </c:dLbl>
            <c:dLbl>
              <c:idx val="13"/>
              <c:tx>
                <c:strRef>
                  <c:f>_ThinQQ!$AM$435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{96732281-4817-4D1C-89D7-87DADA374067}</c15:txfldGUID>
                      <c15:f>_ThinQQ!$AM$435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E2F1-407A-8D0A-9E5617D9A00C}"/>
                </c:ext>
              </c:extLst>
            </c:dLbl>
            <c:dLbl>
              <c:idx val="14"/>
              <c:tx>
                <c:strRef>
                  <c:f>_ThinQQ!$AM$436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{EF908CF1-51D5-46B8-8A77-42F88BB49672}</c15:txfldGUID>
                      <c15:f>_ThinQQ!$AM$436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E2F1-407A-8D0A-9E5617D9A00C}"/>
                </c:ext>
              </c:extLst>
            </c:dLbl>
            <c:dLbl>
              <c:idx val="15"/>
              <c:tx>
                <c:strRef>
                  <c:f>_ThinQQ!$AM$437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{08408C7A-BF1B-42CC-AD9A-7251936182B4}</c15:txfldGUID>
                      <c15:f>_ThinQQ!$AM$437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E2F1-407A-8D0A-9E5617D9A00C}"/>
                </c:ext>
              </c:extLst>
            </c:dLbl>
            <c:dLbl>
              <c:idx val="16"/>
              <c:tx>
                <c:strRef>
                  <c:f>_ThinQQ!$AM$438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{95BE3C61-CA3A-4166-844C-7B212D6F6F60}</c15:txfldGUID>
                      <c15:f>_ThinQQ!$AM$438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E2F1-407A-8D0A-9E5617D9A00C}"/>
                </c:ext>
              </c:extLst>
            </c:dLbl>
            <c:dLbl>
              <c:idx val="17"/>
              <c:tx>
                <c:strRef>
                  <c:f>_ThinQQ!$AM$439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{D584B794-7C1E-4E2C-BB40-7E5FE2F6C136}</c15:txfldGUID>
                      <c15:f>_ThinQQ!$AM$439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E2F1-407A-8D0A-9E5617D9A00C}"/>
                </c:ext>
              </c:extLst>
            </c:dLbl>
            <c:dLbl>
              <c:idx val="18"/>
              <c:tx>
                <c:strRef>
                  <c:f>_ThinQQ!$AM$440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{07129A1A-B10D-41CF-87BD-3B0DDFA78750}</c15:txfldGUID>
                      <c15:f>_ThinQQ!$AM$440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E2F1-407A-8D0A-9E5617D9A00C}"/>
                </c:ext>
              </c:extLst>
            </c:dLbl>
            <c:dLbl>
              <c:idx val="19"/>
              <c:tx>
                <c:strRef>
                  <c:f>_ThinQQ!$AM$441</c:f>
                  <c:strCache>
                    <c:ptCount val="1"/>
                  </c:strCache>
                </c:strRef>
              </c:tx>
              <c:numFmt formatCode="#,##0.0;\-#,##0.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{D9C2F12F-FA0A-46B3-BB12-CD7CE3019E19}</c15:txfldGUID>
                      <c15:f>_ThinQQ!$AM$441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E2F1-407A-8D0A-9E5617D9A00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_ThinQQ!$AL$422:$AL$441</c:f>
              <c:numCache>
                <c:formatCode>General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14.05</c:v>
                </c:pt>
                <c:pt idx="5">
                  <c:v>#N/A</c:v>
                </c:pt>
                <c:pt idx="6">
                  <c:v>#N/A</c:v>
                </c:pt>
                <c:pt idx="7">
                  <c:v>4.8000000000000016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2.3500000000000014</c:v>
                </c:pt>
                <c:pt idx="14">
                  <c:v>#N/A</c:v>
                </c:pt>
                <c:pt idx="15">
                  <c:v>#N/A</c:v>
                </c:pt>
                <c:pt idx="16">
                  <c:v>1.7500000000000013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2F1-407A-8D0A-9E5617D9A00C}"/>
            </c:ext>
          </c:extLst>
        </c:ser>
        <c:ser>
          <c:idx val="9"/>
          <c:order val="9"/>
          <c:tx>
            <c:v>tqq_lbltot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>
                      <a:tint val="77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_ThinQQ!$AO$422</c:f>
                  <c:strCache>
                    <c:ptCount val="1"/>
                    <c:pt idx="0">
                      <c:v>26,2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{2029B118-B4E8-4EB8-A3C1-269FEA58EA54}</c15:txfldGUID>
                      <c15:f>_ThinQQ!$AO$422</c15:f>
                      <c15:dlblFieldTableCache>
                        <c:ptCount val="1"/>
                        <c:pt idx="0">
                          <c:v>26,2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E2F1-407A-8D0A-9E5617D9A00C}"/>
                </c:ext>
              </c:extLst>
            </c:dLbl>
            <c:dLbl>
              <c:idx val="1"/>
              <c:tx>
                <c:strRef>
                  <c:f>_ThinQQ!$AO$423</c:f>
                  <c:strCache>
                    <c:ptCount val="1"/>
                    <c:pt idx="0">
                      <c:v>21,1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{EDD7B930-B703-4D1F-A927-EA442D51661F}</c15:txfldGUID>
                      <c15:f>_ThinQQ!$AO$423</c15:f>
                      <c15:dlblFieldTableCache>
                        <c:ptCount val="1"/>
                        <c:pt idx="0">
                          <c:v>21,1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E2F1-407A-8D0A-9E5617D9A00C}"/>
                </c:ext>
              </c:extLst>
            </c:dLbl>
            <c:dLbl>
              <c:idx val="2"/>
              <c:tx>
                <c:strRef>
                  <c:f>_ThinQQ!$AO$424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{56D3ACE5-BA77-436E-B0EA-902E69E217A4}</c15:txfldGUID>
                      <c15:f>_ThinQQ!$AO$424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E2F1-407A-8D0A-9E5617D9A00C}"/>
                </c:ext>
              </c:extLst>
            </c:dLbl>
            <c:dLbl>
              <c:idx val="3"/>
              <c:tx>
                <c:strRef>
                  <c:f>_ThinQQ!$AO$425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{02D9C6A4-6DC3-4392-8A05-E5E198DE103D}</c15:txfldGUID>
                      <c15:f>_ThinQQ!$AO$425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E2F1-407A-8D0A-9E5617D9A00C}"/>
                </c:ext>
              </c:extLst>
            </c:dLbl>
            <c:dLbl>
              <c:idx val="4"/>
              <c:tx>
                <c:strRef>
                  <c:f>_ThinQQ!$AO$426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{C625E958-A06D-40D7-A21A-526521EB64C7}</c15:txfldGUID>
                      <c15:f>_ThinQQ!$AO$426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E2F1-407A-8D0A-9E5617D9A00C}"/>
                </c:ext>
              </c:extLst>
            </c:dLbl>
            <c:dLbl>
              <c:idx val="5"/>
              <c:tx>
                <c:strRef>
                  <c:f>_ThinQQ!$AO$427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{858A678E-4B74-4BCD-9FA5-DF841C0CD857}</c15:txfldGUID>
                      <c15:f>_ThinQQ!$AO$427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E2F1-407A-8D0A-9E5617D9A00C}"/>
                </c:ext>
              </c:extLst>
            </c:dLbl>
            <c:dLbl>
              <c:idx val="6"/>
              <c:tx>
                <c:strRef>
                  <c:f>_ThinQQ!$AO$428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{54C18D92-C160-4189-AF43-0B66F9E4E322}</c15:txfldGUID>
                      <c15:f>_ThinQQ!$AO$428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E2F1-407A-8D0A-9E5617D9A00C}"/>
                </c:ext>
              </c:extLst>
            </c:dLbl>
            <c:dLbl>
              <c:idx val="7"/>
              <c:tx>
                <c:strRef>
                  <c:f>_ThinQQ!$AO$429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{BBD988B5-F014-4AE1-8CC4-A915BB9BB295}</c15:txfldGUID>
                      <c15:f>_ThinQQ!$AO$429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E2F1-407A-8D0A-9E5617D9A00C}"/>
                </c:ext>
              </c:extLst>
            </c:dLbl>
            <c:dLbl>
              <c:idx val="8"/>
              <c:tx>
                <c:strRef>
                  <c:f>_ThinQQ!$AO$430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{A1BBD7C4-F076-4324-88D3-8DA04300DD9B}</c15:txfldGUID>
                      <c15:f>_ThinQQ!$AO$430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E2F1-407A-8D0A-9E5617D9A00C}"/>
                </c:ext>
              </c:extLst>
            </c:dLbl>
            <c:dLbl>
              <c:idx val="9"/>
              <c:tx>
                <c:strRef>
                  <c:f>_ThinQQ!$AO$431</c:f>
                  <c:strCache>
                    <c:ptCount val="1"/>
                    <c:pt idx="0">
                      <c:v>2,7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{226035D9-BD32-4CBC-A593-F9D32970F53E}</c15:txfldGUID>
                      <c15:f>_ThinQQ!$AO$431</c15:f>
                      <c15:dlblFieldTableCache>
                        <c:ptCount val="1"/>
                        <c:pt idx="0">
                          <c:v>2,7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E2F1-407A-8D0A-9E5617D9A00C}"/>
                </c:ext>
              </c:extLst>
            </c:dLbl>
            <c:dLbl>
              <c:idx val="10"/>
              <c:tx>
                <c:strRef>
                  <c:f>_ThinQQ!$AO$432</c:f>
                  <c:strCache>
                    <c:ptCount val="1"/>
                    <c:pt idx="0">
                      <c:v>2,6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{FE179B4F-79E2-4F3C-BEDA-96D1E1FA2322}</c15:txfldGUID>
                      <c15:f>_ThinQQ!$AO$432</c15:f>
                      <c15:dlblFieldTableCache>
                        <c:ptCount val="1"/>
                        <c:pt idx="0">
                          <c:v>2,6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E2F1-407A-8D0A-9E5617D9A00C}"/>
                </c:ext>
              </c:extLst>
            </c:dLbl>
            <c:dLbl>
              <c:idx val="11"/>
              <c:tx>
                <c:strRef>
                  <c:f>_ThinQQ!$AO$433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{812D4CF7-5415-4612-B4E9-FD9D4A757EAC}</c15:txfldGUID>
                      <c15:f>_ThinQQ!$AO$433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E2F1-407A-8D0A-9E5617D9A00C}"/>
                </c:ext>
              </c:extLst>
            </c:dLbl>
            <c:dLbl>
              <c:idx val="12"/>
              <c:tx>
                <c:strRef>
                  <c:f>_ThinQQ!$AO$434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{170365CB-B2AA-4425-8E18-2464871CA455}</c15:txfldGUID>
                      <c15:f>_ThinQQ!$AO$434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E2F1-407A-8D0A-9E5617D9A00C}"/>
                </c:ext>
              </c:extLst>
            </c:dLbl>
            <c:dLbl>
              <c:idx val="13"/>
              <c:tx>
                <c:strRef>
                  <c:f>_ThinQQ!$AO$435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{B6C078A7-9783-4F36-8F88-314296DE2A02}</c15:txfldGUID>
                      <c15:f>_ThinQQ!$AO$435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E2F1-407A-8D0A-9E5617D9A00C}"/>
                </c:ext>
              </c:extLst>
            </c:dLbl>
            <c:dLbl>
              <c:idx val="14"/>
              <c:tx>
                <c:strRef>
                  <c:f>_ThinQQ!$AO$436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{C8CB3D7D-72F0-45DB-9CF7-C57EF72AF9BE}</c15:txfldGUID>
                      <c15:f>_ThinQQ!$AO$436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E2F1-407A-8D0A-9E5617D9A00C}"/>
                </c:ext>
              </c:extLst>
            </c:dLbl>
            <c:dLbl>
              <c:idx val="15"/>
              <c:tx>
                <c:strRef>
                  <c:f>_ThinQQ!$AO$437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{2FE3C5AF-F48F-4DFE-9250-E4570D0C518D}</c15:txfldGUID>
                      <c15:f>_ThinQQ!$AO$437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E2F1-407A-8D0A-9E5617D9A00C}"/>
                </c:ext>
              </c:extLst>
            </c:dLbl>
            <c:dLbl>
              <c:idx val="16"/>
              <c:tx>
                <c:strRef>
                  <c:f>_ThinQQ!$AO$438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{4A87E1DE-2882-4B6E-BBBB-32E57AC3B75D}</c15:txfldGUID>
                      <c15:f>_ThinQQ!$AO$438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E2F1-407A-8D0A-9E5617D9A00C}"/>
                </c:ext>
              </c:extLst>
            </c:dLbl>
            <c:dLbl>
              <c:idx val="17"/>
              <c:tx>
                <c:strRef>
                  <c:f>_ThinQQ!$AO$439</c:f>
                  <c:strCache>
                    <c:ptCount val="1"/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{07DECA37-43D7-4AC7-B7F4-D03A05A0DE26}</c15:txfldGUID>
                      <c15:f>_ThinQQ!$AO$439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E2F1-407A-8D0A-9E5617D9A00C}"/>
                </c:ext>
              </c:extLst>
            </c:dLbl>
            <c:dLbl>
              <c:idx val="18"/>
              <c:tx>
                <c:strRef>
                  <c:f>_ThinQQ!$AO$440</c:f>
                  <c:strCache>
                    <c:ptCount val="1"/>
                    <c:pt idx="0">
                      <c:v>1,3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{1A6555E4-76ED-40F9-8698-175CAD9BE910}</c15:txfldGUID>
                      <c15:f>_ThinQQ!$AO$440</c15:f>
                      <c15:dlblFieldTableCache>
                        <c:ptCount val="1"/>
                        <c:pt idx="0">
                          <c:v>1,3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E2F1-407A-8D0A-9E5617D9A00C}"/>
                </c:ext>
              </c:extLst>
            </c:dLbl>
            <c:dLbl>
              <c:idx val="19"/>
              <c:tx>
                <c:strRef>
                  <c:f>_ThinQQ!$AO$441</c:f>
                  <c:strCache>
                    <c:ptCount val="1"/>
                    <c:pt idx="0">
                      <c:v>1,4</c:v>
                    </c:pt>
                  </c:strCache>
                </c:strRef>
              </c:tx>
              <c:numFmt formatCode="#,##0;\-#,##0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1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{ABCD3234-4E74-4FD6-9385-F427ABDA8FEF}</c15:txfldGUID>
                      <c15:f>_ThinQQ!$AO$441</c15:f>
                      <c15:dlblFieldTableCache>
                        <c:ptCount val="1"/>
                        <c:pt idx="0">
                          <c:v>1,4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E2F1-407A-8D0A-9E5617D9A0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_ThinQQ!$AN$422:$AN$441</c:f>
              <c:numCache>
                <c:formatCode>General</c:formatCode>
                <c:ptCount val="20"/>
                <c:pt idx="0">
                  <c:v>26.2</c:v>
                </c:pt>
                <c:pt idx="1">
                  <c:v>21.1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2.6999999999999993</c:v>
                </c:pt>
                <c:pt idx="10">
                  <c:v>2.6000000000000014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1.2999999999999994</c:v>
                </c:pt>
                <c:pt idx="19">
                  <c:v>1.4000000000000015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2F1-407A-8D0A-9E5617D9A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611104"/>
        <c:axId val="618618664"/>
      </c:lineChart>
      <c:scatterChart>
        <c:scatterStyle val="lineMarker"/>
        <c:varyColors val="0"/>
        <c:ser>
          <c:idx val="5"/>
          <c:order val="5"/>
          <c:tx>
            <c:v>tqq_zero</c:v>
          </c:tx>
          <c:spPr>
            <a:ln w="9525">
              <a:solidFill>
                <a:srgbClr val="A6A6A6"/>
              </a:solidFill>
            </a:ln>
          </c:spPr>
          <c:marker>
            <c:symbol val="none"/>
          </c:marker>
          <c:xVal>
            <c:numRef>
              <c:f>_ThinQQ!$BE$422:$BE$423</c:f>
              <c:numCache>
                <c:formatCode>General</c:formatCode>
                <c:ptCount val="2"/>
                <c:pt idx="0">
                  <c:v>0.5</c:v>
                </c:pt>
                <c:pt idx="1">
                  <c:v>20.5</c:v>
                </c:pt>
              </c:numCache>
            </c:numRef>
          </c:xVal>
          <c:yVal>
            <c:numRef>
              <c:f>_ThinQQ!$BF$422:$BF$423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F1-407A-8D0A-9E5617D9A00C}"/>
            </c:ext>
          </c:extLst>
        </c:ser>
        <c:ser>
          <c:idx val="6"/>
          <c:order val="6"/>
          <c:tx>
            <c:v>tqq_names</c:v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_ThinQQ!$BD$422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FFFFFF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{B7A0046F-3707-4A21-8D58-BD1E5E566B38}</c15:txfldGUID>
                      <c15:f>_ThinQQ!$BD$422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E2F1-407A-8D0A-9E5617D9A00C}"/>
                </c:ext>
              </c:extLst>
            </c:dLbl>
            <c:dLbl>
              <c:idx val="1"/>
              <c:tx>
                <c:strRef>
                  <c:f>_ThinQQ!$BD$423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{069C27A6-9A3E-4435-B4B4-E218B6312D85}</c15:txfldGUID>
                      <c15:f>_ThinQQ!$BD$423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E2F1-407A-8D0A-9E5617D9A00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_ThinQQ!$BB$422:$BB$423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_ThinQQ!$BC$422:$BC$423</c:f>
              <c:numCache>
                <c:formatCode>General</c:formatCode>
                <c:ptCount val="2"/>
                <c:pt idx="0">
                  <c:v>13.1</c:v>
                </c:pt>
                <c:pt idx="1">
                  <c:v>10.55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F1-407A-8D0A-9E5617D9A00C}"/>
            </c:ext>
          </c:extLst>
        </c:ser>
        <c:ser>
          <c:idx val="10"/>
          <c:order val="10"/>
          <c:tx>
            <c:v>tqq_conn_a</c:v>
          </c:tx>
          <c:spPr>
            <a:ln w="19050">
              <a:noFill/>
            </a:ln>
          </c:spPr>
          <c:marker>
            <c:symbol val="none"/>
          </c:marker>
          <c:errBars>
            <c:errDir val="x"/>
            <c:errBarType val="plus"/>
            <c:errValType val="cust"/>
            <c:noEndCap val="1"/>
            <c:plus>
              <c:numRef>
                <c:f>_ThinQQ!$AT$422:$AT$427</c:f>
                <c:numCache>
                  <c:formatCode>General</c:formatCode>
                  <c:ptCount val="6"/>
                  <c:pt idx="0">
                    <c:v>2.2307692307692308</c:v>
                  </c:pt>
                  <c:pt idx="1">
                    <c:v>2.2307692307692308</c:v>
                  </c:pt>
                  <c:pt idx="2">
                    <c:v>2.2307692307692308</c:v>
                  </c:pt>
                  <c:pt idx="3">
                    <c:v>2.2307692307692308</c:v>
                  </c:pt>
                  <c:pt idx="4">
                    <c:v>2.2307692307692308</c:v>
                  </c:pt>
                  <c:pt idx="5">
                    <c:v>2.2307692307692308</c:v>
                  </c:pt>
                </c:numCache>
              </c:numRef>
            </c:plus>
            <c:spPr>
              <a:ln w="9525">
                <a:solidFill>
                  <a:srgbClr val="737373"/>
                </a:solidFill>
                <a:prstDash val="dash"/>
              </a:ln>
            </c:spPr>
          </c:errBars>
          <c:xVal>
            <c:numRef>
              <c:f>_ThinQQ!$AR$422:$AR$427</c:f>
              <c:numCache>
                <c:formatCode>General</c:formatCode>
                <c:ptCount val="6"/>
                <c:pt idx="0">
                  <c:v>1.3846153846153846</c:v>
                </c:pt>
                <c:pt idx="1">
                  <c:v>4.384615384615385</c:v>
                </c:pt>
                <c:pt idx="2">
                  <c:v>7.384615384615385</c:v>
                </c:pt>
                <c:pt idx="3">
                  <c:v>10.384615384615385</c:v>
                </c:pt>
                <c:pt idx="4">
                  <c:v>13.384615384615385</c:v>
                </c:pt>
                <c:pt idx="5">
                  <c:v>16.384615384615383</c:v>
                </c:pt>
              </c:numCache>
            </c:numRef>
          </c:xVal>
          <c:yVal>
            <c:numRef>
              <c:f>_ThinQQ!$AS$422:$AS$427</c:f>
              <c:numCache>
                <c:formatCode>General</c:formatCode>
                <c:ptCount val="6"/>
                <c:pt idx="0">
                  <c:v>26.2</c:v>
                </c:pt>
                <c:pt idx="1">
                  <c:v>8.1999999999999993</c:v>
                </c:pt>
                <c:pt idx="2">
                  <c:v>2.6999999999999993</c:v>
                </c:pt>
                <c:pt idx="3">
                  <c:v>2.6999999999999993</c:v>
                </c:pt>
                <c:pt idx="4">
                  <c:v>1.9999999999999993</c:v>
                </c:pt>
                <c:pt idx="5">
                  <c:v>1.2999999999999994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E2F1-407A-8D0A-9E5617D9A00C}"/>
            </c:ext>
          </c:extLst>
        </c:ser>
        <c:ser>
          <c:idx val="11"/>
          <c:order val="11"/>
          <c:tx>
            <c:v>tqq_conn_b</c:v>
          </c:tx>
          <c:spPr>
            <a:ln w="19050">
              <a:noFill/>
            </a:ln>
          </c:spPr>
          <c:marker>
            <c:symbol val="none"/>
          </c:marker>
          <c:errBars>
            <c:errDir val="x"/>
            <c:errBarType val="plus"/>
            <c:errValType val="cust"/>
            <c:noEndCap val="1"/>
            <c:plus>
              <c:numRef>
                <c:f>_ThinQQ!$AT$422:$AT$427</c:f>
                <c:numCache>
                  <c:formatCode>General</c:formatCode>
                  <c:ptCount val="6"/>
                  <c:pt idx="0">
                    <c:v>2.2307692307692308</c:v>
                  </c:pt>
                  <c:pt idx="1">
                    <c:v>2.2307692307692308</c:v>
                  </c:pt>
                  <c:pt idx="2">
                    <c:v>2.2307692307692308</c:v>
                  </c:pt>
                  <c:pt idx="3">
                    <c:v>2.2307692307692308</c:v>
                  </c:pt>
                  <c:pt idx="4">
                    <c:v>2.2307692307692308</c:v>
                  </c:pt>
                  <c:pt idx="5">
                    <c:v>2.2307692307692308</c:v>
                  </c:pt>
                </c:numCache>
              </c:numRef>
            </c:plus>
            <c:spPr>
              <a:ln w="9525">
                <a:solidFill>
                  <a:srgbClr val="737373"/>
                </a:solidFill>
                <a:prstDash val="dash"/>
              </a:ln>
            </c:spPr>
          </c:errBars>
          <c:xVal>
            <c:numRef>
              <c:f>_ThinQQ!$AU$422:$AU$427</c:f>
              <c:numCache>
                <c:formatCode>General</c:formatCode>
                <c:ptCount val="6"/>
                <c:pt idx="0">
                  <c:v>2.3846153846153846</c:v>
                </c:pt>
                <c:pt idx="1">
                  <c:v>5.384615384615385</c:v>
                </c:pt>
                <c:pt idx="2">
                  <c:v>8.384615384615385</c:v>
                </c:pt>
                <c:pt idx="3">
                  <c:v>11.384615384615385</c:v>
                </c:pt>
                <c:pt idx="4">
                  <c:v>14.384615384615385</c:v>
                </c:pt>
                <c:pt idx="5">
                  <c:v>17.384615384615383</c:v>
                </c:pt>
              </c:numCache>
            </c:numRef>
          </c:xVal>
          <c:yVal>
            <c:numRef>
              <c:f>_ThinQQ!$AV$422:$AV$427</c:f>
              <c:numCache>
                <c:formatCode>General</c:formatCode>
                <c:ptCount val="6"/>
                <c:pt idx="0">
                  <c:v>21.1</c:v>
                </c:pt>
                <c:pt idx="1">
                  <c:v>7.0000000000000018</c:v>
                </c:pt>
                <c:pt idx="2">
                  <c:v>2.6000000000000014</c:v>
                </c:pt>
                <c:pt idx="3">
                  <c:v>2.6000000000000014</c:v>
                </c:pt>
                <c:pt idx="4">
                  <c:v>2.1000000000000014</c:v>
                </c:pt>
                <c:pt idx="5">
                  <c:v>1.4000000000000015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E2F1-407A-8D0A-9E5617D9A00C}"/>
            </c:ext>
          </c:extLst>
        </c:ser>
        <c:ser>
          <c:idx val="12"/>
          <c:order val="12"/>
          <c:tx>
            <c:v>tqq_pd</c:v>
          </c:tx>
          <c:spPr>
            <a:ln w="12700">
              <a:solidFill>
                <a:srgbClr val="595959"/>
              </a:solidFill>
              <a:tailEnd type="triangle" w="sm" len="sm"/>
            </a:ln>
          </c:spPr>
          <c:marker>
            <c:symbol val="none"/>
          </c:marker>
          <c:dLbls>
            <c:dLbl>
              <c:idx val="2"/>
              <c:tx>
                <c:strRef>
                  <c:f>_ThinQQ!$AY$424</c:f>
                  <c:strCache>
                    <c:ptCount val="1"/>
                    <c:pt idx="0">
                      <c:v>-5,1</c:v>
                    </c:pt>
                  </c:strCache>
                </c:strRef>
              </c:tx>
              <c:spPr>
                <a:solidFill>
                  <a:srgbClr val="FFFFFF"/>
                </a:solidFill>
                <a:ln w="9525">
                  <a:solidFill>
                    <a:srgbClr val="A6A6A6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dlblFieldTable>
                    <c15:dlblFTEntry>
                      <c15:txfldGUID>{225C48B4-D6B0-499F-AF6E-C16AEF4AB0FE}</c15:txfldGUID>
                      <c15:f>_ThinQQ!$AY$424</c15:f>
                      <c15:dlblFieldTableCache>
                        <c:ptCount val="1"/>
                        <c:pt idx="0">
                          <c:v>-5,1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E2F1-407A-8D0A-9E5617D9A00C}"/>
                </c:ext>
              </c:extLst>
            </c:dLbl>
            <c:dLbl>
              <c:idx val="8"/>
              <c:tx>
                <c:strRef>
                  <c:f>_ThinQQ!$AY$430</c:f>
                  <c:strCache>
                    <c:ptCount val="1"/>
                    <c:pt idx="0">
                      <c:v>+3,9</c:v>
                    </c:pt>
                  </c:strCache>
                </c:strRef>
              </c:tx>
              <c:spPr>
                <a:solidFill>
                  <a:srgbClr val="FFFFFF"/>
                </a:solidFill>
                <a:ln w="9525">
                  <a:solidFill>
                    <a:srgbClr val="A6A6A6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dlblFieldTable>
                    <c15:dlblFTEntry>
                      <c15:txfldGUID>{E7419CEC-C1E4-4BF9-A13E-5F16B87375C1}</c15:txfldGUID>
                      <c15:f>_ThinQQ!$AY$430</c15:f>
                      <c15:dlblFieldTableCache>
                        <c:ptCount val="1"/>
                        <c:pt idx="0">
                          <c:v>+3,9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E2F1-407A-8D0A-9E5617D9A00C}"/>
                </c:ext>
              </c:extLst>
            </c:dLbl>
            <c:dLbl>
              <c:idx val="14"/>
              <c:tx>
                <c:strRef>
                  <c:f>_ThinQQ!$AY$436</c:f>
                  <c:strCache>
                    <c:ptCount val="1"/>
                    <c:pt idx="0">
                      <c:v>+1,1</c:v>
                    </c:pt>
                  </c:strCache>
                </c:strRef>
              </c:tx>
              <c:spPr>
                <a:solidFill>
                  <a:srgbClr val="FFFFFF"/>
                </a:solidFill>
                <a:ln w="9525">
                  <a:solidFill>
                    <a:srgbClr val="A6A6A6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dlblFieldTable>
                    <c15:dlblFTEntry>
                      <c15:txfldGUID>{3807DE20-026C-4BB7-A796-67F66B8F5BD3}</c15:txfldGUID>
                      <c15:f>_ThinQQ!$AY$436</c15:f>
                      <c15:dlblFieldTableCache>
                        <c:ptCount val="1"/>
                        <c:pt idx="0">
                          <c:v>+1,1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E2F1-407A-8D0A-9E5617D9A00C}"/>
                </c:ext>
              </c:extLst>
            </c:dLbl>
            <c:dLbl>
              <c:idx val="20"/>
              <c:tx>
                <c:strRef>
                  <c:f>_ThinQQ!$AY$442</c:f>
                  <c:strCache>
                    <c:ptCount val="1"/>
                    <c:pt idx="0">
                      <c:v>-0,1</c:v>
                    </c:pt>
                  </c:strCache>
                </c:strRef>
              </c:tx>
              <c:spPr>
                <a:solidFill>
                  <a:srgbClr val="FFFFFF"/>
                </a:solidFill>
                <a:ln w="9525">
                  <a:solidFill>
                    <a:srgbClr val="A6A6A6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dlblFieldTable>
                    <c15:dlblFTEntry>
                      <c15:txfldGUID>{D10906C6-D138-4EAD-AECF-9B6F00D03CA2}</c15:txfldGUID>
                      <c15:f>_ThinQQ!$AY$442</c15:f>
                      <c15:dlblFieldTableCache>
                        <c:ptCount val="1"/>
                        <c:pt idx="0">
                          <c:v>-0,1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E2F1-407A-8D0A-9E5617D9A00C}"/>
                </c:ext>
              </c:extLst>
            </c:dLbl>
            <c:dLbl>
              <c:idx val="26"/>
              <c:tx>
                <c:strRef>
                  <c:f>_ThinQQ!$AY$448</c:f>
                  <c:strCache>
                    <c:ptCount val="1"/>
                    <c:pt idx="0">
                      <c:v>+0,2</c:v>
                    </c:pt>
                  </c:strCache>
                </c:strRef>
              </c:tx>
              <c:spPr>
                <a:solidFill>
                  <a:srgbClr val="FFFFFF"/>
                </a:solidFill>
                <a:ln w="9525">
                  <a:solidFill>
                    <a:srgbClr val="A6A6A6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dlblFieldTable>
                    <c15:dlblFTEntry>
                      <c15:txfldGUID>{F9D576C7-EE46-48E6-A60C-E94ABB658965}</c15:txfldGUID>
                      <c15:f>_ThinQQ!$AY$448</c15:f>
                      <c15:dlblFieldTableCache>
                        <c:ptCount val="1"/>
                        <c:pt idx="0">
                          <c:v>+0,2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E2F1-407A-8D0A-9E5617D9A00C}"/>
                </c:ext>
              </c:extLst>
            </c:dLbl>
            <c:dLbl>
              <c:idx val="32"/>
              <c:tx>
                <c:strRef>
                  <c:f>_ThinQQ!$AY$454</c:f>
                  <c:strCache>
                    <c:ptCount val="1"/>
                    <c:pt idx="0">
                      <c:v>0,0</c:v>
                    </c:pt>
                  </c:strCache>
                </c:strRef>
              </c:tx>
              <c:spPr>
                <a:solidFill>
                  <a:srgbClr val="FFFFFF"/>
                </a:solidFill>
                <a:ln w="9525">
                  <a:solidFill>
                    <a:srgbClr val="A6A6A6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dlblFieldTable>
                    <c15:dlblFTEntry>
                      <c15:txfldGUID>{19A65EFC-C627-4BC7-AEE8-298C68597562}</c15:txfldGUID>
                      <c15:f>_ThinQQ!$AY$454</c15:f>
                      <c15:dlblFieldTableCache>
                        <c:ptCount val="1"/>
                        <c:pt idx="0">
                          <c:v>0,0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E2F1-407A-8D0A-9E5617D9A00C}"/>
                </c:ext>
              </c:extLst>
            </c:dLbl>
            <c:dLbl>
              <c:idx val="38"/>
              <c:tx>
                <c:strRef>
                  <c:f>_ThinQQ!$AY$460</c:f>
                  <c:strCache>
                    <c:ptCount val="1"/>
                    <c:pt idx="0">
                      <c:v>+0,1</c:v>
                    </c:pt>
                  </c:strCache>
                </c:strRef>
              </c:tx>
              <c:spPr>
                <a:solidFill>
                  <a:srgbClr val="FFFFFF"/>
                </a:solidFill>
                <a:ln w="9525">
                  <a:solidFill>
                    <a:srgbClr val="A6A6A6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 b="0">
                      <a:solidFill>
                        <a:srgbClr val="404040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dlblFieldTable>
                    <c15:dlblFTEntry>
                      <c15:txfldGUID>{BD469439-4190-4E21-B7E0-45D402AA94E5}</c15:txfldGUID>
                      <c15:f>_ThinQQ!$AY$460</c15:f>
                      <c15:dlblFieldTableCache>
                        <c:ptCount val="1"/>
                        <c:pt idx="0">
                          <c:v>+0,1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E2F1-407A-8D0A-9E5617D9A00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_ThinQQ!$AW$422:$AW$462</c:f>
              <c:numCache>
                <c:formatCode>General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</c:v>
                </c:pt>
                <c:pt idx="12">
                  <c:v>7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</c:v>
                </c:pt>
                <c:pt idx="18">
                  <c:v>10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</c:v>
                </c:pt>
                <c:pt idx="24">
                  <c:v>13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</c:v>
                </c:pt>
                <c:pt idx="30">
                  <c:v>16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</c:v>
                </c:pt>
                <c:pt idx="36">
                  <c:v>19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</c:v>
                </c:pt>
              </c:numCache>
            </c:numRef>
          </c:xVal>
          <c:yVal>
            <c:numRef>
              <c:f>_ThinQQ!$AX$422:$AX$462</c:f>
              <c:numCache>
                <c:formatCode>General</c:formatCode>
                <c:ptCount val="41"/>
                <c:pt idx="0">
                  <c:v>28.968604774944339</c:v>
                </c:pt>
                <c:pt idx="1">
                  <c:v>30.478752834004887</c:v>
                </c:pt>
                <c:pt idx="2">
                  <c:v>30.478752834004887</c:v>
                </c:pt>
                <c:pt idx="3">
                  <c:v>30.478752834004887</c:v>
                </c:pt>
                <c:pt idx="4">
                  <c:v>23.868604774944341</c:v>
                </c:pt>
                <c:pt idx="6">
                  <c:v>26.577537014765138</c:v>
                </c:pt>
                <c:pt idx="7">
                  <c:v>28.087685073825686</c:v>
                </c:pt>
                <c:pt idx="8">
                  <c:v>28.087685073825686</c:v>
                </c:pt>
                <c:pt idx="9">
                  <c:v>28.087685073825686</c:v>
                </c:pt>
                <c:pt idx="10">
                  <c:v>21.47753701476514</c:v>
                </c:pt>
                <c:pt idx="12">
                  <c:v>8.5775370147651362</c:v>
                </c:pt>
                <c:pt idx="13">
                  <c:v>10.087685073825686</c:v>
                </c:pt>
                <c:pt idx="14">
                  <c:v>10.087685073825686</c:v>
                </c:pt>
                <c:pt idx="15">
                  <c:v>10.087685073825686</c:v>
                </c:pt>
                <c:pt idx="16">
                  <c:v>7.3775370147651387</c:v>
                </c:pt>
                <c:pt idx="18">
                  <c:v>5.4686047749443381</c:v>
                </c:pt>
                <c:pt idx="19">
                  <c:v>6.9787528340048866</c:v>
                </c:pt>
                <c:pt idx="20">
                  <c:v>6.9787528340048866</c:v>
                </c:pt>
                <c:pt idx="21">
                  <c:v>6.9787528340048866</c:v>
                </c:pt>
                <c:pt idx="22">
                  <c:v>5.3686047749443402</c:v>
                </c:pt>
                <c:pt idx="24">
                  <c:v>3.0775370147651362</c:v>
                </c:pt>
                <c:pt idx="25">
                  <c:v>4.5876850738256847</c:v>
                </c:pt>
                <c:pt idx="26">
                  <c:v>4.5876850738256847</c:v>
                </c:pt>
                <c:pt idx="27">
                  <c:v>4.5876850738256847</c:v>
                </c:pt>
                <c:pt idx="28">
                  <c:v>2.9775370147651383</c:v>
                </c:pt>
                <c:pt idx="30">
                  <c:v>2.3775370147651365</c:v>
                </c:pt>
                <c:pt idx="31">
                  <c:v>3.9876850738256868</c:v>
                </c:pt>
                <c:pt idx="32">
                  <c:v>3.9876850738256868</c:v>
                </c:pt>
                <c:pt idx="33">
                  <c:v>3.9876850738256868</c:v>
                </c:pt>
                <c:pt idx="34">
                  <c:v>2.4775370147651383</c:v>
                </c:pt>
                <c:pt idx="36">
                  <c:v>4.0686047749443386</c:v>
                </c:pt>
                <c:pt idx="37">
                  <c:v>5.6787528340048885</c:v>
                </c:pt>
                <c:pt idx="38">
                  <c:v>5.6787528340048885</c:v>
                </c:pt>
                <c:pt idx="39">
                  <c:v>5.6787528340048885</c:v>
                </c:pt>
                <c:pt idx="40">
                  <c:v>4.16860477494434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E2F1-407A-8D0A-9E5617D9A00C}"/>
            </c:ext>
          </c:extLst>
        </c:ser>
        <c:ser>
          <c:idx val="13"/>
          <c:order val="13"/>
          <c:tx>
            <c:v>tqq_pdroom</c:v>
          </c:tx>
          <c:spPr>
            <a:ln w="19050">
              <a:noFill/>
            </a:ln>
          </c:spPr>
          <c:marker>
            <c:symbol val="none"/>
          </c:marker>
          <c:xVal>
            <c:numRef>
              <c:f>_ThinQQ!$AZ$422:$AZ$428</c:f>
              <c:numCache>
                <c:formatCode>General</c:formatCode>
                <c:ptCount val="7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</c:numCache>
            </c:numRef>
          </c:xVal>
          <c:yVal>
            <c:numRef>
              <c:f>_ThinQQ!$BA$422:$BA$428</c:f>
              <c:numCache>
                <c:formatCode>General</c:formatCode>
                <c:ptCount val="7"/>
                <c:pt idx="0">
                  <c:v>31.988900893065434</c:v>
                </c:pt>
                <c:pt idx="1">
                  <c:v>29.597833132886233</c:v>
                </c:pt>
                <c:pt idx="2">
                  <c:v>11.597833132886233</c:v>
                </c:pt>
                <c:pt idx="3">
                  <c:v>8.4889008930654342</c:v>
                </c:pt>
                <c:pt idx="4">
                  <c:v>6.0978331328862332</c:v>
                </c:pt>
                <c:pt idx="5">
                  <c:v>5.4978331328862353</c:v>
                </c:pt>
                <c:pt idx="6">
                  <c:v>7.188900893065437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E2F1-407A-8D0A-9E5617D9A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611104"/>
        <c:axId val="618618664"/>
      </c:scatterChart>
      <c:catAx>
        <c:axId val="61861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A6A6A6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900">
                <a:solidFill>
                  <a:srgbClr val="404040"/>
                </a:solidFill>
              </a:defRPr>
            </a:pPr>
            <a:endParaRPr lang="pt-BR"/>
          </a:p>
        </c:txPr>
        <c:crossAx val="618618664"/>
        <c:crosses val="autoZero"/>
        <c:auto val="0"/>
        <c:lblAlgn val="ctr"/>
        <c:lblOffset val="100"/>
        <c:noMultiLvlLbl val="0"/>
      </c:catAx>
      <c:valAx>
        <c:axId val="618618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618611104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16</xdr:col>
      <xdr:colOff>558800</xdr:colOff>
      <xdr:row>26</xdr:row>
      <xdr:rowOff>63500</xdr:rowOff>
    </xdr:to>
    <xdr:graphicFrame macro="">
      <xdr:nvGraphicFramePr>
        <xdr:cNvPr id="2" name="tqq_6lcho3">
          <a:extLst>
            <a:ext uri="{FF2B5EF4-FFF2-40B4-BE49-F238E27FC236}">
              <a16:creationId xmlns:a16="http://schemas.microsoft.com/office/drawing/2014/main" id="{8411E15B-0E70-71F3-0B64-88B7B2682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16</xdr:col>
      <xdr:colOff>558800</xdr:colOff>
      <xdr:row>25</xdr:row>
      <xdr:rowOff>0</xdr:rowOff>
    </xdr:to>
    <xdr:graphicFrame macro="">
      <xdr:nvGraphicFramePr>
        <xdr:cNvPr id="2" name="tqq_24phpw">
          <a:extLst>
            <a:ext uri="{FF2B5EF4-FFF2-40B4-BE49-F238E27FC236}">
              <a16:creationId xmlns:a16="http://schemas.microsoft.com/office/drawing/2014/main" id="{DB7A50CC-D3E3-D0F6-CBF7-FB8BBEBBF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0.05641</cdr:x>
      <cdr:y>0.04181</cdr:y>
    </cdr:from>
    <cdr:to>
      <cdr:x>0.87887</cdr:x>
      <cdr:y>0.04181</cdr:y>
    </cdr:to>
    <cdr:cxnSp macro="">
      <cdr:nvCxnSpPr>
        <cdr:cNvPr id="2" name="tqq_ann_delta_1" descr="kind=delta;v=1;from=1:1;to=2:8;fmt=both">
          <a:extLst xmlns:a="http://schemas.openxmlformats.org/drawingml/2006/main">
            <a:ext uri="{FF2B5EF4-FFF2-40B4-BE49-F238E27FC236}">
              <a16:creationId xmlns:a16="http://schemas.microsoft.com/office/drawing/2014/main" id="{A7964AF0-F322-344D-A14A-770A174D879A}"/>
            </a:ext>
          </a:extLst>
        </cdr:cNvPr>
        <cdr:cNvCxnSpPr/>
      </cdr:nvCxnSpPr>
      <cdr:spPr>
        <a:xfrm xmlns:a="http://schemas.openxmlformats.org/drawingml/2006/main">
          <a:off x="444134" y="159294"/>
          <a:ext cx="6476126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95959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0.05641</cdr:x>
      <cdr:y>0.04181</cdr:y>
    </cdr:from>
    <cdr:to>
      <cdr:x>0.05641</cdr:x>
      <cdr:y>0.1636</cdr:y>
    </cdr:to>
    <cdr:cxnSp macro="">
      <cdr:nvCxnSpPr>
        <cdr:cNvPr id="3" name="tqq_ann_delta_1_t1" descr="kind=deltaleg;owner=tqq_ann_delta_1">
          <a:extLst xmlns:a="http://schemas.openxmlformats.org/drawingml/2006/main">
            <a:ext uri="{FF2B5EF4-FFF2-40B4-BE49-F238E27FC236}">
              <a16:creationId xmlns:a16="http://schemas.microsoft.com/office/drawing/2014/main" id="{F27B8EEF-E9F7-D8A5-90AC-B0B35F0FCC24}"/>
            </a:ext>
          </a:extLst>
        </cdr:cNvPr>
        <cdr:cNvCxnSpPr/>
      </cdr:nvCxnSpPr>
      <cdr:spPr>
        <a:xfrm xmlns:a="http://schemas.openxmlformats.org/drawingml/2006/main" flipV="1">
          <a:off x="444134" y="159294"/>
          <a:ext cx="0" cy="464036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95959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0.87887</cdr:x>
      <cdr:y>0.04181</cdr:y>
    </cdr:from>
    <cdr:to>
      <cdr:x>0.87887</cdr:x>
      <cdr:y>0.56275</cdr:y>
    </cdr:to>
    <cdr:cxnSp macro="">
      <cdr:nvCxnSpPr>
        <cdr:cNvPr id="4" name="tqq_ann_delta_1_t2" descr="kind=deltaleg;owner=tqq_ann_delta_1">
          <a:extLst xmlns:a="http://schemas.openxmlformats.org/drawingml/2006/main">
            <a:ext uri="{FF2B5EF4-FFF2-40B4-BE49-F238E27FC236}">
              <a16:creationId xmlns:a16="http://schemas.microsoft.com/office/drawing/2014/main" id="{E8608F3F-C4DB-C8EF-AD25-0633D11ED1CF}"/>
            </a:ext>
          </a:extLst>
        </cdr:cNvPr>
        <cdr:cNvCxnSpPr/>
      </cdr:nvCxnSpPr>
      <cdr:spPr>
        <a:xfrm xmlns:a="http://schemas.openxmlformats.org/drawingml/2006/main">
          <a:off x="6920260" y="159295"/>
          <a:ext cx="0" cy="198477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95959"/>
          </a:solidFill>
          <a:tailEnd type="triangle" w="sm" len="sm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0.42624</cdr:x>
      <cdr:y>0.01999</cdr:y>
    </cdr:from>
    <cdr:to>
      <cdr:x>0.50904</cdr:x>
      <cdr:y>0.0637</cdr:y>
    </cdr:to>
    <cdr:sp macro="" textlink="">
      <cdr:nvSpPr>
        <cdr:cNvPr id="5" name="tqq_ann_delta_1_lbl" descr="kind=label;owner=tqq_ann_delta_1">
          <a:extLst xmlns:a="http://schemas.openxmlformats.org/drawingml/2006/main">
            <a:ext uri="{FF2B5EF4-FFF2-40B4-BE49-F238E27FC236}">
              <a16:creationId xmlns:a16="http://schemas.microsoft.com/office/drawing/2014/main" id="{EB60D3FB-D0B9-13D7-3B83-E289A61BC52C}"/>
            </a:ext>
          </a:extLst>
        </cdr:cNvPr>
        <cdr:cNvSpPr txBox="1"/>
      </cdr:nvSpPr>
      <cdr:spPr>
        <a:xfrm xmlns:a="http://schemas.openxmlformats.org/drawingml/2006/main">
          <a:off x="3356242" y="76179"/>
          <a:ext cx="651910" cy="16652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6350">
          <a:solidFill>
            <a:srgbClr val="A6A6A6"/>
          </a:solidFill>
        </a:ln>
      </cdr:spPr>
      <cdr:txBody>
        <a:bodyPr xmlns:a="http://schemas.openxmlformats.org/drawingml/2006/main" vertOverflow="clip" vert="horz" wrap="none" lIns="38100" tIns="12700" rIns="38100" bIns="1270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pt-BR" sz="900" b="1" kern="1200">
              <a:solidFill>
                <a:srgbClr val="404040"/>
              </a:solidFill>
            </a:rPr>
            <a:t>-13,9 (-60%)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13</xdr:col>
      <xdr:colOff>355600</xdr:colOff>
      <xdr:row>23</xdr:row>
      <xdr:rowOff>127000</xdr:rowOff>
    </xdr:to>
    <xdr:graphicFrame macro="">
      <xdr:nvGraphicFramePr>
        <xdr:cNvPr id="2" name="tqq_dqi1le">
          <a:extLst>
            <a:ext uri="{FF2B5EF4-FFF2-40B4-BE49-F238E27FC236}">
              <a16:creationId xmlns:a16="http://schemas.microsoft.com/office/drawing/2014/main" id="{AEAF8DCE-97FE-18FC-7C1F-BEE69D419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0.0913</cdr:x>
      <cdr:y>0.03929</cdr:y>
    </cdr:from>
    <cdr:to>
      <cdr:x>0.10652</cdr:x>
      <cdr:y>0.03929</cdr:y>
    </cdr:to>
    <cdr:cxnSp macro="">
      <cdr:nvCxnSpPr>
        <cdr:cNvPr id="2" name="tqq_ann_ind100" descr="kind=ind100">
          <a:extLst xmlns:a="http://schemas.openxmlformats.org/drawingml/2006/main">
            <a:ext uri="{FF2B5EF4-FFF2-40B4-BE49-F238E27FC236}">
              <a16:creationId xmlns:a16="http://schemas.microsoft.com/office/drawing/2014/main" id="{7FA1BC41-0A4E-A15E-989D-771C4DB6A85C}"/>
            </a:ext>
          </a:extLst>
        </cdr:cNvPr>
        <cdr:cNvCxnSpPr/>
      </cdr:nvCxnSpPr>
      <cdr:spPr>
        <a:xfrm xmlns:a="http://schemas.openxmlformats.org/drawingml/2006/main">
          <a:off x="533400" y="139700"/>
          <a:ext cx="88900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95959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0.02936</cdr:x>
      <cdr:y>0.01587</cdr:y>
    </cdr:from>
    <cdr:to>
      <cdr:x>0.08696</cdr:x>
      <cdr:y>0.0627</cdr:y>
    </cdr:to>
    <cdr:sp macro="" textlink="">
      <cdr:nvSpPr>
        <cdr:cNvPr id="3" name="tqq_ann_ind100_lbl" descr="kind=label;owner=tqq_ann_ind100">
          <a:extLst xmlns:a="http://schemas.openxmlformats.org/drawingml/2006/main">
            <a:ext uri="{FF2B5EF4-FFF2-40B4-BE49-F238E27FC236}">
              <a16:creationId xmlns:a16="http://schemas.microsoft.com/office/drawing/2014/main" id="{53E3878A-6027-8AD9-0811-71A0A574B8FA}"/>
            </a:ext>
          </a:extLst>
        </cdr:cNvPr>
        <cdr:cNvSpPr txBox="1"/>
      </cdr:nvSpPr>
      <cdr:spPr>
        <a:xfrm xmlns:a="http://schemas.openxmlformats.org/drawingml/2006/main">
          <a:off x="171497" y="56440"/>
          <a:ext cx="336503" cy="1665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6350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6350">
              <a:solidFill>
                <a:srgbClr val="A6A6A6"/>
              </a:solidFill>
            </a14:hiddenLine>
          </a:ext>
        </a:extLst>
      </cdr:spPr>
      <cdr:txBody>
        <a:bodyPr xmlns:a="http://schemas.openxmlformats.org/drawingml/2006/main" vertOverflow="clip" vert="horz" wrap="none" lIns="38100" tIns="12700" rIns="38100" bIns="1270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pt-BR" sz="900" b="0" kern="1200">
              <a:solidFill>
                <a:srgbClr val="404040"/>
              </a:solidFill>
            </a:rPr>
            <a:t>100%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13</xdr:col>
      <xdr:colOff>355600</xdr:colOff>
      <xdr:row>23</xdr:row>
      <xdr:rowOff>127000</xdr:rowOff>
    </xdr:to>
    <xdr:graphicFrame macro="">
      <xdr:nvGraphicFramePr>
        <xdr:cNvPr id="2" name="tqq_w0j8na">
          <a:extLst>
            <a:ext uri="{FF2B5EF4-FFF2-40B4-BE49-F238E27FC236}">
              <a16:creationId xmlns:a16="http://schemas.microsoft.com/office/drawing/2014/main" id="{F82E6943-C818-12D5-786B-41BF9D4CE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14</xdr:col>
      <xdr:colOff>101600</xdr:colOff>
      <xdr:row>25</xdr:row>
      <xdr:rowOff>0</xdr:rowOff>
    </xdr:to>
    <xdr:graphicFrame macro="">
      <xdr:nvGraphicFramePr>
        <xdr:cNvPr id="2" name="tqq_d37c54">
          <a:extLst>
            <a:ext uri="{FF2B5EF4-FFF2-40B4-BE49-F238E27FC236}">
              <a16:creationId xmlns:a16="http://schemas.microsoft.com/office/drawing/2014/main" id="{48C34DC9-70B7-1EDE-2AED-C53C075C4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0.11701</cdr:x>
      <cdr:y>0.09763</cdr:y>
    </cdr:from>
    <cdr:to>
      <cdr:x>0.15595</cdr:x>
      <cdr:y>0.09763</cdr:y>
    </cdr:to>
    <cdr:cxnSp macro="">
      <cdr:nvCxnSpPr>
        <cdr:cNvPr id="2" name="tqq_ann_conn_1" descr="kind=conn;from=1;to=2">
          <a:extLst xmlns:a="http://schemas.openxmlformats.org/drawingml/2006/main">
            <a:ext uri="{FF2B5EF4-FFF2-40B4-BE49-F238E27FC236}">
              <a16:creationId xmlns:a16="http://schemas.microsoft.com/office/drawing/2014/main" id="{9C82DDF7-9BA3-540C-D686-DB5FA5FC2EAD}"/>
            </a:ext>
          </a:extLst>
        </cdr:cNvPr>
        <cdr:cNvCxnSpPr/>
      </cdr:nvCxnSpPr>
      <cdr:spPr>
        <a:xfrm xmlns:a="http://schemas.openxmlformats.org/drawingml/2006/main">
          <a:off x="832153" y="371958"/>
          <a:ext cx="276981" cy="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7F7F7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0.23384</cdr:x>
      <cdr:y>0.62069</cdr:y>
    </cdr:from>
    <cdr:to>
      <cdr:x>0.27279</cdr:x>
      <cdr:y>0.62069</cdr:y>
    </cdr:to>
    <cdr:cxnSp macro="">
      <cdr:nvCxnSpPr>
        <cdr:cNvPr id="3" name="tqq_ann_conn_2" descr="kind=conn;from=2;to=3">
          <a:extLst xmlns:a="http://schemas.openxmlformats.org/drawingml/2006/main">
            <a:ext uri="{FF2B5EF4-FFF2-40B4-BE49-F238E27FC236}">
              <a16:creationId xmlns:a16="http://schemas.microsoft.com/office/drawing/2014/main" id="{551CD0DF-52F7-1A45-08C8-4631D37F68DD}"/>
            </a:ext>
          </a:extLst>
        </cdr:cNvPr>
        <cdr:cNvCxnSpPr/>
      </cdr:nvCxnSpPr>
      <cdr:spPr>
        <a:xfrm xmlns:a="http://schemas.openxmlformats.org/drawingml/2006/main">
          <a:off x="1663096" y="2364839"/>
          <a:ext cx="276981" cy="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7F7F7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0.35068</cdr:x>
      <cdr:y>0.78206</cdr:y>
    </cdr:from>
    <cdr:to>
      <cdr:x>0.38963</cdr:x>
      <cdr:y>0.78206</cdr:y>
    </cdr:to>
    <cdr:cxnSp macro="">
      <cdr:nvCxnSpPr>
        <cdr:cNvPr id="4" name="tqq_ann_conn_3" descr="kind=conn;from=3;to=4">
          <a:extLst xmlns:a="http://schemas.openxmlformats.org/drawingml/2006/main">
            <a:ext uri="{FF2B5EF4-FFF2-40B4-BE49-F238E27FC236}">
              <a16:creationId xmlns:a16="http://schemas.microsoft.com/office/drawing/2014/main" id="{A8918A5A-5575-698E-3D1B-86B77026AE57}"/>
            </a:ext>
          </a:extLst>
        </cdr:cNvPr>
        <cdr:cNvCxnSpPr/>
      </cdr:nvCxnSpPr>
      <cdr:spPr>
        <a:xfrm xmlns:a="http://schemas.openxmlformats.org/drawingml/2006/main">
          <a:off x="2494039" y="2979657"/>
          <a:ext cx="276981" cy="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7F7F7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0.46752</cdr:x>
      <cdr:y>0.78206</cdr:y>
    </cdr:from>
    <cdr:to>
      <cdr:x>0.50646</cdr:x>
      <cdr:y>0.78206</cdr:y>
    </cdr:to>
    <cdr:cxnSp macro="">
      <cdr:nvCxnSpPr>
        <cdr:cNvPr id="5" name="tqq_ann_conn_4" descr="kind=conn;from=4;to=5">
          <a:extLst xmlns:a="http://schemas.openxmlformats.org/drawingml/2006/main">
            <a:ext uri="{FF2B5EF4-FFF2-40B4-BE49-F238E27FC236}">
              <a16:creationId xmlns:a16="http://schemas.microsoft.com/office/drawing/2014/main" id="{D3D58E29-16EE-2E73-6CF1-95CE29BDB8A1}"/>
            </a:ext>
          </a:extLst>
        </cdr:cNvPr>
        <cdr:cNvCxnSpPr/>
      </cdr:nvCxnSpPr>
      <cdr:spPr>
        <a:xfrm xmlns:a="http://schemas.openxmlformats.org/drawingml/2006/main">
          <a:off x="3324982" y="2979657"/>
          <a:ext cx="276981" cy="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7F7F7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0.58435</cdr:x>
      <cdr:y>0.80127</cdr:y>
    </cdr:from>
    <cdr:to>
      <cdr:x>0.6233</cdr:x>
      <cdr:y>0.80127</cdr:y>
    </cdr:to>
    <cdr:cxnSp macro="">
      <cdr:nvCxnSpPr>
        <cdr:cNvPr id="6" name="tqq_ann_conn_5" descr="kind=conn;from=5;to=6">
          <a:extLst xmlns:a="http://schemas.openxmlformats.org/drawingml/2006/main">
            <a:ext uri="{FF2B5EF4-FFF2-40B4-BE49-F238E27FC236}">
              <a16:creationId xmlns:a16="http://schemas.microsoft.com/office/drawing/2014/main" id="{0E7133E7-1B48-8693-E7C2-CB33F73DACF9}"/>
            </a:ext>
          </a:extLst>
        </cdr:cNvPr>
        <cdr:cNvCxnSpPr/>
      </cdr:nvCxnSpPr>
      <cdr:spPr>
        <a:xfrm xmlns:a="http://schemas.openxmlformats.org/drawingml/2006/main">
          <a:off x="4155925" y="3052856"/>
          <a:ext cx="276981" cy="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7F7F7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0.70119</cdr:x>
      <cdr:y>0.8233</cdr:y>
    </cdr:from>
    <cdr:to>
      <cdr:x>0.74014</cdr:x>
      <cdr:y>0.8233</cdr:y>
    </cdr:to>
    <cdr:cxnSp macro="">
      <cdr:nvCxnSpPr>
        <cdr:cNvPr id="7" name="tqq_ann_conn_6" descr="kind=conn;from=6;to=7">
          <a:extLst xmlns:a="http://schemas.openxmlformats.org/drawingml/2006/main">
            <a:ext uri="{FF2B5EF4-FFF2-40B4-BE49-F238E27FC236}">
              <a16:creationId xmlns:a16="http://schemas.microsoft.com/office/drawing/2014/main" id="{89131340-A6EB-00F5-4AAC-6903E2DA5AE5}"/>
            </a:ext>
          </a:extLst>
        </cdr:cNvPr>
        <cdr:cNvCxnSpPr/>
      </cdr:nvCxnSpPr>
      <cdr:spPr>
        <a:xfrm xmlns:a="http://schemas.openxmlformats.org/drawingml/2006/main">
          <a:off x="4986868" y="3136775"/>
          <a:ext cx="276981" cy="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7F7F7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0.83588</cdr:x>
      <cdr:y>0.09763</cdr:y>
    </cdr:from>
    <cdr:to>
      <cdr:x>0.83588</cdr:x>
      <cdr:y>0.8233</cdr:y>
    </cdr:to>
    <cdr:cxnSp macro="">
      <cdr:nvCxnSpPr>
        <cdr:cNvPr id="8" name="tqq_ann_diff_1" descr="kind=diff;from=1;to=7">
          <a:extLst xmlns:a="http://schemas.openxmlformats.org/drawingml/2006/main">
            <a:ext uri="{FF2B5EF4-FFF2-40B4-BE49-F238E27FC236}">
              <a16:creationId xmlns:a16="http://schemas.microsoft.com/office/drawing/2014/main" id="{17A60BCC-B314-94E1-FD2D-34AD8A5F1EC0}"/>
            </a:ext>
          </a:extLst>
        </cdr:cNvPr>
        <cdr:cNvCxnSpPr/>
      </cdr:nvCxnSpPr>
      <cdr:spPr>
        <a:xfrm xmlns:a="http://schemas.openxmlformats.org/drawingml/2006/main">
          <a:off x="5944810" y="371958"/>
          <a:ext cx="0" cy="2764817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595959"/>
          </a:solidFill>
          <a:headEnd type="triangle" len="sm"/>
          <a:tailEnd type="triangle" len="sm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0.11701</cdr:x>
      <cdr:y>0.09763</cdr:y>
    </cdr:from>
    <cdr:to>
      <cdr:x>0.84303</cdr:x>
      <cdr:y>0.09763</cdr:y>
    </cdr:to>
    <cdr:cxnSp macro="">
      <cdr:nvCxnSpPr>
        <cdr:cNvPr id="9" name="tqq_ann_diff_1_lvl" descr="kind=level;owner=tqq_ann_diff_1">
          <a:extLst xmlns:a="http://schemas.openxmlformats.org/drawingml/2006/main">
            <a:ext uri="{FF2B5EF4-FFF2-40B4-BE49-F238E27FC236}">
              <a16:creationId xmlns:a16="http://schemas.microsoft.com/office/drawing/2014/main" id="{01FE50E5-B341-AC18-BB7E-4ABBA5F1D90F}"/>
            </a:ext>
          </a:extLst>
        </cdr:cNvPr>
        <cdr:cNvCxnSpPr/>
      </cdr:nvCxnSpPr>
      <cdr:spPr>
        <a:xfrm xmlns:a="http://schemas.openxmlformats.org/drawingml/2006/main">
          <a:off x="832152" y="371958"/>
          <a:ext cx="5163457" cy="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A6A6A6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0.8466</cdr:x>
      <cdr:y>0.43861</cdr:y>
    </cdr:from>
    <cdr:to>
      <cdr:x>0.96308</cdr:x>
      <cdr:y>0.48232</cdr:y>
    </cdr:to>
    <cdr:sp macro="" textlink="">
      <cdr:nvSpPr>
        <cdr:cNvPr id="10" name="tqq_ann_diff_1_lbl" descr="kind=label;owner=tqq_ann_diff_1">
          <a:extLst xmlns:a="http://schemas.openxmlformats.org/drawingml/2006/main">
            <a:ext uri="{FF2B5EF4-FFF2-40B4-BE49-F238E27FC236}">
              <a16:creationId xmlns:a16="http://schemas.microsoft.com/office/drawing/2014/main" id="{BA22711B-3E1B-0E1E-F1FE-E7D571137D6D}"/>
            </a:ext>
          </a:extLst>
        </cdr:cNvPr>
        <cdr:cNvSpPr txBox="1"/>
      </cdr:nvSpPr>
      <cdr:spPr>
        <a:xfrm xmlns:a="http://schemas.openxmlformats.org/drawingml/2006/main">
          <a:off x="6021010" y="1671107"/>
          <a:ext cx="828433" cy="16652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6350">
          <a:solidFill>
            <a:srgbClr val="A6A6A6"/>
          </a:solidFill>
        </a:ln>
      </cdr:spPr>
      <cdr:txBody>
        <a:bodyPr xmlns:a="http://schemas.openxmlformats.org/drawingml/2006/main" vertOverflow="clip" vert="horz" wrap="none" lIns="38100" tIns="12700" rIns="38100" bIns="1270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pt-BR" sz="900" b="1" kern="1200">
              <a:solidFill>
                <a:srgbClr val="404040"/>
              </a:solidFill>
            </a:rPr>
            <a:t>-122.493 (-94%)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13</xdr:col>
      <xdr:colOff>355600</xdr:colOff>
      <xdr:row>23</xdr:row>
      <xdr:rowOff>127000</xdr:rowOff>
    </xdr:to>
    <xdr:graphicFrame macro="">
      <xdr:nvGraphicFramePr>
        <xdr:cNvPr id="2" name="tqq_9013ju">
          <a:extLst>
            <a:ext uri="{FF2B5EF4-FFF2-40B4-BE49-F238E27FC236}">
              <a16:creationId xmlns:a16="http://schemas.microsoft.com/office/drawing/2014/main" id="{99C0DDEA-4DCC-9CB7-0398-758F72FB6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0.30265</cdr:x>
      <cdr:y>0.88286</cdr:y>
    </cdr:from>
    <cdr:to>
      <cdr:x>0.82645</cdr:x>
      <cdr:y>0.88286</cdr:y>
    </cdr:to>
    <cdr:cxnSp macro="">
      <cdr:nvCxnSpPr>
        <cdr:cNvPr id="2" name="tqq_ann_diff_1" descr="kind=diff;from=1;to=5">
          <a:extLst xmlns:a="http://schemas.openxmlformats.org/drawingml/2006/main">
            <a:ext uri="{FF2B5EF4-FFF2-40B4-BE49-F238E27FC236}">
              <a16:creationId xmlns:a16="http://schemas.microsoft.com/office/drawing/2014/main" id="{51B5FD4B-B3C5-DC9C-5F7D-0D2134CD5893}"/>
            </a:ext>
          </a:extLst>
        </cdr:cNvPr>
        <cdr:cNvCxnSpPr/>
      </cdr:nvCxnSpPr>
      <cdr:spPr>
        <a:xfrm xmlns:a="http://schemas.openxmlformats.org/drawingml/2006/main" flipH="1">
          <a:off x="1768066" y="3139440"/>
          <a:ext cx="3060059" cy="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595959"/>
          </a:solidFill>
          <a:headEnd type="triangle" len="sm"/>
          <a:tailEnd type="triangle" len="sm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0.82645</cdr:x>
      <cdr:y>0.17857</cdr:y>
    </cdr:from>
    <cdr:to>
      <cdr:x>0.82645</cdr:x>
      <cdr:y>0.89714</cdr:y>
    </cdr:to>
    <cdr:cxnSp macro="">
      <cdr:nvCxnSpPr>
        <cdr:cNvPr id="3" name="tqq_ann_diff_1_lvl" descr="kind=level;owner=tqq_ann_diff_1">
          <a:extLst xmlns:a="http://schemas.openxmlformats.org/drawingml/2006/main">
            <a:ext uri="{FF2B5EF4-FFF2-40B4-BE49-F238E27FC236}">
              <a16:creationId xmlns:a16="http://schemas.microsoft.com/office/drawing/2014/main" id="{8A1FB161-D17C-9EA6-7E7E-6F94260E3273}"/>
            </a:ext>
          </a:extLst>
        </cdr:cNvPr>
        <cdr:cNvCxnSpPr/>
      </cdr:nvCxnSpPr>
      <cdr:spPr>
        <a:xfrm xmlns:a="http://schemas.openxmlformats.org/drawingml/2006/main">
          <a:off x="4828125" y="635000"/>
          <a:ext cx="0" cy="255524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A6A6A6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0.49865</cdr:x>
      <cdr:y>0.90429</cdr:y>
    </cdr:from>
    <cdr:to>
      <cdr:x>0.63045</cdr:x>
      <cdr:y>0.95111</cdr:y>
    </cdr:to>
    <cdr:sp macro="" textlink="">
      <cdr:nvSpPr>
        <cdr:cNvPr id="4" name="tqq_ann_diff_1_lbl" descr="kind=label;owner=tqq_ann_diff_1">
          <a:extLst xmlns:a="http://schemas.openxmlformats.org/drawingml/2006/main">
            <a:ext uri="{FF2B5EF4-FFF2-40B4-BE49-F238E27FC236}">
              <a16:creationId xmlns:a16="http://schemas.microsoft.com/office/drawing/2014/main" id="{8032765A-6981-AF84-AAF0-A0FF45D9E41C}"/>
            </a:ext>
          </a:extLst>
        </cdr:cNvPr>
        <cdr:cNvSpPr txBox="1"/>
      </cdr:nvSpPr>
      <cdr:spPr>
        <a:xfrm xmlns:a="http://schemas.openxmlformats.org/drawingml/2006/main">
          <a:off x="2913118" y="3215640"/>
          <a:ext cx="769955" cy="16652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6350">
          <a:solidFill>
            <a:srgbClr val="A6A6A6"/>
          </a:solidFill>
        </a:ln>
      </cdr:spPr>
      <cdr:txBody>
        <a:bodyPr xmlns:a="http://schemas.openxmlformats.org/drawingml/2006/main" vertOverflow="clip" vert="horz" wrap="none" lIns="38100" tIns="12700" rIns="38100" bIns="1270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pt-BR" sz="900" b="1" kern="1200">
              <a:solidFill>
                <a:srgbClr val="404040"/>
              </a:solidFill>
            </a:rPr>
            <a:t>-32.829 (-78%)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14</xdr:col>
      <xdr:colOff>508000</xdr:colOff>
      <xdr:row>29</xdr:row>
      <xdr:rowOff>0</xdr:rowOff>
    </xdr:to>
    <xdr:graphicFrame macro="">
      <xdr:nvGraphicFramePr>
        <xdr:cNvPr id="2" name="tqq_t3w2hb">
          <a:extLst>
            <a:ext uri="{FF2B5EF4-FFF2-40B4-BE49-F238E27FC236}">
              <a16:creationId xmlns:a16="http://schemas.microsoft.com/office/drawing/2014/main" id="{3659CCF5-2091-8F16-69D6-DC623E0D3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14</xdr:col>
      <xdr:colOff>508000</xdr:colOff>
      <xdr:row>26</xdr:row>
      <xdr:rowOff>63500</xdr:rowOff>
    </xdr:to>
    <xdr:graphicFrame macro="">
      <xdr:nvGraphicFramePr>
        <xdr:cNvPr id="2" name="tqq_pfbcck">
          <a:extLst>
            <a:ext uri="{FF2B5EF4-FFF2-40B4-BE49-F238E27FC236}">
              <a16:creationId xmlns:a16="http://schemas.microsoft.com/office/drawing/2014/main" id="{E2E63742-817A-8A97-6218-3FFC84436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0.82644</cdr:x>
      <cdr:y>0.07897</cdr:y>
    </cdr:from>
    <cdr:to>
      <cdr:x>0.82644</cdr:x>
      <cdr:y>0.10085</cdr:y>
    </cdr:to>
    <cdr:cxnSp macro="">
      <cdr:nvCxnSpPr>
        <cdr:cNvPr id="2" name="tqq_ann_ind100" descr="kind=ind100">
          <a:extLst xmlns:a="http://schemas.openxmlformats.org/drawingml/2006/main">
            <a:ext uri="{FF2B5EF4-FFF2-40B4-BE49-F238E27FC236}">
              <a16:creationId xmlns:a16="http://schemas.microsoft.com/office/drawing/2014/main" id="{6277E36F-DF64-0C12-D0C2-62D8F9C05E92}"/>
            </a:ext>
          </a:extLst>
        </cdr:cNvPr>
        <cdr:cNvCxnSpPr/>
      </cdr:nvCxnSpPr>
      <cdr:spPr>
        <a:xfrm xmlns:a="http://schemas.openxmlformats.org/drawingml/2006/main">
          <a:off x="5457824" y="320937"/>
          <a:ext cx="0" cy="889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95959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0.79764</cdr:x>
      <cdr:y>0.02589</cdr:y>
    </cdr:from>
    <cdr:to>
      <cdr:x>0.85524</cdr:x>
      <cdr:y>0.07272</cdr:y>
    </cdr:to>
    <cdr:sp macro="" textlink="">
      <cdr:nvSpPr>
        <cdr:cNvPr id="3" name="tqq_ann_ind100_lbl" descr="kind=label;owner=tqq_ann_ind100">
          <a:extLst xmlns:a="http://schemas.openxmlformats.org/drawingml/2006/main">
            <a:ext uri="{FF2B5EF4-FFF2-40B4-BE49-F238E27FC236}">
              <a16:creationId xmlns:a16="http://schemas.microsoft.com/office/drawing/2014/main" id="{F95002CF-DC68-9E74-6AB2-B05DD8E4B03E}"/>
            </a:ext>
          </a:extLst>
        </cdr:cNvPr>
        <cdr:cNvSpPr txBox="1"/>
      </cdr:nvSpPr>
      <cdr:spPr>
        <a:xfrm xmlns:a="http://schemas.openxmlformats.org/drawingml/2006/main">
          <a:off x="5267627" y="105229"/>
          <a:ext cx="380395" cy="1903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6350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6350">
              <a:solidFill>
                <a:srgbClr val="A6A6A6"/>
              </a:solidFill>
            </a14:hiddenLine>
          </a:ext>
        </a:extLst>
      </cdr:spPr>
      <cdr:txBody>
        <a:bodyPr xmlns:a="http://schemas.openxmlformats.org/drawingml/2006/main" vertOverflow="clip" vert="horz" wrap="none" lIns="38100" tIns="12700" rIns="38100" bIns="1270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pt-BR" sz="900" b="0" kern="1200">
              <a:solidFill>
                <a:srgbClr val="404040"/>
              </a:solidFill>
            </a:rPr>
            <a:t>100%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13</xdr:col>
      <xdr:colOff>203200</xdr:colOff>
      <xdr:row>25</xdr:row>
      <xdr:rowOff>0</xdr:rowOff>
    </xdr:to>
    <xdr:graphicFrame macro="">
      <xdr:nvGraphicFramePr>
        <xdr:cNvPr id="2" name="tqq_zf3g17">
          <a:extLst>
            <a:ext uri="{FF2B5EF4-FFF2-40B4-BE49-F238E27FC236}">
              <a16:creationId xmlns:a16="http://schemas.microsoft.com/office/drawing/2014/main" id="{36249C74-1D97-D3CA-19A8-A671F4FF4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0.92071</cdr:x>
      <cdr:y>0.14698</cdr:y>
    </cdr:from>
    <cdr:to>
      <cdr:x>0.92071</cdr:x>
      <cdr:y>0.19111</cdr:y>
    </cdr:to>
    <cdr:cxnSp macro="">
      <cdr:nvCxnSpPr>
        <cdr:cNvPr id="2" name="tqq_ann_conn_1" descr="kind=conn;from=1;to=2">
          <a:extLst xmlns:a="http://schemas.openxmlformats.org/drawingml/2006/main">
            <a:ext uri="{FF2B5EF4-FFF2-40B4-BE49-F238E27FC236}">
              <a16:creationId xmlns:a16="http://schemas.microsoft.com/office/drawing/2014/main" id="{404603A8-0AE8-156E-428A-4A9751AD9E8E}"/>
            </a:ext>
          </a:extLst>
        </cdr:cNvPr>
        <cdr:cNvCxnSpPr/>
      </cdr:nvCxnSpPr>
      <cdr:spPr>
        <a:xfrm xmlns:a="http://schemas.openxmlformats.org/drawingml/2006/main">
          <a:off x="6080395" y="560010"/>
          <a:ext cx="0" cy="168124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7F7F7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0.42191</cdr:x>
      <cdr:y>0.27937</cdr:y>
    </cdr:from>
    <cdr:to>
      <cdr:x>0.42191</cdr:x>
      <cdr:y>0.32349</cdr:y>
    </cdr:to>
    <cdr:cxnSp macro="">
      <cdr:nvCxnSpPr>
        <cdr:cNvPr id="3" name="tqq_ann_conn_2" descr="kind=conn;from=2;to=3">
          <a:extLst xmlns:a="http://schemas.openxmlformats.org/drawingml/2006/main">
            <a:ext uri="{FF2B5EF4-FFF2-40B4-BE49-F238E27FC236}">
              <a16:creationId xmlns:a16="http://schemas.microsoft.com/office/drawing/2014/main" id="{A2B18926-5EE8-B05C-EECE-CE5C1345C125}"/>
            </a:ext>
          </a:extLst>
        </cdr:cNvPr>
        <cdr:cNvCxnSpPr/>
      </cdr:nvCxnSpPr>
      <cdr:spPr>
        <a:xfrm xmlns:a="http://schemas.openxmlformats.org/drawingml/2006/main">
          <a:off x="2786309" y="1064381"/>
          <a:ext cx="0" cy="168124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7F7F7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0.26803</cdr:x>
      <cdr:y>0.41175</cdr:y>
    </cdr:from>
    <cdr:to>
      <cdr:x>0.26803</cdr:x>
      <cdr:y>0.45587</cdr:y>
    </cdr:to>
    <cdr:cxnSp macro="">
      <cdr:nvCxnSpPr>
        <cdr:cNvPr id="4" name="tqq_ann_conn_3" descr="kind=conn;from=3;to=4">
          <a:extLst xmlns:a="http://schemas.openxmlformats.org/drawingml/2006/main">
            <a:ext uri="{FF2B5EF4-FFF2-40B4-BE49-F238E27FC236}">
              <a16:creationId xmlns:a16="http://schemas.microsoft.com/office/drawing/2014/main" id="{739F9A4E-52ED-5260-BC7F-52509C3F093B}"/>
            </a:ext>
          </a:extLst>
        </cdr:cNvPr>
        <cdr:cNvCxnSpPr/>
      </cdr:nvCxnSpPr>
      <cdr:spPr>
        <a:xfrm xmlns:a="http://schemas.openxmlformats.org/drawingml/2006/main">
          <a:off x="1770061" y="1568752"/>
          <a:ext cx="0" cy="168124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7F7F7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0.26803</cdr:x>
      <cdr:y>0.54413</cdr:y>
    </cdr:from>
    <cdr:to>
      <cdr:x>0.26803</cdr:x>
      <cdr:y>0.58825</cdr:y>
    </cdr:to>
    <cdr:cxnSp macro="">
      <cdr:nvCxnSpPr>
        <cdr:cNvPr id="5" name="tqq_ann_conn_4" descr="kind=conn;from=4;to=5">
          <a:extLst xmlns:a="http://schemas.openxmlformats.org/drawingml/2006/main">
            <a:ext uri="{FF2B5EF4-FFF2-40B4-BE49-F238E27FC236}">
              <a16:creationId xmlns:a16="http://schemas.microsoft.com/office/drawing/2014/main" id="{E4FD1B4F-5533-8E63-2212-54C9B05F0CE6}"/>
            </a:ext>
          </a:extLst>
        </cdr:cNvPr>
        <cdr:cNvCxnSpPr/>
      </cdr:nvCxnSpPr>
      <cdr:spPr>
        <a:xfrm xmlns:a="http://schemas.openxmlformats.org/drawingml/2006/main">
          <a:off x="1770061" y="2073124"/>
          <a:ext cx="0" cy="168124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7F7F7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0.24971</cdr:x>
      <cdr:y>0.67651</cdr:y>
    </cdr:from>
    <cdr:to>
      <cdr:x>0.24971</cdr:x>
      <cdr:y>0.72063</cdr:y>
    </cdr:to>
    <cdr:cxnSp macro="">
      <cdr:nvCxnSpPr>
        <cdr:cNvPr id="6" name="tqq_ann_conn_5" descr="kind=conn;from=5;to=6">
          <a:extLst xmlns:a="http://schemas.openxmlformats.org/drawingml/2006/main">
            <a:ext uri="{FF2B5EF4-FFF2-40B4-BE49-F238E27FC236}">
              <a16:creationId xmlns:a16="http://schemas.microsoft.com/office/drawing/2014/main" id="{88C7E565-CE7D-F8FA-9832-79137517834F}"/>
            </a:ext>
          </a:extLst>
        </cdr:cNvPr>
        <cdr:cNvCxnSpPr/>
      </cdr:nvCxnSpPr>
      <cdr:spPr>
        <a:xfrm xmlns:a="http://schemas.openxmlformats.org/drawingml/2006/main">
          <a:off x="1649069" y="2577495"/>
          <a:ext cx="0" cy="168124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7F7F7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0.2287</cdr:x>
      <cdr:y>0.80889</cdr:y>
    </cdr:from>
    <cdr:to>
      <cdr:x>0.2287</cdr:x>
      <cdr:y>0.85302</cdr:y>
    </cdr:to>
    <cdr:cxnSp macro="">
      <cdr:nvCxnSpPr>
        <cdr:cNvPr id="7" name="tqq_ann_conn_6" descr="kind=conn;from=6;to=7">
          <a:extLst xmlns:a="http://schemas.openxmlformats.org/drawingml/2006/main">
            <a:ext uri="{FF2B5EF4-FFF2-40B4-BE49-F238E27FC236}">
              <a16:creationId xmlns:a16="http://schemas.microsoft.com/office/drawing/2014/main" id="{A3CC6B7F-CA02-FC8B-422B-05F6C7B66844}"/>
            </a:ext>
          </a:extLst>
        </cdr:cNvPr>
        <cdr:cNvCxnSpPr/>
      </cdr:nvCxnSpPr>
      <cdr:spPr>
        <a:xfrm xmlns:a="http://schemas.openxmlformats.org/drawingml/2006/main">
          <a:off x="1510356" y="3081867"/>
          <a:ext cx="0" cy="168124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7F7F7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19</xdr:col>
      <xdr:colOff>355600</xdr:colOff>
      <xdr:row>25</xdr:row>
      <xdr:rowOff>0</xdr:rowOff>
    </xdr:to>
    <xdr:graphicFrame macro="">
      <xdr:nvGraphicFramePr>
        <xdr:cNvPr id="2" name="tqq_69ni49">
          <a:extLst>
            <a:ext uri="{FF2B5EF4-FFF2-40B4-BE49-F238E27FC236}">
              <a16:creationId xmlns:a16="http://schemas.microsoft.com/office/drawing/2014/main" id="{2231B91D-90BB-B6B7-5061-22075EAB0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406400</xdr:colOff>
      <xdr:row>25</xdr:row>
      <xdr:rowOff>0</xdr:rowOff>
    </xdr:to>
    <xdr:graphicFrame macro="">
      <xdr:nvGraphicFramePr>
        <xdr:cNvPr id="2" name="tqq_ik962d">
          <a:extLst>
            <a:ext uri="{FF2B5EF4-FFF2-40B4-BE49-F238E27FC236}">
              <a16:creationId xmlns:a16="http://schemas.microsoft.com/office/drawing/2014/main" id="{F1ABDEDC-94DB-9E15-AA4A-DEA1E467A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0.09441</cdr:x>
      <cdr:y>0.03929</cdr:y>
    </cdr:from>
    <cdr:to>
      <cdr:x>0.10691</cdr:x>
      <cdr:y>0.03929</cdr:y>
    </cdr:to>
    <cdr:cxnSp macro="">
      <cdr:nvCxnSpPr>
        <cdr:cNvPr id="2" name="tqq_ann_ind100" descr="kind=ind100">
          <a:extLst xmlns:a="http://schemas.openxmlformats.org/drawingml/2006/main">
            <a:ext uri="{FF2B5EF4-FFF2-40B4-BE49-F238E27FC236}">
              <a16:creationId xmlns:a16="http://schemas.microsoft.com/office/drawing/2014/main" id="{A77B0EC2-B86F-9BFA-4FB1-4A0D5D56B9D6}"/>
            </a:ext>
          </a:extLst>
        </cdr:cNvPr>
        <cdr:cNvCxnSpPr/>
      </cdr:nvCxnSpPr>
      <cdr:spPr>
        <a:xfrm xmlns:a="http://schemas.openxmlformats.org/drawingml/2006/main">
          <a:off x="671443" y="149679"/>
          <a:ext cx="88900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95959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0.03324</cdr:x>
      <cdr:y>0.01587</cdr:y>
    </cdr:from>
    <cdr:to>
      <cdr:x>0.09084</cdr:x>
      <cdr:y>0.0627</cdr:y>
    </cdr:to>
    <cdr:sp macro="" textlink="">
      <cdr:nvSpPr>
        <cdr:cNvPr id="3" name="tqq_ann_ind100_lbl" descr="kind=label;owner=tqq_ann_ind100">
          <a:extLst xmlns:a="http://schemas.openxmlformats.org/drawingml/2006/main">
            <a:ext uri="{FF2B5EF4-FFF2-40B4-BE49-F238E27FC236}">
              <a16:creationId xmlns:a16="http://schemas.microsoft.com/office/drawing/2014/main" id="{921492C9-84F7-AEEE-4C80-7314CBA38C5F}"/>
            </a:ext>
          </a:extLst>
        </cdr:cNvPr>
        <cdr:cNvSpPr txBox="1"/>
      </cdr:nvSpPr>
      <cdr:spPr>
        <a:xfrm xmlns:a="http://schemas.openxmlformats.org/drawingml/2006/main">
          <a:off x="236387" y="60472"/>
          <a:ext cx="409656" cy="1784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6350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6350">
              <a:solidFill>
                <a:srgbClr val="A6A6A6"/>
              </a:solidFill>
            </a14:hiddenLine>
          </a:ext>
        </a:extLst>
      </cdr:spPr>
      <cdr:txBody>
        <a:bodyPr xmlns:a="http://schemas.openxmlformats.org/drawingml/2006/main" vertOverflow="clip" vert="horz" wrap="none" lIns="38100" tIns="12700" rIns="38100" bIns="1270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pt-BR" sz="900" b="0" kern="1200">
              <a:solidFill>
                <a:srgbClr val="404040"/>
              </a:solidFill>
            </a:rPr>
            <a:t>100%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17</xdr:col>
      <xdr:colOff>304800</xdr:colOff>
      <xdr:row>26</xdr:row>
      <xdr:rowOff>63500</xdr:rowOff>
    </xdr:to>
    <xdr:graphicFrame macro="">
      <xdr:nvGraphicFramePr>
        <xdr:cNvPr id="2" name="tqq_omxd5y">
          <a:extLst>
            <a:ext uri="{FF2B5EF4-FFF2-40B4-BE49-F238E27FC236}">
              <a16:creationId xmlns:a16="http://schemas.microsoft.com/office/drawing/2014/main" id="{C31BEEBC-591F-1857-6409-6C879EBAD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406400</xdr:colOff>
      <xdr:row>26</xdr:row>
      <xdr:rowOff>63500</xdr:rowOff>
    </xdr:to>
    <xdr:graphicFrame macro="">
      <xdr:nvGraphicFramePr>
        <xdr:cNvPr id="2" name="tqq_n8o9m6">
          <a:extLst>
            <a:ext uri="{FF2B5EF4-FFF2-40B4-BE49-F238E27FC236}">
              <a16:creationId xmlns:a16="http://schemas.microsoft.com/office/drawing/2014/main" id="{35A8D973-14A5-A79A-6EF5-6889BDDF7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0.09441</cdr:x>
      <cdr:y>0.1</cdr:y>
    </cdr:from>
    <cdr:to>
      <cdr:x>0.10691</cdr:x>
      <cdr:y>0.1</cdr:y>
    </cdr:to>
    <cdr:cxnSp macro="">
      <cdr:nvCxnSpPr>
        <cdr:cNvPr id="2" name="tqq_ann_ind100" descr="kind=ind100">
          <a:extLst xmlns:a="http://schemas.openxmlformats.org/drawingml/2006/main">
            <a:ext uri="{FF2B5EF4-FFF2-40B4-BE49-F238E27FC236}">
              <a16:creationId xmlns:a16="http://schemas.microsoft.com/office/drawing/2014/main" id="{BD47C61C-ACF9-BF11-EF5E-D6F3594D4367}"/>
            </a:ext>
          </a:extLst>
        </cdr:cNvPr>
        <cdr:cNvCxnSpPr/>
      </cdr:nvCxnSpPr>
      <cdr:spPr>
        <a:xfrm xmlns:a="http://schemas.openxmlformats.org/drawingml/2006/main">
          <a:off x="671443" y="406400"/>
          <a:ext cx="88900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95959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0.03324</cdr:x>
      <cdr:y>0.07659</cdr:y>
    </cdr:from>
    <cdr:to>
      <cdr:x>0.09084</cdr:x>
      <cdr:y>0.12341</cdr:y>
    </cdr:to>
    <cdr:sp macro="" textlink="">
      <cdr:nvSpPr>
        <cdr:cNvPr id="3" name="tqq_ann_ind100_lbl" descr="kind=label;owner=tqq_ann_ind100">
          <a:extLst xmlns:a="http://schemas.openxmlformats.org/drawingml/2006/main">
            <a:ext uri="{FF2B5EF4-FFF2-40B4-BE49-F238E27FC236}">
              <a16:creationId xmlns:a16="http://schemas.microsoft.com/office/drawing/2014/main" id="{53FAE929-8FD1-2155-30A3-F5A63FCDC217}"/>
            </a:ext>
          </a:extLst>
        </cdr:cNvPr>
        <cdr:cNvSpPr txBox="1"/>
      </cdr:nvSpPr>
      <cdr:spPr>
        <a:xfrm xmlns:a="http://schemas.openxmlformats.org/drawingml/2006/main">
          <a:off x="236387" y="311246"/>
          <a:ext cx="409656" cy="1903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6350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6350">
              <a:solidFill>
                <a:srgbClr val="A6A6A6"/>
              </a:solidFill>
            </a14:hiddenLine>
          </a:ext>
        </a:extLst>
      </cdr:spPr>
      <cdr:txBody>
        <a:bodyPr xmlns:a="http://schemas.openxmlformats.org/drawingml/2006/main" vertOverflow="clip" vert="horz" wrap="none" lIns="38100" tIns="12700" rIns="38100" bIns="1270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pt-BR" sz="900" b="0" kern="1200">
              <a:solidFill>
                <a:srgbClr val="404040"/>
              </a:solidFill>
            </a:rPr>
            <a:t>100%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17</xdr:col>
      <xdr:colOff>406400</xdr:colOff>
      <xdr:row>26</xdr:row>
      <xdr:rowOff>63500</xdr:rowOff>
    </xdr:to>
    <xdr:graphicFrame macro="">
      <xdr:nvGraphicFramePr>
        <xdr:cNvPr id="2" name="tqq_sj84kc">
          <a:extLst>
            <a:ext uri="{FF2B5EF4-FFF2-40B4-BE49-F238E27FC236}">
              <a16:creationId xmlns:a16="http://schemas.microsoft.com/office/drawing/2014/main" id="{95A3C29A-83AF-7AF3-82A8-59F8DCE44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16</xdr:col>
      <xdr:colOff>304800</xdr:colOff>
      <xdr:row>22</xdr:row>
      <xdr:rowOff>63500</xdr:rowOff>
    </xdr:to>
    <xdr:graphicFrame macro="">
      <xdr:nvGraphicFramePr>
        <xdr:cNvPr id="2" name="tqq_hlqgje">
          <a:extLst>
            <a:ext uri="{FF2B5EF4-FFF2-40B4-BE49-F238E27FC236}">
              <a16:creationId xmlns:a16="http://schemas.microsoft.com/office/drawing/2014/main" id="{EFFB0D6A-50F5-27D4-3C16-2DEA86250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0.26243</cdr:x>
      <cdr:y>0.08077</cdr:y>
    </cdr:from>
    <cdr:to>
      <cdr:x>0.70997</cdr:x>
      <cdr:y>0.08077</cdr:y>
    </cdr:to>
    <cdr:cxnSp macro="">
      <cdr:nvCxnSpPr>
        <cdr:cNvPr id="2" name="tqq_ann_bracket_1" descr="kind=bracket;from=1;to=2">
          <a:extLst xmlns:a="http://schemas.openxmlformats.org/drawingml/2006/main">
            <a:ext uri="{FF2B5EF4-FFF2-40B4-BE49-F238E27FC236}">
              <a16:creationId xmlns:a16="http://schemas.microsoft.com/office/drawing/2014/main" id="{56015295-7BDD-5713-ACEB-057C5D33C7E4}"/>
            </a:ext>
          </a:extLst>
        </cdr:cNvPr>
        <cdr:cNvCxnSpPr/>
      </cdr:nvCxnSpPr>
      <cdr:spPr>
        <a:xfrm xmlns:a="http://schemas.openxmlformats.org/drawingml/2006/main">
          <a:off x="1999709" y="266700"/>
          <a:ext cx="3410236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95959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0.26243</cdr:x>
      <cdr:y>0.08077</cdr:y>
    </cdr:from>
    <cdr:to>
      <cdr:x>0.26243</cdr:x>
      <cdr:y>0.1</cdr:y>
    </cdr:to>
    <cdr:cxnSp macro="">
      <cdr:nvCxnSpPr>
        <cdr:cNvPr id="3" name="tqq_ann_bracket_1_t1" descr="kind=tick;owner=tqq_ann_bracket_1">
          <a:extLst xmlns:a="http://schemas.openxmlformats.org/drawingml/2006/main">
            <a:ext uri="{FF2B5EF4-FFF2-40B4-BE49-F238E27FC236}">
              <a16:creationId xmlns:a16="http://schemas.microsoft.com/office/drawing/2014/main" id="{C1AE9040-A60F-92A5-97FC-2530C8AE8662}"/>
            </a:ext>
          </a:extLst>
        </cdr:cNvPr>
        <cdr:cNvCxnSpPr/>
      </cdr:nvCxnSpPr>
      <cdr:spPr>
        <a:xfrm xmlns:a="http://schemas.openxmlformats.org/drawingml/2006/main">
          <a:off x="1999709" y="266700"/>
          <a:ext cx="0" cy="635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95959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0.70997</cdr:x>
      <cdr:y>0.08077</cdr:y>
    </cdr:from>
    <cdr:to>
      <cdr:x>0.70997</cdr:x>
      <cdr:y>0.1</cdr:y>
    </cdr:to>
    <cdr:cxnSp macro="">
      <cdr:nvCxnSpPr>
        <cdr:cNvPr id="4" name="tqq_ann_bracket_1_t2" descr="kind=tick;owner=tqq_ann_bracket_1">
          <a:extLst xmlns:a="http://schemas.openxmlformats.org/drawingml/2006/main">
            <a:ext uri="{FF2B5EF4-FFF2-40B4-BE49-F238E27FC236}">
              <a16:creationId xmlns:a16="http://schemas.microsoft.com/office/drawing/2014/main" id="{C77F1226-1628-6821-0107-153324AA8E3C}"/>
            </a:ext>
          </a:extLst>
        </cdr:cNvPr>
        <cdr:cNvCxnSpPr/>
      </cdr:nvCxnSpPr>
      <cdr:spPr>
        <a:xfrm xmlns:a="http://schemas.openxmlformats.org/drawingml/2006/main">
          <a:off x="5409945" y="266700"/>
          <a:ext cx="0" cy="635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95959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0.43886</cdr:x>
      <cdr:y>0.03034</cdr:y>
    </cdr:from>
    <cdr:to>
      <cdr:x>0.53353</cdr:x>
      <cdr:y>0.08077</cdr:y>
    </cdr:to>
    <cdr:sp macro="" textlink="">
      <cdr:nvSpPr>
        <cdr:cNvPr id="5" name="tqq_ann_bracket_1_lbl" descr="kind=label;owner=tqq_ann_bracket_1">
          <a:extLst xmlns:a="http://schemas.openxmlformats.org/drawingml/2006/main">
            <a:ext uri="{FF2B5EF4-FFF2-40B4-BE49-F238E27FC236}">
              <a16:creationId xmlns:a16="http://schemas.microsoft.com/office/drawing/2014/main" id="{3262B3CB-DBB3-EFF5-0191-5BD1B39DA351}"/>
            </a:ext>
          </a:extLst>
        </cdr:cNvPr>
        <cdr:cNvSpPr txBox="1"/>
      </cdr:nvSpPr>
      <cdr:spPr>
        <a:xfrm xmlns:a="http://schemas.openxmlformats.org/drawingml/2006/main">
          <a:off x="3344119" y="100180"/>
          <a:ext cx="721416" cy="1665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6350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6350">
              <a:solidFill>
                <a:srgbClr val="A6A6A6"/>
              </a:solidFill>
            </a14:hiddenLine>
          </a:ext>
        </a:extLst>
      </cdr:spPr>
      <cdr:txBody>
        <a:bodyPr xmlns:a="http://schemas.openxmlformats.org/drawingml/2006/main" vertOverflow="clip" vert="horz" wrap="none" lIns="38100" tIns="12700" rIns="38100" bIns="1270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pt-BR" sz="900" b="0" kern="1200">
              <a:solidFill>
                <a:srgbClr val="404040"/>
              </a:solidFill>
            </a:rPr>
            <a:t>02/03 - 24/04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16</xdr:col>
      <xdr:colOff>304800</xdr:colOff>
      <xdr:row>22</xdr:row>
      <xdr:rowOff>63500</xdr:rowOff>
    </xdr:to>
    <xdr:graphicFrame macro="">
      <xdr:nvGraphicFramePr>
        <xdr:cNvPr id="2" name="tqq_t0puxk">
          <a:extLst>
            <a:ext uri="{FF2B5EF4-FFF2-40B4-BE49-F238E27FC236}">
              <a16:creationId xmlns:a16="http://schemas.microsoft.com/office/drawing/2014/main" id="{E66DB369-9093-4D13-518F-F061A473B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14</xdr:col>
      <xdr:colOff>101600</xdr:colOff>
      <xdr:row>27</xdr:row>
      <xdr:rowOff>127000</xdr:rowOff>
    </xdr:to>
    <xdr:graphicFrame macro="">
      <xdr:nvGraphicFramePr>
        <xdr:cNvPr id="2" name="tqq_o6euy7">
          <a:extLst>
            <a:ext uri="{FF2B5EF4-FFF2-40B4-BE49-F238E27FC236}">
              <a16:creationId xmlns:a16="http://schemas.microsoft.com/office/drawing/2014/main" id="{0EA76A6D-8142-A567-1DBC-F1FFC4B80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13</xdr:col>
      <xdr:colOff>203200</xdr:colOff>
      <xdr:row>26</xdr:row>
      <xdr:rowOff>63500</xdr:rowOff>
    </xdr:to>
    <xdr:graphicFrame macro="">
      <xdr:nvGraphicFramePr>
        <xdr:cNvPr id="2" name="tqq_0cm1ae">
          <a:extLst>
            <a:ext uri="{FF2B5EF4-FFF2-40B4-BE49-F238E27FC236}">
              <a16:creationId xmlns:a16="http://schemas.microsoft.com/office/drawing/2014/main" id="{E9F7EBFD-4C52-7DDF-10BA-05E44E8DC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17</xdr:col>
      <xdr:colOff>203200</xdr:colOff>
      <xdr:row>26</xdr:row>
      <xdr:rowOff>63500</xdr:rowOff>
    </xdr:to>
    <xdr:graphicFrame macro="">
      <xdr:nvGraphicFramePr>
        <xdr:cNvPr id="2" name="tqq_5hyhr9">
          <a:extLst>
            <a:ext uri="{FF2B5EF4-FFF2-40B4-BE49-F238E27FC236}">
              <a16:creationId xmlns:a16="http://schemas.microsoft.com/office/drawing/2014/main" id="{A6961AFB-22F2-5ED7-A85B-40594500B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15</xdr:col>
      <xdr:colOff>406400</xdr:colOff>
      <xdr:row>27</xdr:row>
      <xdr:rowOff>127000</xdr:rowOff>
    </xdr:to>
    <xdr:graphicFrame macro="">
      <xdr:nvGraphicFramePr>
        <xdr:cNvPr id="2" name="tqq_zotoff">
          <a:extLst>
            <a:ext uri="{FF2B5EF4-FFF2-40B4-BE49-F238E27FC236}">
              <a16:creationId xmlns:a16="http://schemas.microsoft.com/office/drawing/2014/main" id="{AE15BA85-446C-F8CE-0AA6-5D733A7AD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18</xdr:col>
      <xdr:colOff>304800</xdr:colOff>
      <xdr:row>29</xdr:row>
      <xdr:rowOff>0</xdr:rowOff>
    </xdr:to>
    <xdr:graphicFrame macro="">
      <xdr:nvGraphicFramePr>
        <xdr:cNvPr id="2" name="tqq_fj0lk9">
          <a:extLst>
            <a:ext uri="{FF2B5EF4-FFF2-40B4-BE49-F238E27FC236}">
              <a16:creationId xmlns:a16="http://schemas.microsoft.com/office/drawing/2014/main" id="{14B66531-D673-AC31-2B66-F2846EF29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14</xdr:col>
      <xdr:colOff>355600</xdr:colOff>
      <xdr:row>23</xdr:row>
      <xdr:rowOff>127000</xdr:rowOff>
    </xdr:to>
    <xdr:graphicFrame macro="">
      <xdr:nvGraphicFramePr>
        <xdr:cNvPr id="2" name="tqq_fq8cek">
          <a:extLst>
            <a:ext uri="{FF2B5EF4-FFF2-40B4-BE49-F238E27FC236}">
              <a16:creationId xmlns:a16="http://schemas.microsoft.com/office/drawing/2014/main" id="{869AD70D-DA09-7FF9-4AD6-E86CACAE8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0.20744</cdr:x>
      <cdr:y>0.15569</cdr:y>
    </cdr:from>
    <cdr:to>
      <cdr:x>0.5745</cdr:x>
      <cdr:y>0.2199</cdr:y>
    </cdr:to>
    <cdr:cxnSp macro="">
      <cdr:nvCxnSpPr>
        <cdr:cNvPr id="2" name="tqq_ann_cagr_1" descr="kind=cagr;from=1;to=2">
          <a:extLst xmlns:a="http://schemas.openxmlformats.org/drawingml/2006/main">
            <a:ext uri="{FF2B5EF4-FFF2-40B4-BE49-F238E27FC236}">
              <a16:creationId xmlns:a16="http://schemas.microsoft.com/office/drawing/2014/main" id="{D7FCD515-7DB2-1796-1EDB-575EF68F1DE7}"/>
            </a:ext>
          </a:extLst>
        </cdr:cNvPr>
        <cdr:cNvCxnSpPr/>
      </cdr:nvCxnSpPr>
      <cdr:spPr>
        <a:xfrm xmlns:a="http://schemas.openxmlformats.org/drawingml/2006/main" flipV="1">
          <a:off x="1211876" y="553629"/>
          <a:ext cx="2144352" cy="228349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595959"/>
          </a:solidFill>
          <a:tailEnd type="triangle" w="sm" len="sm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0.3294</cdr:x>
      <cdr:y>0.09458</cdr:y>
    </cdr:from>
    <cdr:to>
      <cdr:x>0.45254</cdr:x>
      <cdr:y>0.1414</cdr:y>
    </cdr:to>
    <cdr:sp macro="" textlink="">
      <cdr:nvSpPr>
        <cdr:cNvPr id="3" name="tqq_ann_cagr_1_lbl" descr="kind=label;owner=tqq_ann_cagr_1">
          <a:extLst xmlns:a="http://schemas.openxmlformats.org/drawingml/2006/main">
            <a:ext uri="{FF2B5EF4-FFF2-40B4-BE49-F238E27FC236}">
              <a16:creationId xmlns:a16="http://schemas.microsoft.com/office/drawing/2014/main" id="{BACC5476-6166-30AF-8A24-5B6994413FE1}"/>
            </a:ext>
          </a:extLst>
        </cdr:cNvPr>
        <cdr:cNvSpPr txBox="1"/>
      </cdr:nvSpPr>
      <cdr:spPr>
        <a:xfrm xmlns:a="http://schemas.openxmlformats.org/drawingml/2006/main">
          <a:off x="1924370" y="336309"/>
          <a:ext cx="719364" cy="16652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6350">
          <a:solidFill>
            <a:srgbClr val="A6A6A6"/>
          </a:solidFill>
        </a:ln>
      </cdr:spPr>
      <cdr:txBody>
        <a:bodyPr xmlns:a="http://schemas.openxmlformats.org/drawingml/2006/main" vertOverflow="clip" vert="horz" wrap="none" lIns="38100" tIns="12700" rIns="38100" bIns="1270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pt-BR" sz="900" b="1" kern="1200">
              <a:solidFill>
                <a:srgbClr val="404040"/>
              </a:solidFill>
            </a:rPr>
            <a:t>CAGR +11,2%</a:t>
          </a: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14</xdr:col>
      <xdr:colOff>355600</xdr:colOff>
      <xdr:row>23</xdr:row>
      <xdr:rowOff>127000</xdr:rowOff>
    </xdr:to>
    <xdr:graphicFrame macro="">
      <xdr:nvGraphicFramePr>
        <xdr:cNvPr id="2" name="tqq_sumrrh">
          <a:extLst>
            <a:ext uri="{FF2B5EF4-FFF2-40B4-BE49-F238E27FC236}">
              <a16:creationId xmlns:a16="http://schemas.microsoft.com/office/drawing/2014/main" id="{3A48B32A-E3DD-B410-53CA-BBFC31C57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0.0913</cdr:x>
      <cdr:y>0.03929</cdr:y>
    </cdr:from>
    <cdr:to>
      <cdr:x>0.10652</cdr:x>
      <cdr:y>0.03929</cdr:y>
    </cdr:to>
    <cdr:cxnSp macro="">
      <cdr:nvCxnSpPr>
        <cdr:cNvPr id="2" name="tqq_ann_ind100" descr="kind=ind100">
          <a:extLst xmlns:a="http://schemas.openxmlformats.org/drawingml/2006/main">
            <a:ext uri="{FF2B5EF4-FFF2-40B4-BE49-F238E27FC236}">
              <a16:creationId xmlns:a16="http://schemas.microsoft.com/office/drawing/2014/main" id="{670A691E-492B-0198-7870-516BCF782387}"/>
            </a:ext>
          </a:extLst>
        </cdr:cNvPr>
        <cdr:cNvCxnSpPr/>
      </cdr:nvCxnSpPr>
      <cdr:spPr>
        <a:xfrm xmlns:a="http://schemas.openxmlformats.org/drawingml/2006/main">
          <a:off x="533400" y="139700"/>
          <a:ext cx="88900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95959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0.02936</cdr:x>
      <cdr:y>0.01587</cdr:y>
    </cdr:from>
    <cdr:to>
      <cdr:x>0.08696</cdr:x>
      <cdr:y>0.0627</cdr:y>
    </cdr:to>
    <cdr:sp macro="" textlink="">
      <cdr:nvSpPr>
        <cdr:cNvPr id="3" name="tqq_ann_ind100_lbl" descr="kind=label;owner=tqq_ann_ind100">
          <a:extLst xmlns:a="http://schemas.openxmlformats.org/drawingml/2006/main">
            <a:ext uri="{FF2B5EF4-FFF2-40B4-BE49-F238E27FC236}">
              <a16:creationId xmlns:a16="http://schemas.microsoft.com/office/drawing/2014/main" id="{F2DBF65A-FBD3-3CFB-1681-9DE7962A6E2E}"/>
            </a:ext>
          </a:extLst>
        </cdr:cNvPr>
        <cdr:cNvSpPr txBox="1"/>
      </cdr:nvSpPr>
      <cdr:spPr>
        <a:xfrm xmlns:a="http://schemas.openxmlformats.org/drawingml/2006/main">
          <a:off x="171497" y="56440"/>
          <a:ext cx="336503" cy="1665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6350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6350">
              <a:solidFill>
                <a:srgbClr val="A6A6A6"/>
              </a:solidFill>
            </a14:hiddenLine>
          </a:ext>
        </a:extLst>
      </cdr:spPr>
      <cdr:txBody>
        <a:bodyPr xmlns:a="http://schemas.openxmlformats.org/drawingml/2006/main" vertOverflow="clip" vert="horz" wrap="none" lIns="38100" tIns="12700" rIns="38100" bIns="12700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pt-BR" sz="900" b="0" kern="1200">
              <a:solidFill>
                <a:srgbClr val="404040"/>
              </a:solidFill>
            </a:rPr>
            <a:t>100%</a:t>
          </a: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16</xdr:col>
      <xdr:colOff>558800</xdr:colOff>
      <xdr:row>26</xdr:row>
      <xdr:rowOff>63500</xdr:rowOff>
    </xdr:to>
    <xdr:graphicFrame macro="">
      <xdr:nvGraphicFramePr>
        <xdr:cNvPr id="2" name="tqq_6xul2z">
          <a:extLst>
            <a:ext uri="{FF2B5EF4-FFF2-40B4-BE49-F238E27FC236}">
              <a16:creationId xmlns:a16="http://schemas.microsoft.com/office/drawing/2014/main" id="{30D676DC-DAF1-D844-7701-007B181D4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0.03727</cdr:x>
      <cdr:y>0.12188</cdr:y>
    </cdr:from>
    <cdr:to>
      <cdr:x>0.11973</cdr:x>
      <cdr:y>0.14063</cdr:y>
    </cdr:to>
    <cdr:cxnSp macro="">
      <cdr:nvCxnSpPr>
        <cdr:cNvPr id="2" name="tqq_ann_break_1_w" descr="kind=break;cat=1;part=w">
          <a:extLst xmlns:a="http://schemas.openxmlformats.org/drawingml/2006/main">
            <a:ext uri="{FF2B5EF4-FFF2-40B4-BE49-F238E27FC236}">
              <a16:creationId xmlns:a16="http://schemas.microsoft.com/office/drawing/2014/main" id="{CD232E67-54B1-307F-F047-70F44410FC8F}"/>
            </a:ext>
          </a:extLst>
        </cdr:cNvPr>
        <cdr:cNvCxnSpPr/>
      </cdr:nvCxnSpPr>
      <cdr:spPr>
        <a:xfrm xmlns:a="http://schemas.openxmlformats.org/drawingml/2006/main" flipV="1">
          <a:off x="293466" y="495300"/>
          <a:ext cx="649295" cy="76200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rgbClr val="FFFFFF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0.03727</cdr:x>
      <cdr:y>0.11563</cdr:y>
    </cdr:from>
    <cdr:to>
      <cdr:x>0.11973</cdr:x>
      <cdr:y>0.13438</cdr:y>
    </cdr:to>
    <cdr:cxnSp macro="">
      <cdr:nvCxnSpPr>
        <cdr:cNvPr id="3" name="tqq_ann_break_1" descr="kind=break;cat=1;part=a">
          <a:extLst xmlns:a="http://schemas.openxmlformats.org/drawingml/2006/main">
            <a:ext uri="{FF2B5EF4-FFF2-40B4-BE49-F238E27FC236}">
              <a16:creationId xmlns:a16="http://schemas.microsoft.com/office/drawing/2014/main" id="{9857827B-96F7-A425-F091-C1E3AD86E3B6}"/>
            </a:ext>
          </a:extLst>
        </cdr:cNvPr>
        <cdr:cNvCxnSpPr/>
      </cdr:nvCxnSpPr>
      <cdr:spPr>
        <a:xfrm xmlns:a="http://schemas.openxmlformats.org/drawingml/2006/main" flipV="1">
          <a:off x="293466" y="469900"/>
          <a:ext cx="649295" cy="762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95959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0.03727</cdr:x>
      <cdr:y>0.12813</cdr:y>
    </cdr:from>
    <cdr:to>
      <cdr:x>0.11973</cdr:x>
      <cdr:y>0.14688</cdr:y>
    </cdr:to>
    <cdr:cxnSp macro="">
      <cdr:nvCxnSpPr>
        <cdr:cNvPr id="4" name="tqq_ann_break_1_b" descr="kind=break;cat=1;part=b">
          <a:extLst xmlns:a="http://schemas.openxmlformats.org/drawingml/2006/main">
            <a:ext uri="{FF2B5EF4-FFF2-40B4-BE49-F238E27FC236}">
              <a16:creationId xmlns:a16="http://schemas.microsoft.com/office/drawing/2014/main" id="{21F7389D-9AA0-609B-0EDD-5A2EAFE16C03}"/>
            </a:ext>
          </a:extLst>
        </cdr:cNvPr>
        <cdr:cNvCxnSpPr/>
      </cdr:nvCxnSpPr>
      <cdr:spPr>
        <a:xfrm xmlns:a="http://schemas.openxmlformats.org/drawingml/2006/main" flipV="1">
          <a:off x="293466" y="520700"/>
          <a:ext cx="649295" cy="762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95959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10</xdr:col>
      <xdr:colOff>533400</xdr:colOff>
      <xdr:row>21</xdr:row>
      <xdr:rowOff>127000</xdr:rowOff>
    </xdr:to>
    <xdr:graphicFrame macro="">
      <xdr:nvGraphicFramePr>
        <xdr:cNvPr id="2" name="tqq_zmyivq">
          <a:extLst>
            <a:ext uri="{FF2B5EF4-FFF2-40B4-BE49-F238E27FC236}">
              <a16:creationId xmlns:a16="http://schemas.microsoft.com/office/drawing/2014/main" id="{22C0937C-7CEF-A69F-9624-D92F8193A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228600</xdr:colOff>
      <xdr:row>5</xdr:row>
      <xdr:rowOff>0</xdr:rowOff>
    </xdr:from>
    <xdr:to>
      <xdr:col>18</xdr:col>
      <xdr:colOff>152400</xdr:colOff>
      <xdr:row>21</xdr:row>
      <xdr:rowOff>127000</xdr:rowOff>
    </xdr:to>
    <xdr:graphicFrame macro="">
      <xdr:nvGraphicFramePr>
        <xdr:cNvPr id="3" name="tqq_hnpqa2">
          <a:extLst>
            <a:ext uri="{FF2B5EF4-FFF2-40B4-BE49-F238E27FC236}">
              <a16:creationId xmlns:a16="http://schemas.microsoft.com/office/drawing/2014/main" id="{2F7E134E-4D68-6213-90D7-5A1099307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50800</xdr:colOff>
      <xdr:row>23</xdr:row>
      <xdr:rowOff>127000</xdr:rowOff>
    </xdr:to>
    <xdr:graphicFrame macro="">
      <xdr:nvGraphicFramePr>
        <xdr:cNvPr id="2" name="tqq_24w66l">
          <a:extLst>
            <a:ext uri="{FF2B5EF4-FFF2-40B4-BE49-F238E27FC236}">
              <a16:creationId xmlns:a16="http://schemas.microsoft.com/office/drawing/2014/main" id="{337A13DF-0AC0-DC3C-326D-EE77C38DA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21</xdr:col>
      <xdr:colOff>50800</xdr:colOff>
      <xdr:row>27</xdr:row>
      <xdr:rowOff>127000</xdr:rowOff>
    </xdr:to>
    <xdr:graphicFrame macro="">
      <xdr:nvGraphicFramePr>
        <xdr:cNvPr id="2" name="tqq_asbn4p">
          <a:extLst>
            <a:ext uri="{FF2B5EF4-FFF2-40B4-BE49-F238E27FC236}">
              <a16:creationId xmlns:a16="http://schemas.microsoft.com/office/drawing/2014/main" id="{0618CE88-35BE-9686-4E29-B79413574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18</xdr:col>
      <xdr:colOff>355600</xdr:colOff>
      <xdr:row>27</xdr:row>
      <xdr:rowOff>127000</xdr:rowOff>
    </xdr:to>
    <xdr:graphicFrame macro="">
      <xdr:nvGraphicFramePr>
        <xdr:cNvPr id="2" name="tqq_jd1umr">
          <a:extLst>
            <a:ext uri="{FF2B5EF4-FFF2-40B4-BE49-F238E27FC236}">
              <a16:creationId xmlns:a16="http://schemas.microsoft.com/office/drawing/2014/main" id="{188FFA83-9F81-B9FB-DE91-008154DCD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7FF3-4917-4931-B52B-2A29E6CE5A68}">
  <sheetPr>
    <tabColor rgb="FF1F5379"/>
  </sheetPr>
  <dimension ref="A1:E34"/>
  <sheetViews>
    <sheetView showGridLines="0" tabSelected="1" workbookViewId="0">
      <pane ySplit="6" topLeftCell="A7" activePane="bottomLeft" state="frozenSplit"/>
      <selection pane="bottomLeft" activeCell="B7" sqref="B7"/>
    </sheetView>
  </sheetViews>
  <sheetFormatPr defaultRowHeight="15" x14ac:dyDescent="0.25"/>
  <cols>
    <col min="1" max="1" width="5.7109375" customWidth="1"/>
    <col min="2" max="2" width="60.7109375" customWidth="1"/>
    <col min="3" max="3" width="22.7109375" customWidth="1"/>
    <col min="4" max="4" width="30.7109375" customWidth="1"/>
    <col min="5" max="5" width="58.7109375" customWidth="1"/>
  </cols>
  <sheetData>
    <row r="1" spans="1:5" ht="21" x14ac:dyDescent="0.35">
      <c r="A1" s="29" t="s">
        <v>398</v>
      </c>
    </row>
    <row r="2" spans="1:5" x14ac:dyDescent="0.25">
      <c r="A2" s="30" t="s">
        <v>399</v>
      </c>
      <c r="B2" s="30"/>
      <c r="C2" s="30"/>
      <c r="D2" s="30"/>
      <c r="E2" s="30"/>
    </row>
    <row r="3" spans="1:5" x14ac:dyDescent="0.25">
      <c r="A3" s="30" t="s">
        <v>400</v>
      </c>
      <c r="B3" s="30"/>
      <c r="C3" s="30"/>
      <c r="D3" s="30"/>
      <c r="E3" s="30"/>
    </row>
    <row r="4" spans="1:5" ht="30" customHeight="1" x14ac:dyDescent="0.25">
      <c r="A4" s="30" t="s">
        <v>401</v>
      </c>
      <c r="B4" s="30"/>
      <c r="C4" s="30"/>
      <c r="D4" s="30"/>
      <c r="E4" s="30"/>
    </row>
    <row r="6" spans="1:5" x14ac:dyDescent="0.25">
      <c r="A6" s="31" t="s">
        <v>402</v>
      </c>
      <c r="B6" s="32" t="s">
        <v>403</v>
      </c>
      <c r="C6" s="32" t="s">
        <v>404</v>
      </c>
      <c r="D6" s="32" t="s">
        <v>405</v>
      </c>
      <c r="E6" s="32" t="s">
        <v>406</v>
      </c>
    </row>
    <row r="7" spans="1:5" ht="30" x14ac:dyDescent="0.25">
      <c r="A7" s="33">
        <v>1</v>
      </c>
      <c r="B7" s="34" t="s">
        <v>407</v>
      </c>
      <c r="C7" s="35" t="s">
        <v>408</v>
      </c>
      <c r="D7" s="35" t="s">
        <v>409</v>
      </c>
      <c r="E7" s="35" t="s">
        <v>410</v>
      </c>
    </row>
    <row r="8" spans="1:5" ht="45" x14ac:dyDescent="0.25">
      <c r="A8" s="36">
        <v>2</v>
      </c>
      <c r="B8" s="37" t="s">
        <v>411</v>
      </c>
      <c r="C8" s="38" t="s">
        <v>412</v>
      </c>
      <c r="D8" s="38" t="s">
        <v>413</v>
      </c>
      <c r="E8" s="38" t="s">
        <v>414</v>
      </c>
    </row>
    <row r="9" spans="1:5" ht="30" x14ac:dyDescent="0.25">
      <c r="A9" s="33">
        <v>3</v>
      </c>
      <c r="B9" s="34" t="s">
        <v>415</v>
      </c>
      <c r="C9" s="35" t="s">
        <v>416</v>
      </c>
      <c r="D9" s="35" t="s">
        <v>417</v>
      </c>
      <c r="E9" s="35" t="s">
        <v>418</v>
      </c>
    </row>
    <row r="10" spans="1:5" ht="30" x14ac:dyDescent="0.25">
      <c r="A10" s="36">
        <v>4</v>
      </c>
      <c r="B10" s="37" t="s">
        <v>419</v>
      </c>
      <c r="C10" s="38" t="s">
        <v>420</v>
      </c>
      <c r="D10" s="38" t="s">
        <v>421</v>
      </c>
      <c r="E10" s="38" t="s">
        <v>422</v>
      </c>
    </row>
    <row r="11" spans="1:5" ht="30" x14ac:dyDescent="0.25">
      <c r="A11" s="33">
        <v>5</v>
      </c>
      <c r="B11" s="34" t="s">
        <v>423</v>
      </c>
      <c r="C11" s="35" t="s">
        <v>424</v>
      </c>
      <c r="D11" s="35" t="s">
        <v>425</v>
      </c>
      <c r="E11" s="35" t="s">
        <v>426</v>
      </c>
    </row>
    <row r="12" spans="1:5" ht="30" x14ac:dyDescent="0.25">
      <c r="A12" s="36">
        <v>6</v>
      </c>
      <c r="B12" s="37" t="s">
        <v>427</v>
      </c>
      <c r="C12" s="38" t="s">
        <v>428</v>
      </c>
      <c r="D12" s="38" t="s">
        <v>429</v>
      </c>
      <c r="E12" s="38" t="s">
        <v>430</v>
      </c>
    </row>
    <row r="13" spans="1:5" ht="30" x14ac:dyDescent="0.25">
      <c r="A13" s="33">
        <v>7</v>
      </c>
      <c r="B13" s="34" t="s">
        <v>431</v>
      </c>
      <c r="C13" s="35" t="s">
        <v>432</v>
      </c>
      <c r="D13" s="35" t="s">
        <v>433</v>
      </c>
      <c r="E13" s="35" t="s">
        <v>434</v>
      </c>
    </row>
    <row r="14" spans="1:5" x14ac:dyDescent="0.25">
      <c r="A14" s="36">
        <v>8</v>
      </c>
      <c r="B14" s="37" t="s">
        <v>435</v>
      </c>
      <c r="C14" s="38" t="s">
        <v>436</v>
      </c>
      <c r="D14" s="38" t="s">
        <v>437</v>
      </c>
      <c r="E14" s="38" t="s">
        <v>438</v>
      </c>
    </row>
    <row r="15" spans="1:5" x14ac:dyDescent="0.25">
      <c r="A15" s="33">
        <v>9</v>
      </c>
      <c r="B15" s="34" t="s">
        <v>439</v>
      </c>
      <c r="C15" s="35" t="s">
        <v>440</v>
      </c>
      <c r="D15" s="35" t="s">
        <v>437</v>
      </c>
      <c r="E15" s="35" t="s">
        <v>441</v>
      </c>
    </row>
    <row r="16" spans="1:5" ht="30" x14ac:dyDescent="0.25">
      <c r="A16" s="36">
        <v>10</v>
      </c>
      <c r="B16" s="37" t="s">
        <v>442</v>
      </c>
      <c r="C16" s="38" t="s">
        <v>443</v>
      </c>
      <c r="D16" s="38" t="s">
        <v>444</v>
      </c>
      <c r="E16" s="38" t="s">
        <v>445</v>
      </c>
    </row>
    <row r="17" spans="1:5" ht="30" x14ac:dyDescent="0.25">
      <c r="A17" s="33">
        <v>11</v>
      </c>
      <c r="B17" s="34" t="s">
        <v>446</v>
      </c>
      <c r="C17" s="35" t="s">
        <v>447</v>
      </c>
      <c r="D17" s="35" t="s">
        <v>437</v>
      </c>
      <c r="E17" s="35" t="s">
        <v>448</v>
      </c>
    </row>
    <row r="18" spans="1:5" ht="30" x14ac:dyDescent="0.25">
      <c r="A18" s="36">
        <v>12</v>
      </c>
      <c r="B18" s="37" t="s">
        <v>449</v>
      </c>
      <c r="C18" s="38" t="s">
        <v>450</v>
      </c>
      <c r="D18" s="38" t="s">
        <v>451</v>
      </c>
      <c r="E18" s="38" t="s">
        <v>452</v>
      </c>
    </row>
    <row r="19" spans="1:5" x14ac:dyDescent="0.25">
      <c r="A19" s="33">
        <v>13</v>
      </c>
      <c r="B19" s="34" t="s">
        <v>453</v>
      </c>
      <c r="C19" s="35" t="s">
        <v>454</v>
      </c>
      <c r="D19" s="35" t="s">
        <v>437</v>
      </c>
      <c r="E19" s="35" t="s">
        <v>455</v>
      </c>
    </row>
    <row r="20" spans="1:5" x14ac:dyDescent="0.25">
      <c r="A20" s="36">
        <v>14</v>
      </c>
      <c r="B20" s="37" t="s">
        <v>456</v>
      </c>
      <c r="C20" s="38" t="s">
        <v>457</v>
      </c>
      <c r="D20" s="38" t="s">
        <v>437</v>
      </c>
      <c r="E20" s="38" t="s">
        <v>458</v>
      </c>
    </row>
    <row r="21" spans="1:5" x14ac:dyDescent="0.25">
      <c r="A21" s="33">
        <v>15</v>
      </c>
      <c r="B21" s="34" t="s">
        <v>459</v>
      </c>
      <c r="C21" s="35" t="s">
        <v>460</v>
      </c>
      <c r="D21" s="35" t="s">
        <v>461</v>
      </c>
      <c r="E21" s="35" t="s">
        <v>462</v>
      </c>
    </row>
    <row r="22" spans="1:5" x14ac:dyDescent="0.25">
      <c r="A22" s="36">
        <v>16</v>
      </c>
      <c r="B22" s="37" t="s">
        <v>463</v>
      </c>
      <c r="C22" s="38" t="s">
        <v>460</v>
      </c>
      <c r="D22" s="38" t="s">
        <v>464</v>
      </c>
      <c r="E22" s="38" t="s">
        <v>465</v>
      </c>
    </row>
    <row r="23" spans="1:5" ht="30" x14ac:dyDescent="0.25">
      <c r="A23" s="33">
        <v>17</v>
      </c>
      <c r="B23" s="34" t="s">
        <v>466</v>
      </c>
      <c r="C23" s="35" t="s">
        <v>467</v>
      </c>
      <c r="D23" s="35" t="s">
        <v>468</v>
      </c>
      <c r="E23" s="35" t="s">
        <v>469</v>
      </c>
    </row>
    <row r="24" spans="1:5" x14ac:dyDescent="0.25">
      <c r="A24" s="36">
        <v>18</v>
      </c>
      <c r="B24" s="37" t="s">
        <v>470</v>
      </c>
      <c r="C24" s="38" t="s">
        <v>471</v>
      </c>
      <c r="D24" s="38" t="s">
        <v>472</v>
      </c>
      <c r="E24" s="38" t="s">
        <v>473</v>
      </c>
    </row>
    <row r="25" spans="1:5" x14ac:dyDescent="0.25">
      <c r="A25" s="33">
        <v>19</v>
      </c>
      <c r="B25" s="34" t="s">
        <v>474</v>
      </c>
      <c r="C25" s="35" t="s">
        <v>475</v>
      </c>
      <c r="D25" s="35" t="s">
        <v>437</v>
      </c>
      <c r="E25" s="35" t="s">
        <v>476</v>
      </c>
    </row>
    <row r="26" spans="1:5" ht="30" x14ac:dyDescent="0.25">
      <c r="A26" s="36">
        <v>20</v>
      </c>
      <c r="B26" s="37" t="s">
        <v>477</v>
      </c>
      <c r="C26" s="38" t="s">
        <v>478</v>
      </c>
      <c r="D26" s="38" t="s">
        <v>479</v>
      </c>
      <c r="E26" s="38" t="s">
        <v>480</v>
      </c>
    </row>
    <row r="27" spans="1:5" x14ac:dyDescent="0.25">
      <c r="A27" s="33">
        <v>21</v>
      </c>
      <c r="B27" s="34" t="s">
        <v>481</v>
      </c>
      <c r="C27" s="35" t="s">
        <v>482</v>
      </c>
      <c r="D27" s="35" t="s">
        <v>437</v>
      </c>
      <c r="E27" s="35" t="s">
        <v>483</v>
      </c>
    </row>
    <row r="28" spans="1:5" ht="30" x14ac:dyDescent="0.25">
      <c r="A28" s="36">
        <v>22</v>
      </c>
      <c r="B28" s="37" t="s">
        <v>484</v>
      </c>
      <c r="C28" s="38" t="s">
        <v>408</v>
      </c>
      <c r="D28" s="38" t="s">
        <v>485</v>
      </c>
      <c r="E28" s="38" t="s">
        <v>486</v>
      </c>
    </row>
    <row r="29" spans="1:5" ht="30" x14ac:dyDescent="0.25">
      <c r="A29" s="33">
        <v>23</v>
      </c>
      <c r="B29" s="34" t="s">
        <v>487</v>
      </c>
      <c r="C29" s="35" t="s">
        <v>416</v>
      </c>
      <c r="D29" s="35" t="s">
        <v>488</v>
      </c>
      <c r="E29" s="35" t="s">
        <v>489</v>
      </c>
    </row>
    <row r="30" spans="1:5" ht="30" x14ac:dyDescent="0.25">
      <c r="A30" s="36">
        <v>24</v>
      </c>
      <c r="B30" s="37" t="s">
        <v>490</v>
      </c>
      <c r="C30" s="38" t="s">
        <v>408</v>
      </c>
      <c r="D30" s="38" t="s">
        <v>491</v>
      </c>
      <c r="E30" s="38" t="s">
        <v>492</v>
      </c>
    </row>
    <row r="31" spans="1:5" ht="30" x14ac:dyDescent="0.25">
      <c r="A31" s="33">
        <v>25</v>
      </c>
      <c r="B31" s="34" t="s">
        <v>493</v>
      </c>
      <c r="C31" s="35" t="s">
        <v>412</v>
      </c>
      <c r="D31" s="35" t="s">
        <v>494</v>
      </c>
      <c r="E31" s="35" t="s">
        <v>495</v>
      </c>
    </row>
    <row r="32" spans="1:5" x14ac:dyDescent="0.25">
      <c r="A32" s="36">
        <v>26</v>
      </c>
      <c r="B32" s="37" t="s">
        <v>496</v>
      </c>
      <c r="C32" s="38" t="s">
        <v>420</v>
      </c>
      <c r="D32" s="38" t="s">
        <v>497</v>
      </c>
      <c r="E32" s="38" t="s">
        <v>498</v>
      </c>
    </row>
    <row r="33" spans="1:5" ht="30" x14ac:dyDescent="0.25">
      <c r="A33" s="33">
        <v>27</v>
      </c>
      <c r="B33" s="34" t="s">
        <v>499</v>
      </c>
      <c r="C33" s="35" t="s">
        <v>500</v>
      </c>
      <c r="D33" s="35" t="s">
        <v>501</v>
      </c>
      <c r="E33" s="35" t="s">
        <v>502</v>
      </c>
    </row>
    <row r="34" spans="1:5" ht="30" x14ac:dyDescent="0.25">
      <c r="A34" s="36">
        <v>28</v>
      </c>
      <c r="B34" s="37" t="s">
        <v>503</v>
      </c>
      <c r="C34" s="38" t="s">
        <v>500</v>
      </c>
      <c r="D34" s="38" t="s">
        <v>504</v>
      </c>
      <c r="E34" s="38" t="s">
        <v>505</v>
      </c>
    </row>
  </sheetData>
  <mergeCells count="3">
    <mergeCell ref="A2:E2"/>
    <mergeCell ref="A3:E3"/>
    <mergeCell ref="A4:E4"/>
  </mergeCells>
  <hyperlinks>
    <hyperlink ref="B7" location="'E01'!A1" tooltip="Ir para o exemplo 1 (planilha E01)" display="Vendas 2025 por departamento e canal (colunas empilhadas, totais e rótulos)" xr:uid="{7ED3E62E-F6F7-4B87-BE6E-B774157356F6}"/>
    <hyperlink ref="B8" location="'E02'!A1" tooltip="Ir para o exemplo 2 (planilha E02)" display="Vendas por loja, 2024 x 2025 (colunas agrupadas, espaço muito largo e delta entre barras)" xr:uid="{00026751-6635-48EF-B456-0B896CDEB038}"/>
    <hyperlink ref="B9" location="'E03'!A1" tooltip="Ir para o exemplo 3 (planilha E03)" display="Mix de canais B2C/B2B por região (colunas 100% e indicador 100%)" xr:uid="{DA894951-D49D-46F9-A0DC-511D5E9BC0D6}"/>
    <hyperlink ref="B10" location="'E04'!A1" tooltip="Ir para o exemplo 4 (planilha E04)" display="Vendas e custo mensais da loja Aurora Centro (nome no fim da linha)" xr:uid="{C9B6B5B3-99A6-45DC-AC06-E9F82E1FB9AE}"/>
    <hyperlink ref="B11" location="'E05'!A1" tooltip="Ir para o exemplo 5 (planilha E05)" display="Da receita ao lucro em 2025 (cascata com conectores e seta de diferença)" xr:uid="{1F2E0B11-E09E-40EE-A0F8-9B7375DFCEB8}"/>
    <hyperlink ref="B12" location="'E06'!A1" tooltip="Ir para o exemplo 6 (planilha E06)" display="Vendas 2025 por região e canal (barras empilhadas e seta de diferença)" xr:uid="{92FFF1B3-9776-4430-9ECD-AD8BB3C219CA}"/>
    <hyperlink ref="B13" location="'E07'!A1" tooltip="Ir para o exemplo 7 (planilha E07)" display="Vendas por loja em R$ (barras agrupadas, rótulos em milhares)" xr:uid="{C1199F15-A711-405D-BDFD-BCB016BE19E0}"/>
    <hyperlink ref="B14" location="'E08'!A1" tooltip="Ir para o exemplo 8 (planilha E08)" display="Mix de canais B2C/B2B por loja (barras 100%)" xr:uid="{7FCD5C60-523D-4328-AA86-4FF3F108B850}"/>
    <hyperlink ref="B15" location="'E09'!A1" tooltip="Ir para o exemplo 9 (planilha E09)" display="Da receita ao lucro em 2025 (cascata horizontal)" xr:uid="{DEB020BF-7DB2-4A98-992D-0E892BA1B8A6}"/>
    <hyperlink ref="B16" location="'E10'!A1" tooltip="Ir para o exemplo 10 (planilha E10)" display="Vendas trimestrais dos três maiores departamentos (área empilhada e linha de valor)" xr:uid="{3214449A-37F3-444A-91B8-DDFDA681ABD6}"/>
    <hyperlink ref="B17" location="'E11'!A1" tooltip="Ir para o exemplo 11 (planilha E11)" display="Participação trimestral dos três maiores departamentos (área 100%)" xr:uid="{05836597-6A81-4AC3-B4BB-9CF1D1C989DC}"/>
    <hyperlink ref="B18" location="'E12'!A1" tooltip="Ir para o exemplo 12 (planilha E12)" display="Vendas por canal e margem % da loja Aurora Centro (combinação com eixo secundário)" xr:uid="{B2CC0A3A-4DA9-4754-B58C-A4B7AB36E893}"/>
    <hyperlink ref="B19" location="'E13'!A1" tooltip="Ir para o exemplo 13 (planilha E13)" display="Regiões x grupos de produto em 2025 (Mekko %)" xr:uid="{9848CD66-9FDD-4464-8D14-FEED7659899F}"/>
    <hyperlink ref="B20" location="'E14'!A1" tooltip="Ir para o exemplo 14 (planilha E14)" display="Regiões x grupos, largura = nº de lojas (Mekko em unidades)" xr:uid="{E6D147D7-BF33-4B80-8700-E0F10A5527BD}"/>
    <hyperlink ref="B21" location="'E15'!A1" tooltip="Ir para o exemplo 15 (planilha E15)" display="Reformas de março a maio (Gantt em semanas, com colchete)" xr:uid="{F091B59D-00EE-479B-81B9-F0FFA0C6BA20}"/>
    <hyperlink ref="B22" location="'E16'!A1" tooltip="Ir para o exemplo 16 (planilha E16)" display="Plano de abertura de uma nova loja (Gantt em meses)" xr:uid="{A4FDA8A2-6101-464C-9A52-031FA2E4F50B}"/>
    <hyperlink ref="B23" location="'E17'!A1" tooltip="Ir para o exemplo 17 (planilha E17)" display="Vendas 2025 por região (pizza, rótulos fora)" xr:uid="{C8957D3D-61A7-4844-A26A-65F32A6DCD89}"/>
    <hyperlink ref="B24" location="'E18'!A1" tooltip="Ir para o exemplo 18 (planilha E18)" display="Vendas 2025 por região (rosca, paleta em tons de cinza)" xr:uid="{800FB6E5-1809-4658-9842-7318B489C5EE}"/>
    <hyperlink ref="B25" location="'E19'!A1" tooltip="Ir para o exemplo 19 (planilha E19)" display="Vendas B2C x B2B por loja (borboleta)" xr:uid="{F506A16B-DBF6-496D-9238-C3C54B491888}"/>
    <hyperlink ref="B26" location="'E20'!A1" tooltip="Ir para o exemplo 20 (planilha E20)" display="Ticket médio x margem por loja (dispersão, tendência e quadrantes)" xr:uid="{69E600E9-D9A0-4CF1-9E76-4890C00F6ACC}"/>
    <hyperlink ref="B27" location="'E21'!A1" tooltip="Ir para o exemplo 21 (planilha E21)" display="Ticket x margem x vendas por departamento (bolhas)" xr:uid="{977DBF4B-3E6F-4468-9032-5E1BC35F237A}"/>
    <hyperlink ref="B28" location="'E22'!A1" tooltip="Ir para o exemplo 22 (planilha E22)" display="Crescimento 2024-2025 de três departamentos (seta CAGR)" xr:uid="{3FAD1ECE-65F2-4525-834D-238FB4642A5E}"/>
    <hyperlink ref="B29" location="'E23'!A1" tooltip="Ir para o exemplo 23 (planilha E23)" display="Participações que somam 100% (soma consistente no gráfico e na tabela)" xr:uid="{49B23C92-C226-472E-A160-F4C3A1BA941F}"/>
    <hyperlink ref="B30" location="'E24'!A1" tooltip="Ir para o exemplo 24 (planilha E24)" display="Cimento e argamassa dominam as vendas: corte de eixo" xr:uid="{64ED9B4C-F475-4DB3-8853-F9221B90DFDA}"/>
    <hyperlink ref="B31" location="'E25'!A1" tooltip="Ir para o exemplo 25 (planilha E25)" display="A maior e a menor loja lado a lado (mesma escala)" xr:uid="{CA09A8A7-D118-4391-A36C-05E3AC9519B4}"/>
    <hyperlink ref="B32" location="'E26'!A1" tooltip="Ir para o exemplo 26 (planilha E26)" display="Vendas mensais da loja Aurora Centro (sem legenda)" xr:uid="{B2E4E38E-C534-483E-A1CC-EF5F73FA249B}"/>
    <hyperlink ref="B33" location="'E27'!A1" tooltip="Ir para o exemplo 27 (planilha E27)" display="Da receita ao lucro, 2024 x 2025 (cascata comparativa)" xr:uid="{7E058B2C-A71F-4CDA-B49D-92C04F1391E1}"/>
    <hyperlink ref="B34" location="'E28'!A1" tooltip="Ir para o exemplo 28 (planilha E28)" display="As duas maiores lojas: da receita ao lucro em 2025 (variação em valor)" xr:uid="{D9051D17-5148-4763-9319-7065F2DF948C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16EA-E4FB-4A3D-91E6-84439906343A}">
  <sheetPr>
    <tabColor rgb="FF808080"/>
  </sheetPr>
  <dimension ref="A1:L153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15.28515625" bestFit="1" customWidth="1"/>
    <col min="3" max="3" width="13.140625" bestFit="1" customWidth="1"/>
    <col min="4" max="4" width="20" bestFit="1" customWidth="1"/>
    <col min="5" max="5" width="9.28515625" bestFit="1" customWidth="1"/>
    <col min="6" max="6" width="13.85546875" bestFit="1" customWidth="1"/>
    <col min="7" max="7" width="12.28515625" bestFit="1" customWidth="1"/>
    <col min="8" max="8" width="14.7109375" bestFit="1" customWidth="1"/>
    <col min="9" max="9" width="11.7109375" bestFit="1" customWidth="1"/>
    <col min="10" max="10" width="18.85546875" bestFit="1" customWidth="1"/>
    <col min="11" max="12" width="17.7109375" bestFit="1" customWidth="1"/>
  </cols>
  <sheetData>
    <row r="1" spans="1:12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s="2">
        <v>45292</v>
      </c>
      <c r="F2" s="3">
        <v>520910</v>
      </c>
      <c r="G2" s="3">
        <v>414606</v>
      </c>
      <c r="H2" s="3">
        <v>106304</v>
      </c>
      <c r="I2" s="3">
        <v>14924</v>
      </c>
      <c r="J2" s="4">
        <v>447.07</v>
      </c>
      <c r="K2" s="3">
        <v>303105</v>
      </c>
      <c r="L2" s="3">
        <v>217805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s="2">
        <v>45323</v>
      </c>
      <c r="F3" s="3">
        <v>488562</v>
      </c>
      <c r="G3" s="3">
        <v>393588</v>
      </c>
      <c r="H3" s="3">
        <v>94974</v>
      </c>
      <c r="I3" s="3">
        <v>14170</v>
      </c>
      <c r="J3" s="4">
        <v>426.02</v>
      </c>
      <c r="K3" s="3">
        <v>276755</v>
      </c>
      <c r="L3" s="3">
        <v>211807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s="2">
        <v>45352</v>
      </c>
      <c r="F4" s="3">
        <v>488578</v>
      </c>
      <c r="G4" s="3">
        <v>392220</v>
      </c>
      <c r="H4" s="3">
        <v>96358</v>
      </c>
      <c r="I4" s="3">
        <v>14041</v>
      </c>
      <c r="J4" s="4">
        <v>435.8</v>
      </c>
      <c r="K4" s="3">
        <v>281920</v>
      </c>
      <c r="L4" s="3">
        <v>206658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s="2">
        <v>45383</v>
      </c>
      <c r="F5" s="3">
        <v>516956</v>
      </c>
      <c r="G5" s="3">
        <v>413900</v>
      </c>
      <c r="H5" s="3">
        <v>103056</v>
      </c>
      <c r="I5" s="3">
        <v>15653</v>
      </c>
      <c r="J5" s="4">
        <v>459.98</v>
      </c>
      <c r="K5" s="3">
        <v>304981</v>
      </c>
      <c r="L5" s="3">
        <v>211975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s="2">
        <v>45413</v>
      </c>
      <c r="F6" s="3">
        <v>539062</v>
      </c>
      <c r="G6" s="3">
        <v>433210</v>
      </c>
      <c r="H6" s="3">
        <v>105852</v>
      </c>
      <c r="I6" s="3">
        <v>15458</v>
      </c>
      <c r="J6" s="4">
        <v>463.36</v>
      </c>
      <c r="K6" s="3">
        <v>316205</v>
      </c>
      <c r="L6" s="3">
        <v>222857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s="2">
        <v>45444</v>
      </c>
      <c r="F7" s="3">
        <v>562825</v>
      </c>
      <c r="G7" s="3">
        <v>444749</v>
      </c>
      <c r="H7" s="3">
        <v>118076</v>
      </c>
      <c r="I7" s="3">
        <v>16779</v>
      </c>
      <c r="J7" s="4">
        <v>450.2</v>
      </c>
      <c r="K7" s="3">
        <v>310216</v>
      </c>
      <c r="L7" s="3">
        <v>252609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s="2">
        <v>45474</v>
      </c>
      <c r="F8" s="3">
        <v>599303</v>
      </c>
      <c r="G8" s="3">
        <v>477084</v>
      </c>
      <c r="H8" s="3">
        <v>122219</v>
      </c>
      <c r="I8" s="3">
        <v>18433</v>
      </c>
      <c r="J8" s="4">
        <v>428.01</v>
      </c>
      <c r="K8" s="3">
        <v>339960</v>
      </c>
      <c r="L8" s="3">
        <v>259343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s="2">
        <v>45505</v>
      </c>
      <c r="F9" s="3">
        <v>571697</v>
      </c>
      <c r="G9" s="3">
        <v>448743</v>
      </c>
      <c r="H9" s="3">
        <v>122954</v>
      </c>
      <c r="I9" s="3">
        <v>16273</v>
      </c>
      <c r="J9" s="4">
        <v>463.81</v>
      </c>
      <c r="K9" s="3">
        <v>317597</v>
      </c>
      <c r="L9" s="3">
        <v>254100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s="2">
        <v>45536</v>
      </c>
      <c r="F10" s="3">
        <v>608131</v>
      </c>
      <c r="G10" s="3">
        <v>482282</v>
      </c>
      <c r="H10" s="3">
        <v>125849</v>
      </c>
      <c r="I10" s="3">
        <v>18505</v>
      </c>
      <c r="J10" s="4">
        <v>462.96</v>
      </c>
      <c r="K10" s="3">
        <v>335220</v>
      </c>
      <c r="L10" s="3">
        <v>272911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s="2">
        <v>45566</v>
      </c>
      <c r="F11" s="3">
        <v>612242</v>
      </c>
      <c r="G11" s="3">
        <v>489253</v>
      </c>
      <c r="H11" s="3">
        <v>122989</v>
      </c>
      <c r="I11" s="3">
        <v>17893</v>
      </c>
      <c r="J11" s="4">
        <v>437.84</v>
      </c>
      <c r="K11" s="3">
        <v>339052</v>
      </c>
      <c r="L11" s="3">
        <v>273190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s="2">
        <v>45597</v>
      </c>
      <c r="F12" s="3">
        <v>599339</v>
      </c>
      <c r="G12" s="3">
        <v>478762</v>
      </c>
      <c r="H12" s="3">
        <v>120577</v>
      </c>
      <c r="I12" s="3">
        <v>16831</v>
      </c>
      <c r="J12" s="4">
        <v>426.94</v>
      </c>
      <c r="K12" s="3">
        <v>353491</v>
      </c>
      <c r="L12" s="3">
        <v>245848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s="2">
        <v>45627</v>
      </c>
      <c r="F13" s="3">
        <v>629675</v>
      </c>
      <c r="G13" s="3">
        <v>506804</v>
      </c>
      <c r="H13" s="3">
        <v>122871</v>
      </c>
      <c r="I13" s="3">
        <v>18698</v>
      </c>
      <c r="J13" s="4">
        <v>450.67</v>
      </c>
      <c r="K13" s="3">
        <v>348530</v>
      </c>
      <c r="L13" s="3">
        <v>281145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s="2">
        <v>45658</v>
      </c>
      <c r="F14" s="3">
        <v>577205</v>
      </c>
      <c r="G14" s="3">
        <v>452920</v>
      </c>
      <c r="H14" s="3">
        <v>124285</v>
      </c>
      <c r="I14" s="3">
        <v>17353</v>
      </c>
      <c r="J14" s="4">
        <v>453.85</v>
      </c>
      <c r="K14" s="3">
        <v>332374</v>
      </c>
      <c r="L14" s="3">
        <v>244831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s="2">
        <v>45689</v>
      </c>
      <c r="F15" s="3">
        <v>552929</v>
      </c>
      <c r="G15" s="3">
        <v>442520</v>
      </c>
      <c r="H15" s="3">
        <v>110409</v>
      </c>
      <c r="I15" s="3">
        <v>16896</v>
      </c>
      <c r="J15" s="4">
        <v>433.84</v>
      </c>
      <c r="K15" s="3">
        <v>313506</v>
      </c>
      <c r="L15" s="3">
        <v>239423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s="2">
        <v>45717</v>
      </c>
      <c r="F16" s="3">
        <v>538155</v>
      </c>
      <c r="G16" s="3">
        <v>426876</v>
      </c>
      <c r="H16" s="3">
        <v>111279</v>
      </c>
      <c r="I16" s="3">
        <v>15511</v>
      </c>
      <c r="J16" s="4">
        <v>427.56</v>
      </c>
      <c r="K16" s="3">
        <v>307788</v>
      </c>
      <c r="L16" s="3">
        <v>230367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s="2">
        <v>45748</v>
      </c>
      <c r="F17" s="3">
        <v>563556</v>
      </c>
      <c r="G17" s="3">
        <v>439948</v>
      </c>
      <c r="H17" s="3">
        <v>123608</v>
      </c>
      <c r="I17" s="3">
        <v>17038</v>
      </c>
      <c r="J17" s="4">
        <v>446.5</v>
      </c>
      <c r="K17" s="3">
        <v>332390</v>
      </c>
      <c r="L17" s="3">
        <v>231166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s="2">
        <v>45778</v>
      </c>
      <c r="F18" s="3">
        <v>569522</v>
      </c>
      <c r="G18" s="3">
        <v>458825</v>
      </c>
      <c r="H18" s="3">
        <v>110697</v>
      </c>
      <c r="I18" s="3">
        <v>16263</v>
      </c>
      <c r="J18" s="4">
        <v>423.5</v>
      </c>
      <c r="K18" s="3">
        <v>317987</v>
      </c>
      <c r="L18" s="3">
        <v>251535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s="2">
        <v>45809</v>
      </c>
      <c r="F19" s="3">
        <v>587400</v>
      </c>
      <c r="G19" s="3">
        <v>471999</v>
      </c>
      <c r="H19" s="3">
        <v>115401</v>
      </c>
      <c r="I19" s="3">
        <v>16930</v>
      </c>
      <c r="J19" s="4">
        <v>422.46</v>
      </c>
      <c r="K19" s="3">
        <v>332200</v>
      </c>
      <c r="L19" s="3">
        <v>255200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s="2">
        <v>45839</v>
      </c>
      <c r="F20" s="3">
        <v>655161</v>
      </c>
      <c r="G20" s="3">
        <v>522313</v>
      </c>
      <c r="H20" s="3">
        <v>132848</v>
      </c>
      <c r="I20" s="3">
        <v>19161</v>
      </c>
      <c r="J20" s="4">
        <v>447.14</v>
      </c>
      <c r="K20" s="3">
        <v>371917</v>
      </c>
      <c r="L20" s="3">
        <v>283244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s="2">
        <v>45870</v>
      </c>
      <c r="F21" s="3">
        <v>651106</v>
      </c>
      <c r="G21" s="3">
        <v>523834</v>
      </c>
      <c r="H21" s="3">
        <v>127272</v>
      </c>
      <c r="I21" s="3">
        <v>18750</v>
      </c>
      <c r="J21" s="4">
        <v>435.16</v>
      </c>
      <c r="K21" s="3">
        <v>369344</v>
      </c>
      <c r="L21" s="3">
        <v>281762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s="2">
        <v>45901</v>
      </c>
      <c r="F22" s="3">
        <v>644852</v>
      </c>
      <c r="G22" s="3">
        <v>504732</v>
      </c>
      <c r="H22" s="3">
        <v>140120</v>
      </c>
      <c r="I22" s="3">
        <v>19655</v>
      </c>
      <c r="J22" s="4">
        <v>448.67</v>
      </c>
      <c r="K22" s="3">
        <v>374153</v>
      </c>
      <c r="L22" s="3">
        <v>270699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s="2">
        <v>45931</v>
      </c>
      <c r="F23" s="3">
        <v>704594</v>
      </c>
      <c r="G23" s="3">
        <v>558268</v>
      </c>
      <c r="H23" s="3">
        <v>146326</v>
      </c>
      <c r="I23" s="3">
        <v>20565</v>
      </c>
      <c r="J23" s="4">
        <v>428.46</v>
      </c>
      <c r="K23" s="3">
        <v>392232</v>
      </c>
      <c r="L23" s="3">
        <v>312362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s="2">
        <v>45962</v>
      </c>
      <c r="F24" s="3">
        <v>683176</v>
      </c>
      <c r="G24" s="3">
        <v>532710</v>
      </c>
      <c r="H24" s="3">
        <v>150466</v>
      </c>
      <c r="I24" s="3">
        <v>20897</v>
      </c>
      <c r="J24" s="4">
        <v>454.74</v>
      </c>
      <c r="K24" s="3">
        <v>393475</v>
      </c>
      <c r="L24" s="3">
        <v>289701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s="2">
        <v>45992</v>
      </c>
      <c r="F25" s="3">
        <v>696563</v>
      </c>
      <c r="G25" s="3">
        <v>561136</v>
      </c>
      <c r="H25" s="3">
        <v>135427</v>
      </c>
      <c r="I25" s="3">
        <v>19896</v>
      </c>
      <c r="J25" s="4">
        <v>423.11</v>
      </c>
      <c r="K25" s="3">
        <v>388180</v>
      </c>
      <c r="L25" s="3">
        <v>308383</v>
      </c>
    </row>
    <row r="26" spans="1:12" x14ac:dyDescent="0.25">
      <c r="A26" t="s">
        <v>12</v>
      </c>
      <c r="B26" t="s">
        <v>13</v>
      </c>
      <c r="C26" t="s">
        <v>14</v>
      </c>
      <c r="D26" t="s">
        <v>16</v>
      </c>
      <c r="E26" s="2">
        <v>45292</v>
      </c>
      <c r="F26" s="3">
        <v>357374</v>
      </c>
      <c r="G26" s="3">
        <v>236199</v>
      </c>
      <c r="H26" s="3">
        <v>121175</v>
      </c>
      <c r="I26" s="3">
        <v>6155</v>
      </c>
      <c r="J26" s="4">
        <v>711.78</v>
      </c>
      <c r="K26" s="3">
        <v>210938</v>
      </c>
      <c r="L26" s="3">
        <v>146436</v>
      </c>
    </row>
    <row r="27" spans="1:12" x14ac:dyDescent="0.25">
      <c r="A27" t="s">
        <v>12</v>
      </c>
      <c r="B27" t="s">
        <v>13</v>
      </c>
      <c r="C27" t="s">
        <v>14</v>
      </c>
      <c r="D27" t="s">
        <v>16</v>
      </c>
      <c r="E27" s="2">
        <v>45323</v>
      </c>
      <c r="F27" s="3">
        <v>366809</v>
      </c>
      <c r="G27" s="3">
        <v>246982</v>
      </c>
      <c r="H27" s="3">
        <v>119827</v>
      </c>
      <c r="I27" s="3">
        <v>6379</v>
      </c>
      <c r="J27" s="4">
        <v>698.02</v>
      </c>
      <c r="K27" s="3">
        <v>208891</v>
      </c>
      <c r="L27" s="3">
        <v>157918</v>
      </c>
    </row>
    <row r="28" spans="1:12" x14ac:dyDescent="0.25">
      <c r="A28" t="s">
        <v>12</v>
      </c>
      <c r="B28" t="s">
        <v>13</v>
      </c>
      <c r="C28" t="s">
        <v>14</v>
      </c>
      <c r="D28" t="s">
        <v>16</v>
      </c>
      <c r="E28" s="2">
        <v>45352</v>
      </c>
      <c r="F28" s="3">
        <v>356738</v>
      </c>
      <c r="G28" s="3">
        <v>236565</v>
      </c>
      <c r="H28" s="3">
        <v>120173</v>
      </c>
      <c r="I28" s="3">
        <v>6397</v>
      </c>
      <c r="J28" s="4">
        <v>712.29</v>
      </c>
      <c r="K28" s="3">
        <v>210587</v>
      </c>
      <c r="L28" s="3">
        <v>146151</v>
      </c>
    </row>
    <row r="29" spans="1:12" x14ac:dyDescent="0.25">
      <c r="A29" t="s">
        <v>12</v>
      </c>
      <c r="B29" t="s">
        <v>13</v>
      </c>
      <c r="C29" t="s">
        <v>14</v>
      </c>
      <c r="D29" t="s">
        <v>16</v>
      </c>
      <c r="E29" s="2">
        <v>45383</v>
      </c>
      <c r="F29" s="3">
        <v>337322</v>
      </c>
      <c r="G29" s="3">
        <v>228300</v>
      </c>
      <c r="H29" s="3">
        <v>109022</v>
      </c>
      <c r="I29" s="3">
        <v>5925</v>
      </c>
      <c r="J29" s="4">
        <v>709.04</v>
      </c>
      <c r="K29" s="3">
        <v>194227</v>
      </c>
      <c r="L29" s="3">
        <v>143095</v>
      </c>
    </row>
    <row r="30" spans="1:12" x14ac:dyDescent="0.25">
      <c r="A30" t="s">
        <v>12</v>
      </c>
      <c r="B30" t="s">
        <v>13</v>
      </c>
      <c r="C30" t="s">
        <v>14</v>
      </c>
      <c r="D30" t="s">
        <v>16</v>
      </c>
      <c r="E30" s="2">
        <v>45413</v>
      </c>
      <c r="F30" s="3">
        <v>368701</v>
      </c>
      <c r="G30" s="3">
        <v>252483</v>
      </c>
      <c r="H30" s="3">
        <v>116218</v>
      </c>
      <c r="I30" s="3">
        <v>6485</v>
      </c>
      <c r="J30" s="4">
        <v>749.42</v>
      </c>
      <c r="K30" s="3">
        <v>202435</v>
      </c>
      <c r="L30" s="3">
        <v>166266</v>
      </c>
    </row>
    <row r="31" spans="1:12" x14ac:dyDescent="0.25">
      <c r="A31" t="s">
        <v>12</v>
      </c>
      <c r="B31" t="s">
        <v>13</v>
      </c>
      <c r="C31" t="s">
        <v>14</v>
      </c>
      <c r="D31" t="s">
        <v>16</v>
      </c>
      <c r="E31" s="2">
        <v>45444</v>
      </c>
      <c r="F31" s="3">
        <v>388851</v>
      </c>
      <c r="G31" s="3">
        <v>260974</v>
      </c>
      <c r="H31" s="3">
        <v>127877</v>
      </c>
      <c r="I31" s="3">
        <v>6748</v>
      </c>
      <c r="J31" s="4">
        <v>756.14</v>
      </c>
      <c r="K31" s="3">
        <v>225199</v>
      </c>
      <c r="L31" s="3">
        <v>163652</v>
      </c>
    </row>
    <row r="32" spans="1:12" x14ac:dyDescent="0.25">
      <c r="A32" t="s">
        <v>12</v>
      </c>
      <c r="B32" t="s">
        <v>13</v>
      </c>
      <c r="C32" t="s">
        <v>14</v>
      </c>
      <c r="D32" t="s">
        <v>16</v>
      </c>
      <c r="E32" s="2">
        <v>45474</v>
      </c>
      <c r="F32" s="3">
        <v>416010</v>
      </c>
      <c r="G32" s="3">
        <v>273525</v>
      </c>
      <c r="H32" s="3">
        <v>142485</v>
      </c>
      <c r="I32" s="3">
        <v>7150</v>
      </c>
      <c r="J32" s="4">
        <v>726.55</v>
      </c>
      <c r="K32" s="3">
        <v>245988</v>
      </c>
      <c r="L32" s="3">
        <v>170022</v>
      </c>
    </row>
    <row r="33" spans="1:12" x14ac:dyDescent="0.25">
      <c r="A33" t="s">
        <v>12</v>
      </c>
      <c r="B33" t="s">
        <v>13</v>
      </c>
      <c r="C33" t="s">
        <v>14</v>
      </c>
      <c r="D33" t="s">
        <v>16</v>
      </c>
      <c r="E33" s="2">
        <v>45505</v>
      </c>
      <c r="F33" s="3">
        <v>437894</v>
      </c>
      <c r="G33" s="3">
        <v>293365</v>
      </c>
      <c r="H33" s="3">
        <v>144529</v>
      </c>
      <c r="I33" s="3">
        <v>7511</v>
      </c>
      <c r="J33" s="4">
        <v>690.36</v>
      </c>
      <c r="K33" s="3">
        <v>244371</v>
      </c>
      <c r="L33" s="3">
        <v>193523</v>
      </c>
    </row>
    <row r="34" spans="1:12" x14ac:dyDescent="0.25">
      <c r="A34" t="s">
        <v>12</v>
      </c>
      <c r="B34" t="s">
        <v>13</v>
      </c>
      <c r="C34" t="s">
        <v>14</v>
      </c>
      <c r="D34" t="s">
        <v>16</v>
      </c>
      <c r="E34" s="2">
        <v>45536</v>
      </c>
      <c r="F34" s="3">
        <v>440491</v>
      </c>
      <c r="G34" s="3">
        <v>301496</v>
      </c>
      <c r="H34" s="3">
        <v>138995</v>
      </c>
      <c r="I34" s="3">
        <v>7571</v>
      </c>
      <c r="J34" s="4">
        <v>714.76</v>
      </c>
      <c r="K34" s="3">
        <v>257297</v>
      </c>
      <c r="L34" s="3">
        <v>183194</v>
      </c>
    </row>
    <row r="35" spans="1:12" x14ac:dyDescent="0.25">
      <c r="A35" t="s">
        <v>12</v>
      </c>
      <c r="B35" t="s">
        <v>13</v>
      </c>
      <c r="C35" t="s">
        <v>14</v>
      </c>
      <c r="D35" t="s">
        <v>16</v>
      </c>
      <c r="E35" s="2">
        <v>45566</v>
      </c>
      <c r="F35" s="3">
        <v>456884</v>
      </c>
      <c r="G35" s="3">
        <v>302567</v>
      </c>
      <c r="H35" s="3">
        <v>154317</v>
      </c>
      <c r="I35" s="3">
        <v>7565</v>
      </c>
      <c r="J35" s="4">
        <v>696.48</v>
      </c>
      <c r="K35" s="3">
        <v>253850</v>
      </c>
      <c r="L35" s="3">
        <v>203034</v>
      </c>
    </row>
    <row r="36" spans="1:12" x14ac:dyDescent="0.25">
      <c r="A36" t="s">
        <v>12</v>
      </c>
      <c r="B36" t="s">
        <v>13</v>
      </c>
      <c r="C36" t="s">
        <v>14</v>
      </c>
      <c r="D36" t="s">
        <v>16</v>
      </c>
      <c r="E36" s="2">
        <v>45597</v>
      </c>
      <c r="F36" s="3">
        <v>480730</v>
      </c>
      <c r="G36" s="3">
        <v>315733</v>
      </c>
      <c r="H36" s="3">
        <v>164997</v>
      </c>
      <c r="I36" s="3">
        <v>8719</v>
      </c>
      <c r="J36" s="4">
        <v>707.13</v>
      </c>
      <c r="K36" s="3">
        <v>268272</v>
      </c>
      <c r="L36" s="3">
        <v>212458</v>
      </c>
    </row>
    <row r="37" spans="1:12" x14ac:dyDescent="0.25">
      <c r="A37" t="s">
        <v>12</v>
      </c>
      <c r="B37" t="s">
        <v>13</v>
      </c>
      <c r="C37" t="s">
        <v>14</v>
      </c>
      <c r="D37" t="s">
        <v>16</v>
      </c>
      <c r="E37" s="2">
        <v>45627</v>
      </c>
      <c r="F37" s="3">
        <v>469935</v>
      </c>
      <c r="G37" s="3">
        <v>319230</v>
      </c>
      <c r="H37" s="3">
        <v>150705</v>
      </c>
      <c r="I37" s="3">
        <v>7953</v>
      </c>
      <c r="J37" s="4">
        <v>712.47</v>
      </c>
      <c r="K37" s="3">
        <v>263535</v>
      </c>
      <c r="L37" s="3">
        <v>206400</v>
      </c>
    </row>
    <row r="38" spans="1:12" x14ac:dyDescent="0.25">
      <c r="A38" t="s">
        <v>12</v>
      </c>
      <c r="B38" t="s">
        <v>13</v>
      </c>
      <c r="C38" t="s">
        <v>14</v>
      </c>
      <c r="D38" t="s">
        <v>16</v>
      </c>
      <c r="E38" s="2">
        <v>45658</v>
      </c>
      <c r="F38" s="3">
        <v>454259</v>
      </c>
      <c r="G38" s="3">
        <v>306170</v>
      </c>
      <c r="H38" s="3">
        <v>148089</v>
      </c>
      <c r="I38" s="3">
        <v>7597</v>
      </c>
      <c r="J38" s="4">
        <v>725.58</v>
      </c>
      <c r="K38" s="3">
        <v>251915</v>
      </c>
      <c r="L38" s="3">
        <v>202344</v>
      </c>
    </row>
    <row r="39" spans="1:12" x14ac:dyDescent="0.25">
      <c r="A39" t="s">
        <v>12</v>
      </c>
      <c r="B39" t="s">
        <v>13</v>
      </c>
      <c r="C39" t="s">
        <v>14</v>
      </c>
      <c r="D39" t="s">
        <v>16</v>
      </c>
      <c r="E39" s="2">
        <v>45689</v>
      </c>
      <c r="F39" s="3">
        <v>431672</v>
      </c>
      <c r="G39" s="3">
        <v>291963</v>
      </c>
      <c r="H39" s="3">
        <v>139709</v>
      </c>
      <c r="I39" s="3">
        <v>7453</v>
      </c>
      <c r="J39" s="4">
        <v>717.95</v>
      </c>
      <c r="K39" s="3">
        <v>254530</v>
      </c>
      <c r="L39" s="3">
        <v>177142</v>
      </c>
    </row>
    <row r="40" spans="1:12" x14ac:dyDescent="0.25">
      <c r="A40" t="s">
        <v>12</v>
      </c>
      <c r="B40" t="s">
        <v>13</v>
      </c>
      <c r="C40" t="s">
        <v>14</v>
      </c>
      <c r="D40" t="s">
        <v>16</v>
      </c>
      <c r="E40" s="2">
        <v>45717</v>
      </c>
      <c r="F40" s="3">
        <v>393079</v>
      </c>
      <c r="G40" s="3">
        <v>267702</v>
      </c>
      <c r="H40" s="3">
        <v>125377</v>
      </c>
      <c r="I40" s="3">
        <v>6995</v>
      </c>
      <c r="J40" s="4">
        <v>700.28</v>
      </c>
      <c r="K40" s="3">
        <v>217846</v>
      </c>
      <c r="L40" s="3">
        <v>175233</v>
      </c>
    </row>
    <row r="41" spans="1:12" x14ac:dyDescent="0.25">
      <c r="A41" t="s">
        <v>12</v>
      </c>
      <c r="B41" t="s">
        <v>13</v>
      </c>
      <c r="C41" t="s">
        <v>14</v>
      </c>
      <c r="D41" t="s">
        <v>16</v>
      </c>
      <c r="E41" s="2">
        <v>45748</v>
      </c>
      <c r="F41" s="3">
        <v>393187</v>
      </c>
      <c r="G41" s="3">
        <v>267501</v>
      </c>
      <c r="H41" s="3">
        <v>125686</v>
      </c>
      <c r="I41" s="3">
        <v>6872</v>
      </c>
      <c r="J41" s="4">
        <v>731.18</v>
      </c>
      <c r="K41" s="3">
        <v>217449</v>
      </c>
      <c r="L41" s="3">
        <v>175738</v>
      </c>
    </row>
    <row r="42" spans="1:12" x14ac:dyDescent="0.25">
      <c r="A42" t="s">
        <v>12</v>
      </c>
      <c r="B42" t="s">
        <v>13</v>
      </c>
      <c r="C42" t="s">
        <v>14</v>
      </c>
      <c r="D42" t="s">
        <v>16</v>
      </c>
      <c r="E42" s="2">
        <v>45778</v>
      </c>
      <c r="F42" s="3">
        <v>421178</v>
      </c>
      <c r="G42" s="3">
        <v>283857</v>
      </c>
      <c r="H42" s="3">
        <v>137321</v>
      </c>
      <c r="I42" s="3">
        <v>7324</v>
      </c>
      <c r="J42" s="4">
        <v>759.98</v>
      </c>
      <c r="K42" s="3">
        <v>233229</v>
      </c>
      <c r="L42" s="3">
        <v>187949</v>
      </c>
    </row>
    <row r="43" spans="1:12" x14ac:dyDescent="0.25">
      <c r="A43" t="s">
        <v>12</v>
      </c>
      <c r="B43" t="s">
        <v>13</v>
      </c>
      <c r="C43" t="s">
        <v>14</v>
      </c>
      <c r="D43" t="s">
        <v>16</v>
      </c>
      <c r="E43" s="2">
        <v>45809</v>
      </c>
      <c r="F43" s="3">
        <v>463973</v>
      </c>
      <c r="G43" s="3">
        <v>310294</v>
      </c>
      <c r="H43" s="3">
        <v>153679</v>
      </c>
      <c r="I43" s="3">
        <v>8178</v>
      </c>
      <c r="J43" s="4">
        <v>735.13</v>
      </c>
      <c r="K43" s="3">
        <v>257283</v>
      </c>
      <c r="L43" s="3">
        <v>206690</v>
      </c>
    </row>
    <row r="44" spans="1:12" x14ac:dyDescent="0.25">
      <c r="A44" t="s">
        <v>12</v>
      </c>
      <c r="B44" t="s">
        <v>13</v>
      </c>
      <c r="C44" t="s">
        <v>14</v>
      </c>
      <c r="D44" t="s">
        <v>16</v>
      </c>
      <c r="E44" s="2">
        <v>45839</v>
      </c>
      <c r="F44" s="3">
        <v>487493</v>
      </c>
      <c r="G44" s="3">
        <v>328939</v>
      </c>
      <c r="H44" s="3">
        <v>158554</v>
      </c>
      <c r="I44" s="3">
        <v>8770</v>
      </c>
      <c r="J44" s="4">
        <v>744.85</v>
      </c>
      <c r="K44" s="3">
        <v>281650</v>
      </c>
      <c r="L44" s="3">
        <v>205843</v>
      </c>
    </row>
    <row r="45" spans="1:12" x14ac:dyDescent="0.25">
      <c r="A45" t="s">
        <v>12</v>
      </c>
      <c r="B45" t="s">
        <v>13</v>
      </c>
      <c r="C45" t="s">
        <v>14</v>
      </c>
      <c r="D45" t="s">
        <v>16</v>
      </c>
      <c r="E45" s="2">
        <v>45870</v>
      </c>
      <c r="F45" s="3">
        <v>528430</v>
      </c>
      <c r="G45" s="3">
        <v>356169</v>
      </c>
      <c r="H45" s="3">
        <v>172261</v>
      </c>
      <c r="I45" s="3">
        <v>9514</v>
      </c>
      <c r="J45" s="4">
        <v>743.64</v>
      </c>
      <c r="K45" s="3">
        <v>293441</v>
      </c>
      <c r="L45" s="3">
        <v>234989</v>
      </c>
    </row>
    <row r="46" spans="1:12" x14ac:dyDescent="0.25">
      <c r="A46" t="s">
        <v>12</v>
      </c>
      <c r="B46" t="s">
        <v>13</v>
      </c>
      <c r="C46" t="s">
        <v>14</v>
      </c>
      <c r="D46" t="s">
        <v>16</v>
      </c>
      <c r="E46" s="2">
        <v>45901</v>
      </c>
      <c r="F46" s="3">
        <v>536003</v>
      </c>
      <c r="G46" s="3">
        <v>367339</v>
      </c>
      <c r="H46" s="3">
        <v>168664</v>
      </c>
      <c r="I46" s="3">
        <v>9514</v>
      </c>
      <c r="J46" s="4">
        <v>748.57</v>
      </c>
      <c r="K46" s="3">
        <v>315058</v>
      </c>
      <c r="L46" s="3">
        <v>220945</v>
      </c>
    </row>
    <row r="47" spans="1:12" x14ac:dyDescent="0.25">
      <c r="A47" t="s">
        <v>12</v>
      </c>
      <c r="B47" t="s">
        <v>13</v>
      </c>
      <c r="C47" t="s">
        <v>14</v>
      </c>
      <c r="D47" t="s">
        <v>16</v>
      </c>
      <c r="E47" s="2">
        <v>45931</v>
      </c>
      <c r="F47" s="3">
        <v>520650</v>
      </c>
      <c r="G47" s="3">
        <v>355102</v>
      </c>
      <c r="H47" s="3">
        <v>165548</v>
      </c>
      <c r="I47" s="3">
        <v>9191</v>
      </c>
      <c r="J47" s="4">
        <v>754.73</v>
      </c>
      <c r="K47" s="3">
        <v>307081</v>
      </c>
      <c r="L47" s="3">
        <v>213569</v>
      </c>
    </row>
    <row r="48" spans="1:12" x14ac:dyDescent="0.25">
      <c r="A48" t="s">
        <v>12</v>
      </c>
      <c r="B48" t="s">
        <v>13</v>
      </c>
      <c r="C48" t="s">
        <v>14</v>
      </c>
      <c r="D48" t="s">
        <v>16</v>
      </c>
      <c r="E48" s="2">
        <v>45962</v>
      </c>
      <c r="F48" s="3">
        <v>531791</v>
      </c>
      <c r="G48" s="3">
        <v>364722</v>
      </c>
      <c r="H48" s="3">
        <v>167069</v>
      </c>
      <c r="I48" s="3">
        <v>9625</v>
      </c>
      <c r="J48" s="4">
        <v>724.95</v>
      </c>
      <c r="K48" s="3">
        <v>305184</v>
      </c>
      <c r="L48" s="3">
        <v>226607</v>
      </c>
    </row>
    <row r="49" spans="1:12" x14ac:dyDescent="0.25">
      <c r="A49" t="s">
        <v>12</v>
      </c>
      <c r="B49" t="s">
        <v>13</v>
      </c>
      <c r="C49" t="s">
        <v>14</v>
      </c>
      <c r="D49" t="s">
        <v>16</v>
      </c>
      <c r="E49" s="2">
        <v>45992</v>
      </c>
      <c r="F49" s="3">
        <v>556541</v>
      </c>
      <c r="G49" s="3">
        <v>368927</v>
      </c>
      <c r="H49" s="3">
        <v>187614</v>
      </c>
      <c r="I49" s="3">
        <v>9479</v>
      </c>
      <c r="J49" s="4">
        <v>716.83</v>
      </c>
      <c r="K49" s="3">
        <v>319677</v>
      </c>
      <c r="L49" s="3">
        <v>236864</v>
      </c>
    </row>
    <row r="50" spans="1:12" x14ac:dyDescent="0.25">
      <c r="A50" t="s">
        <v>12</v>
      </c>
      <c r="B50" t="s">
        <v>13</v>
      </c>
      <c r="C50" t="s">
        <v>14</v>
      </c>
      <c r="D50" t="s">
        <v>17</v>
      </c>
      <c r="E50" s="2">
        <v>45292</v>
      </c>
      <c r="F50" s="3">
        <v>268647</v>
      </c>
      <c r="G50" s="3">
        <v>171187</v>
      </c>
      <c r="H50" s="3">
        <v>97460</v>
      </c>
      <c r="I50" s="3">
        <v>1579</v>
      </c>
      <c r="J50" s="4">
        <v>362.83</v>
      </c>
      <c r="K50" s="3">
        <v>153384</v>
      </c>
      <c r="L50" s="3">
        <v>115263</v>
      </c>
    </row>
    <row r="51" spans="1:12" x14ac:dyDescent="0.25">
      <c r="A51" t="s">
        <v>12</v>
      </c>
      <c r="B51" t="s">
        <v>13</v>
      </c>
      <c r="C51" t="s">
        <v>14</v>
      </c>
      <c r="D51" t="s">
        <v>17</v>
      </c>
      <c r="E51" s="2">
        <v>45323</v>
      </c>
      <c r="F51" s="3">
        <v>248582</v>
      </c>
      <c r="G51" s="3">
        <v>156692</v>
      </c>
      <c r="H51" s="3">
        <v>91890</v>
      </c>
      <c r="I51" s="3">
        <v>1457</v>
      </c>
      <c r="J51" s="4">
        <v>395.05</v>
      </c>
      <c r="K51" s="3">
        <v>142947</v>
      </c>
      <c r="L51" s="3">
        <v>105635</v>
      </c>
    </row>
    <row r="52" spans="1:12" x14ac:dyDescent="0.25">
      <c r="A52" t="s">
        <v>12</v>
      </c>
      <c r="B52" t="s">
        <v>13</v>
      </c>
      <c r="C52" t="s">
        <v>14</v>
      </c>
      <c r="D52" t="s">
        <v>17</v>
      </c>
      <c r="E52" s="2">
        <v>45352</v>
      </c>
      <c r="F52" s="3">
        <v>247380</v>
      </c>
      <c r="G52" s="3">
        <v>154603</v>
      </c>
      <c r="H52" s="3">
        <v>92777</v>
      </c>
      <c r="I52" s="3">
        <v>1525</v>
      </c>
      <c r="J52" s="4">
        <v>393.47</v>
      </c>
      <c r="K52" s="3">
        <v>138149</v>
      </c>
      <c r="L52" s="3">
        <v>109231</v>
      </c>
    </row>
    <row r="53" spans="1:12" x14ac:dyDescent="0.25">
      <c r="A53" t="s">
        <v>12</v>
      </c>
      <c r="B53" t="s">
        <v>13</v>
      </c>
      <c r="C53" t="s">
        <v>14</v>
      </c>
      <c r="D53" t="s">
        <v>17</v>
      </c>
      <c r="E53" s="2">
        <v>45383</v>
      </c>
      <c r="F53" s="3">
        <v>228742</v>
      </c>
      <c r="G53" s="3">
        <v>141782</v>
      </c>
      <c r="H53" s="3">
        <v>86960</v>
      </c>
      <c r="I53" s="3">
        <v>1411</v>
      </c>
      <c r="J53" s="4">
        <v>360.92</v>
      </c>
      <c r="K53" s="3">
        <v>132076</v>
      </c>
      <c r="L53" s="3">
        <v>96666</v>
      </c>
    </row>
    <row r="54" spans="1:12" x14ac:dyDescent="0.25">
      <c r="A54" t="s">
        <v>12</v>
      </c>
      <c r="B54" t="s">
        <v>13</v>
      </c>
      <c r="C54" t="s">
        <v>14</v>
      </c>
      <c r="D54" t="s">
        <v>17</v>
      </c>
      <c r="E54" s="2">
        <v>45413</v>
      </c>
      <c r="F54" s="3">
        <v>251752</v>
      </c>
      <c r="G54" s="3">
        <v>159950</v>
      </c>
      <c r="H54" s="3">
        <v>91802</v>
      </c>
      <c r="I54" s="3">
        <v>1487</v>
      </c>
      <c r="J54" s="4">
        <v>364.42</v>
      </c>
      <c r="K54" s="3">
        <v>139310</v>
      </c>
      <c r="L54" s="3">
        <v>112442</v>
      </c>
    </row>
    <row r="55" spans="1:12" x14ac:dyDescent="0.25">
      <c r="A55" t="s">
        <v>12</v>
      </c>
      <c r="B55" t="s">
        <v>13</v>
      </c>
      <c r="C55" t="s">
        <v>14</v>
      </c>
      <c r="D55" t="s">
        <v>17</v>
      </c>
      <c r="E55" s="2">
        <v>45444</v>
      </c>
      <c r="F55" s="3">
        <v>267004</v>
      </c>
      <c r="G55" s="3">
        <v>172296</v>
      </c>
      <c r="H55" s="3">
        <v>94708</v>
      </c>
      <c r="I55" s="3">
        <v>1681</v>
      </c>
      <c r="J55" s="4">
        <v>397.52</v>
      </c>
      <c r="K55" s="3">
        <v>151658</v>
      </c>
      <c r="L55" s="3">
        <v>115346</v>
      </c>
    </row>
    <row r="56" spans="1:12" x14ac:dyDescent="0.25">
      <c r="A56" t="s">
        <v>12</v>
      </c>
      <c r="B56" t="s">
        <v>13</v>
      </c>
      <c r="C56" t="s">
        <v>14</v>
      </c>
      <c r="D56" t="s">
        <v>17</v>
      </c>
      <c r="E56" s="2">
        <v>45474</v>
      </c>
      <c r="F56" s="3">
        <v>273849</v>
      </c>
      <c r="G56" s="3">
        <v>172532</v>
      </c>
      <c r="H56" s="3">
        <v>101317</v>
      </c>
      <c r="I56" s="3">
        <v>1701</v>
      </c>
      <c r="J56" s="4">
        <v>369.91</v>
      </c>
      <c r="K56" s="3">
        <v>154220</v>
      </c>
      <c r="L56" s="3">
        <v>119629</v>
      </c>
    </row>
    <row r="57" spans="1:12" x14ac:dyDescent="0.25">
      <c r="A57" t="s">
        <v>12</v>
      </c>
      <c r="B57" t="s">
        <v>13</v>
      </c>
      <c r="C57" t="s">
        <v>14</v>
      </c>
      <c r="D57" t="s">
        <v>17</v>
      </c>
      <c r="E57" s="2">
        <v>45505</v>
      </c>
      <c r="F57" s="3">
        <v>298802</v>
      </c>
      <c r="G57" s="3">
        <v>192809</v>
      </c>
      <c r="H57" s="3">
        <v>105993</v>
      </c>
      <c r="I57" s="3">
        <v>1857</v>
      </c>
      <c r="J57" s="4">
        <v>368.94</v>
      </c>
      <c r="K57" s="3">
        <v>165654</v>
      </c>
      <c r="L57" s="3">
        <v>133148</v>
      </c>
    </row>
    <row r="58" spans="1:12" x14ac:dyDescent="0.25">
      <c r="A58" t="s">
        <v>12</v>
      </c>
      <c r="B58" t="s">
        <v>13</v>
      </c>
      <c r="C58" t="s">
        <v>14</v>
      </c>
      <c r="D58" t="s">
        <v>17</v>
      </c>
      <c r="E58" s="2">
        <v>45536</v>
      </c>
      <c r="F58" s="3">
        <v>315538</v>
      </c>
      <c r="G58" s="3">
        <v>196756</v>
      </c>
      <c r="H58" s="3">
        <v>118782</v>
      </c>
      <c r="I58" s="3">
        <v>1980</v>
      </c>
      <c r="J58" s="4">
        <v>367.18</v>
      </c>
      <c r="K58" s="3">
        <v>176284</v>
      </c>
      <c r="L58" s="3">
        <v>139254</v>
      </c>
    </row>
    <row r="59" spans="1:12" x14ac:dyDescent="0.25">
      <c r="A59" t="s">
        <v>12</v>
      </c>
      <c r="B59" t="s">
        <v>13</v>
      </c>
      <c r="C59" t="s">
        <v>14</v>
      </c>
      <c r="D59" t="s">
        <v>17</v>
      </c>
      <c r="E59" s="2">
        <v>45566</v>
      </c>
      <c r="F59" s="3">
        <v>325288</v>
      </c>
      <c r="G59" s="3">
        <v>203695</v>
      </c>
      <c r="H59" s="3">
        <v>121593</v>
      </c>
      <c r="I59" s="3">
        <v>1896</v>
      </c>
      <c r="J59" s="4">
        <v>366.17</v>
      </c>
      <c r="K59" s="3">
        <v>192028</v>
      </c>
      <c r="L59" s="3">
        <v>133260</v>
      </c>
    </row>
    <row r="60" spans="1:12" x14ac:dyDescent="0.25">
      <c r="A60" t="s">
        <v>12</v>
      </c>
      <c r="B60" t="s">
        <v>13</v>
      </c>
      <c r="C60" t="s">
        <v>14</v>
      </c>
      <c r="D60" t="s">
        <v>17</v>
      </c>
      <c r="E60" s="2">
        <v>45597</v>
      </c>
      <c r="F60" s="3">
        <v>303050</v>
      </c>
      <c r="G60" s="3">
        <v>195558</v>
      </c>
      <c r="H60" s="3">
        <v>107492</v>
      </c>
      <c r="I60" s="3">
        <v>1862</v>
      </c>
      <c r="J60" s="4">
        <v>397.34</v>
      </c>
      <c r="K60" s="3">
        <v>171216</v>
      </c>
      <c r="L60" s="3">
        <v>131834</v>
      </c>
    </row>
    <row r="61" spans="1:12" x14ac:dyDescent="0.25">
      <c r="A61" t="s">
        <v>12</v>
      </c>
      <c r="B61" t="s">
        <v>13</v>
      </c>
      <c r="C61" t="s">
        <v>14</v>
      </c>
      <c r="D61" t="s">
        <v>17</v>
      </c>
      <c r="E61" s="2">
        <v>45627</v>
      </c>
      <c r="F61" s="3">
        <v>313296</v>
      </c>
      <c r="G61" s="3">
        <v>195498</v>
      </c>
      <c r="H61" s="3">
        <v>117798</v>
      </c>
      <c r="I61" s="3">
        <v>1975</v>
      </c>
      <c r="J61" s="4">
        <v>381.25</v>
      </c>
      <c r="K61" s="3">
        <v>178317</v>
      </c>
      <c r="L61" s="3">
        <v>134979</v>
      </c>
    </row>
    <row r="62" spans="1:12" x14ac:dyDescent="0.25">
      <c r="A62" t="s">
        <v>12</v>
      </c>
      <c r="B62" t="s">
        <v>13</v>
      </c>
      <c r="C62" t="s">
        <v>14</v>
      </c>
      <c r="D62" t="s">
        <v>17</v>
      </c>
      <c r="E62" s="2">
        <v>45658</v>
      </c>
      <c r="F62" s="3">
        <v>294090</v>
      </c>
      <c r="G62" s="3">
        <v>189857</v>
      </c>
      <c r="H62" s="3">
        <v>104233</v>
      </c>
      <c r="I62" s="3">
        <v>1780</v>
      </c>
      <c r="J62" s="4">
        <v>383.72</v>
      </c>
      <c r="K62" s="3">
        <v>161513</v>
      </c>
      <c r="L62" s="3">
        <v>132577</v>
      </c>
    </row>
    <row r="63" spans="1:12" x14ac:dyDescent="0.25">
      <c r="A63" t="s">
        <v>12</v>
      </c>
      <c r="B63" t="s">
        <v>13</v>
      </c>
      <c r="C63" t="s">
        <v>14</v>
      </c>
      <c r="D63" t="s">
        <v>17</v>
      </c>
      <c r="E63" s="2">
        <v>45689</v>
      </c>
      <c r="F63" s="3">
        <v>277618</v>
      </c>
      <c r="G63" s="3">
        <v>178668</v>
      </c>
      <c r="H63" s="3">
        <v>98950</v>
      </c>
      <c r="I63" s="3">
        <v>1655</v>
      </c>
      <c r="J63" s="4">
        <v>371.99</v>
      </c>
      <c r="K63" s="3">
        <v>159376</v>
      </c>
      <c r="L63" s="3">
        <v>118242</v>
      </c>
    </row>
    <row r="64" spans="1:12" x14ac:dyDescent="0.25">
      <c r="A64" t="s">
        <v>12</v>
      </c>
      <c r="B64" t="s">
        <v>13</v>
      </c>
      <c r="C64" t="s">
        <v>14</v>
      </c>
      <c r="D64" t="s">
        <v>17</v>
      </c>
      <c r="E64" s="2">
        <v>45717</v>
      </c>
      <c r="F64" s="3">
        <v>282775</v>
      </c>
      <c r="G64" s="3">
        <v>175327</v>
      </c>
      <c r="H64" s="3">
        <v>107448</v>
      </c>
      <c r="I64" s="3">
        <v>1661</v>
      </c>
      <c r="J64" s="4">
        <v>380.88</v>
      </c>
      <c r="K64" s="3">
        <v>165147</v>
      </c>
      <c r="L64" s="3">
        <v>117628</v>
      </c>
    </row>
    <row r="65" spans="1:12" x14ac:dyDescent="0.25">
      <c r="A65" t="s">
        <v>12</v>
      </c>
      <c r="B65" t="s">
        <v>13</v>
      </c>
      <c r="C65" t="s">
        <v>14</v>
      </c>
      <c r="D65" t="s">
        <v>17</v>
      </c>
      <c r="E65" s="2">
        <v>45748</v>
      </c>
      <c r="F65" s="3">
        <v>260455</v>
      </c>
      <c r="G65" s="3">
        <v>160813</v>
      </c>
      <c r="H65" s="3">
        <v>99642</v>
      </c>
      <c r="I65" s="3">
        <v>1639</v>
      </c>
      <c r="J65" s="4">
        <v>391.73</v>
      </c>
      <c r="K65" s="3">
        <v>153571</v>
      </c>
      <c r="L65" s="3">
        <v>106884</v>
      </c>
    </row>
    <row r="66" spans="1:12" x14ac:dyDescent="0.25">
      <c r="A66" t="s">
        <v>12</v>
      </c>
      <c r="B66" t="s">
        <v>13</v>
      </c>
      <c r="C66" t="s">
        <v>14</v>
      </c>
      <c r="D66" t="s">
        <v>17</v>
      </c>
      <c r="E66" s="2">
        <v>45778</v>
      </c>
      <c r="F66" s="3">
        <v>276470</v>
      </c>
      <c r="G66" s="3">
        <v>176698</v>
      </c>
      <c r="H66" s="3">
        <v>99772</v>
      </c>
      <c r="I66" s="3">
        <v>1728</v>
      </c>
      <c r="J66" s="4">
        <v>370.39</v>
      </c>
      <c r="K66" s="3">
        <v>161523</v>
      </c>
      <c r="L66" s="3">
        <v>114947</v>
      </c>
    </row>
    <row r="67" spans="1:12" x14ac:dyDescent="0.25">
      <c r="A67" t="s">
        <v>12</v>
      </c>
      <c r="B67" t="s">
        <v>13</v>
      </c>
      <c r="C67" t="s">
        <v>14</v>
      </c>
      <c r="D67" t="s">
        <v>17</v>
      </c>
      <c r="E67" s="2">
        <v>45809</v>
      </c>
      <c r="F67" s="3">
        <v>289636</v>
      </c>
      <c r="G67" s="3">
        <v>182216</v>
      </c>
      <c r="H67" s="3">
        <v>107420</v>
      </c>
      <c r="I67" s="3">
        <v>1696</v>
      </c>
      <c r="J67" s="4">
        <v>385.44</v>
      </c>
      <c r="K67" s="3">
        <v>165748</v>
      </c>
      <c r="L67" s="3">
        <v>123888</v>
      </c>
    </row>
    <row r="68" spans="1:12" x14ac:dyDescent="0.25">
      <c r="A68" t="s">
        <v>12</v>
      </c>
      <c r="B68" t="s">
        <v>13</v>
      </c>
      <c r="C68" t="s">
        <v>14</v>
      </c>
      <c r="D68" t="s">
        <v>17</v>
      </c>
      <c r="E68" s="2">
        <v>45839</v>
      </c>
      <c r="F68" s="3">
        <v>315974</v>
      </c>
      <c r="G68" s="3">
        <v>197847</v>
      </c>
      <c r="H68" s="3">
        <v>118127</v>
      </c>
      <c r="I68" s="3">
        <v>1854</v>
      </c>
      <c r="J68" s="4">
        <v>391.53</v>
      </c>
      <c r="K68" s="3">
        <v>174851</v>
      </c>
      <c r="L68" s="3">
        <v>141123</v>
      </c>
    </row>
    <row r="69" spans="1:12" x14ac:dyDescent="0.25">
      <c r="A69" t="s">
        <v>12</v>
      </c>
      <c r="B69" t="s">
        <v>13</v>
      </c>
      <c r="C69" t="s">
        <v>14</v>
      </c>
      <c r="D69" t="s">
        <v>17</v>
      </c>
      <c r="E69" s="2">
        <v>45870</v>
      </c>
      <c r="F69" s="3">
        <v>313567</v>
      </c>
      <c r="G69" s="3">
        <v>201371</v>
      </c>
      <c r="H69" s="3">
        <v>112196</v>
      </c>
      <c r="I69" s="3">
        <v>1897</v>
      </c>
      <c r="J69" s="4">
        <v>368.97</v>
      </c>
      <c r="K69" s="3">
        <v>174389</v>
      </c>
      <c r="L69" s="3">
        <v>139178</v>
      </c>
    </row>
    <row r="70" spans="1:12" x14ac:dyDescent="0.25">
      <c r="A70" t="s">
        <v>12</v>
      </c>
      <c r="B70" t="s">
        <v>13</v>
      </c>
      <c r="C70" t="s">
        <v>14</v>
      </c>
      <c r="D70" t="s">
        <v>17</v>
      </c>
      <c r="E70" s="2">
        <v>45901</v>
      </c>
      <c r="F70" s="3">
        <v>326417</v>
      </c>
      <c r="G70" s="3">
        <v>205531</v>
      </c>
      <c r="H70" s="3">
        <v>120886</v>
      </c>
      <c r="I70" s="3">
        <v>2015</v>
      </c>
      <c r="J70" s="4">
        <v>376.17</v>
      </c>
      <c r="K70" s="3">
        <v>186395</v>
      </c>
      <c r="L70" s="3">
        <v>140022</v>
      </c>
    </row>
    <row r="71" spans="1:12" x14ac:dyDescent="0.25">
      <c r="A71" t="s">
        <v>12</v>
      </c>
      <c r="B71" t="s">
        <v>13</v>
      </c>
      <c r="C71" t="s">
        <v>14</v>
      </c>
      <c r="D71" t="s">
        <v>17</v>
      </c>
      <c r="E71" s="2">
        <v>45931</v>
      </c>
      <c r="F71" s="3">
        <v>356985</v>
      </c>
      <c r="G71" s="3">
        <v>221589</v>
      </c>
      <c r="H71" s="3">
        <v>135396</v>
      </c>
      <c r="I71" s="3">
        <v>2158</v>
      </c>
      <c r="J71" s="4">
        <v>369.4</v>
      </c>
      <c r="K71" s="3">
        <v>208658</v>
      </c>
      <c r="L71" s="3">
        <v>148327</v>
      </c>
    </row>
    <row r="72" spans="1:12" x14ac:dyDescent="0.25">
      <c r="A72" t="s">
        <v>12</v>
      </c>
      <c r="B72" t="s">
        <v>13</v>
      </c>
      <c r="C72" t="s">
        <v>14</v>
      </c>
      <c r="D72" t="s">
        <v>17</v>
      </c>
      <c r="E72" s="2">
        <v>45962</v>
      </c>
      <c r="F72" s="3">
        <v>372157</v>
      </c>
      <c r="G72" s="3">
        <v>234405</v>
      </c>
      <c r="H72" s="3">
        <v>137752</v>
      </c>
      <c r="I72" s="3">
        <v>2211</v>
      </c>
      <c r="J72" s="4">
        <v>378.7</v>
      </c>
      <c r="K72" s="3">
        <v>213983</v>
      </c>
      <c r="L72" s="3">
        <v>158174</v>
      </c>
    </row>
    <row r="73" spans="1:12" x14ac:dyDescent="0.25">
      <c r="A73" t="s">
        <v>12</v>
      </c>
      <c r="B73" t="s">
        <v>13</v>
      </c>
      <c r="C73" t="s">
        <v>14</v>
      </c>
      <c r="D73" t="s">
        <v>17</v>
      </c>
      <c r="E73" s="2">
        <v>45992</v>
      </c>
      <c r="F73" s="3">
        <v>357351</v>
      </c>
      <c r="G73" s="3">
        <v>225525</v>
      </c>
      <c r="H73" s="3">
        <v>131826</v>
      </c>
      <c r="I73" s="3">
        <v>2093</v>
      </c>
      <c r="J73" s="4">
        <v>367.75</v>
      </c>
      <c r="K73" s="3">
        <v>202113</v>
      </c>
      <c r="L73" s="3">
        <v>155238</v>
      </c>
    </row>
    <row r="74" spans="1:12" x14ac:dyDescent="0.25">
      <c r="A74" t="s">
        <v>12</v>
      </c>
      <c r="B74" t="s">
        <v>13</v>
      </c>
      <c r="C74" t="s">
        <v>14</v>
      </c>
      <c r="D74" t="s">
        <v>18</v>
      </c>
      <c r="E74" s="2">
        <v>45292</v>
      </c>
      <c r="F74" s="3">
        <v>193274</v>
      </c>
      <c r="G74" s="3">
        <v>126767</v>
      </c>
      <c r="H74" s="3">
        <v>66507</v>
      </c>
      <c r="I74" s="3">
        <v>6967</v>
      </c>
      <c r="J74" s="4">
        <v>231.2</v>
      </c>
      <c r="K74" s="3">
        <v>111558</v>
      </c>
      <c r="L74" s="3">
        <v>81716</v>
      </c>
    </row>
    <row r="75" spans="1:12" x14ac:dyDescent="0.25">
      <c r="A75" t="s">
        <v>12</v>
      </c>
      <c r="B75" t="s">
        <v>13</v>
      </c>
      <c r="C75" t="s">
        <v>14</v>
      </c>
      <c r="D75" t="s">
        <v>18</v>
      </c>
      <c r="E75" s="2">
        <v>45323</v>
      </c>
      <c r="F75" s="3">
        <v>177285</v>
      </c>
      <c r="G75" s="3">
        <v>118044</v>
      </c>
      <c r="H75" s="3">
        <v>59241</v>
      </c>
      <c r="I75" s="3">
        <v>6208</v>
      </c>
      <c r="J75" s="4">
        <v>211.51</v>
      </c>
      <c r="K75" s="3">
        <v>101814</v>
      </c>
      <c r="L75" s="3">
        <v>75471</v>
      </c>
    </row>
    <row r="76" spans="1:12" x14ac:dyDescent="0.25">
      <c r="A76" t="s">
        <v>12</v>
      </c>
      <c r="B76" t="s">
        <v>13</v>
      </c>
      <c r="C76" t="s">
        <v>14</v>
      </c>
      <c r="D76" t="s">
        <v>18</v>
      </c>
      <c r="E76" s="2">
        <v>45352</v>
      </c>
      <c r="F76" s="3">
        <v>176333</v>
      </c>
      <c r="G76" s="3">
        <v>112250</v>
      </c>
      <c r="H76" s="3">
        <v>64083</v>
      </c>
      <c r="I76" s="3">
        <v>6189</v>
      </c>
      <c r="J76" s="4">
        <v>210.75</v>
      </c>
      <c r="K76" s="3">
        <v>99317</v>
      </c>
      <c r="L76" s="3">
        <v>77016</v>
      </c>
    </row>
    <row r="77" spans="1:12" x14ac:dyDescent="0.25">
      <c r="A77" t="s">
        <v>12</v>
      </c>
      <c r="B77" t="s">
        <v>13</v>
      </c>
      <c r="C77" t="s">
        <v>14</v>
      </c>
      <c r="D77" t="s">
        <v>18</v>
      </c>
      <c r="E77" s="2">
        <v>45383</v>
      </c>
      <c r="F77" s="3">
        <v>177116</v>
      </c>
      <c r="G77" s="3">
        <v>114661</v>
      </c>
      <c r="H77" s="3">
        <v>62455</v>
      </c>
      <c r="I77" s="3">
        <v>6030</v>
      </c>
      <c r="J77" s="4">
        <v>229.53</v>
      </c>
      <c r="K77" s="3">
        <v>98142</v>
      </c>
      <c r="L77" s="3">
        <v>78974</v>
      </c>
    </row>
    <row r="78" spans="1:12" x14ac:dyDescent="0.25">
      <c r="A78" t="s">
        <v>12</v>
      </c>
      <c r="B78" t="s">
        <v>13</v>
      </c>
      <c r="C78" t="s">
        <v>14</v>
      </c>
      <c r="D78" t="s">
        <v>18</v>
      </c>
      <c r="E78" s="2">
        <v>45413</v>
      </c>
      <c r="F78" s="3">
        <v>182797</v>
      </c>
      <c r="G78" s="3">
        <v>121422</v>
      </c>
      <c r="H78" s="3">
        <v>61375</v>
      </c>
      <c r="I78" s="3">
        <v>6413</v>
      </c>
      <c r="J78" s="4">
        <v>229.83</v>
      </c>
      <c r="K78" s="3">
        <v>107454</v>
      </c>
      <c r="L78" s="3">
        <v>75343</v>
      </c>
    </row>
    <row r="79" spans="1:12" x14ac:dyDescent="0.25">
      <c r="A79" t="s">
        <v>12</v>
      </c>
      <c r="B79" t="s">
        <v>13</v>
      </c>
      <c r="C79" t="s">
        <v>14</v>
      </c>
      <c r="D79" t="s">
        <v>18</v>
      </c>
      <c r="E79" s="2">
        <v>45444</v>
      </c>
      <c r="F79" s="3">
        <v>182746</v>
      </c>
      <c r="G79" s="3">
        <v>120938</v>
      </c>
      <c r="H79" s="3">
        <v>61808</v>
      </c>
      <c r="I79" s="3">
        <v>6464</v>
      </c>
      <c r="J79" s="4">
        <v>219.92</v>
      </c>
      <c r="K79" s="3">
        <v>107418</v>
      </c>
      <c r="L79" s="3">
        <v>75328</v>
      </c>
    </row>
    <row r="80" spans="1:12" x14ac:dyDescent="0.25">
      <c r="A80" t="s">
        <v>12</v>
      </c>
      <c r="B80" t="s">
        <v>13</v>
      </c>
      <c r="C80" t="s">
        <v>14</v>
      </c>
      <c r="D80" t="s">
        <v>18</v>
      </c>
      <c r="E80" s="2">
        <v>45474</v>
      </c>
      <c r="F80" s="3">
        <v>193378</v>
      </c>
      <c r="G80" s="3">
        <v>124582</v>
      </c>
      <c r="H80" s="3">
        <v>68796</v>
      </c>
      <c r="I80" s="3">
        <v>7167</v>
      </c>
      <c r="J80" s="4">
        <v>219.5</v>
      </c>
      <c r="K80" s="3">
        <v>111836</v>
      </c>
      <c r="L80" s="3">
        <v>81542</v>
      </c>
    </row>
    <row r="81" spans="1:12" x14ac:dyDescent="0.25">
      <c r="A81" t="s">
        <v>12</v>
      </c>
      <c r="B81" t="s">
        <v>13</v>
      </c>
      <c r="C81" t="s">
        <v>14</v>
      </c>
      <c r="D81" t="s">
        <v>18</v>
      </c>
      <c r="E81" s="2">
        <v>45505</v>
      </c>
      <c r="F81" s="3">
        <v>205226</v>
      </c>
      <c r="G81" s="3">
        <v>132993</v>
      </c>
      <c r="H81" s="3">
        <v>72233</v>
      </c>
      <c r="I81" s="3">
        <v>7071</v>
      </c>
      <c r="J81" s="4">
        <v>212.51</v>
      </c>
      <c r="K81" s="3">
        <v>115063</v>
      </c>
      <c r="L81" s="3">
        <v>90163</v>
      </c>
    </row>
    <row r="82" spans="1:12" x14ac:dyDescent="0.25">
      <c r="A82" t="s">
        <v>12</v>
      </c>
      <c r="B82" t="s">
        <v>13</v>
      </c>
      <c r="C82" t="s">
        <v>14</v>
      </c>
      <c r="D82" t="s">
        <v>18</v>
      </c>
      <c r="E82" s="2">
        <v>45536</v>
      </c>
      <c r="F82" s="3">
        <v>216396</v>
      </c>
      <c r="G82" s="3">
        <v>141626</v>
      </c>
      <c r="H82" s="3">
        <v>74770</v>
      </c>
      <c r="I82" s="3">
        <v>7881</v>
      </c>
      <c r="J82" s="4">
        <v>212.83</v>
      </c>
      <c r="K82" s="3">
        <v>127741</v>
      </c>
      <c r="L82" s="3">
        <v>88655</v>
      </c>
    </row>
    <row r="83" spans="1:12" x14ac:dyDescent="0.25">
      <c r="A83" t="s">
        <v>12</v>
      </c>
      <c r="B83" t="s">
        <v>13</v>
      </c>
      <c r="C83" t="s">
        <v>14</v>
      </c>
      <c r="D83" t="s">
        <v>18</v>
      </c>
      <c r="E83" s="2">
        <v>45566</v>
      </c>
      <c r="F83" s="3">
        <v>214030</v>
      </c>
      <c r="G83" s="3">
        <v>136172</v>
      </c>
      <c r="H83" s="3">
        <v>77858</v>
      </c>
      <c r="I83" s="3">
        <v>7334</v>
      </c>
      <c r="J83" s="4">
        <v>215.1</v>
      </c>
      <c r="K83" s="3">
        <v>120200</v>
      </c>
      <c r="L83" s="3">
        <v>93830</v>
      </c>
    </row>
    <row r="84" spans="1:12" x14ac:dyDescent="0.25">
      <c r="A84" t="s">
        <v>12</v>
      </c>
      <c r="B84" t="s">
        <v>13</v>
      </c>
      <c r="C84" t="s">
        <v>14</v>
      </c>
      <c r="D84" t="s">
        <v>18</v>
      </c>
      <c r="E84" s="2">
        <v>45597</v>
      </c>
      <c r="F84" s="3">
        <v>205949</v>
      </c>
      <c r="G84" s="3">
        <v>136813</v>
      </c>
      <c r="H84" s="3">
        <v>69136</v>
      </c>
      <c r="I84" s="3">
        <v>7540</v>
      </c>
      <c r="J84" s="4">
        <v>228.74</v>
      </c>
      <c r="K84" s="3">
        <v>113254</v>
      </c>
      <c r="L84" s="3">
        <v>92695</v>
      </c>
    </row>
    <row r="85" spans="1:12" x14ac:dyDescent="0.25">
      <c r="A85" t="s">
        <v>12</v>
      </c>
      <c r="B85" t="s">
        <v>13</v>
      </c>
      <c r="C85" t="s">
        <v>14</v>
      </c>
      <c r="D85" t="s">
        <v>18</v>
      </c>
      <c r="E85" s="2">
        <v>45627</v>
      </c>
      <c r="F85" s="3">
        <v>219171</v>
      </c>
      <c r="G85" s="3">
        <v>139710</v>
      </c>
      <c r="H85" s="3">
        <v>79461</v>
      </c>
      <c r="I85" s="3">
        <v>7670</v>
      </c>
      <c r="J85" s="4">
        <v>223.27</v>
      </c>
      <c r="K85" s="3">
        <v>124314</v>
      </c>
      <c r="L85" s="3">
        <v>94857</v>
      </c>
    </row>
    <row r="86" spans="1:12" x14ac:dyDescent="0.25">
      <c r="A86" t="s">
        <v>12</v>
      </c>
      <c r="B86" t="s">
        <v>13</v>
      </c>
      <c r="C86" t="s">
        <v>14</v>
      </c>
      <c r="D86" t="s">
        <v>18</v>
      </c>
      <c r="E86" s="2">
        <v>45658</v>
      </c>
      <c r="F86" s="3">
        <v>203685</v>
      </c>
      <c r="G86" s="3">
        <v>131101</v>
      </c>
      <c r="H86" s="3">
        <v>72584</v>
      </c>
      <c r="I86" s="3">
        <v>7295</v>
      </c>
      <c r="J86" s="4">
        <v>220.63</v>
      </c>
      <c r="K86" s="3">
        <v>113672</v>
      </c>
      <c r="L86" s="3">
        <v>90013</v>
      </c>
    </row>
    <row r="87" spans="1:12" x14ac:dyDescent="0.25">
      <c r="A87" t="s">
        <v>12</v>
      </c>
      <c r="B87" t="s">
        <v>13</v>
      </c>
      <c r="C87" t="s">
        <v>14</v>
      </c>
      <c r="D87" t="s">
        <v>18</v>
      </c>
      <c r="E87" s="2">
        <v>45689</v>
      </c>
      <c r="F87" s="3">
        <v>201823</v>
      </c>
      <c r="G87" s="3">
        <v>132506</v>
      </c>
      <c r="H87" s="3">
        <v>69317</v>
      </c>
      <c r="I87" s="3">
        <v>7162</v>
      </c>
      <c r="J87" s="4">
        <v>216.35</v>
      </c>
      <c r="K87" s="3">
        <v>118976</v>
      </c>
      <c r="L87" s="3">
        <v>82847</v>
      </c>
    </row>
    <row r="88" spans="1:12" x14ac:dyDescent="0.25">
      <c r="A88" t="s">
        <v>12</v>
      </c>
      <c r="B88" t="s">
        <v>13</v>
      </c>
      <c r="C88" t="s">
        <v>14</v>
      </c>
      <c r="D88" t="s">
        <v>18</v>
      </c>
      <c r="E88" s="2">
        <v>45717</v>
      </c>
      <c r="F88" s="3">
        <v>189524</v>
      </c>
      <c r="G88" s="3">
        <v>124221</v>
      </c>
      <c r="H88" s="3">
        <v>65303</v>
      </c>
      <c r="I88" s="3">
        <v>6648</v>
      </c>
      <c r="J88" s="4">
        <v>218.7</v>
      </c>
      <c r="K88" s="3">
        <v>106947</v>
      </c>
      <c r="L88" s="3">
        <v>82577</v>
      </c>
    </row>
    <row r="89" spans="1:12" x14ac:dyDescent="0.25">
      <c r="A89" t="s">
        <v>12</v>
      </c>
      <c r="B89" t="s">
        <v>13</v>
      </c>
      <c r="C89" t="s">
        <v>14</v>
      </c>
      <c r="D89" t="s">
        <v>18</v>
      </c>
      <c r="E89" s="2">
        <v>45748</v>
      </c>
      <c r="F89" s="3">
        <v>178969</v>
      </c>
      <c r="G89" s="3">
        <v>115789</v>
      </c>
      <c r="H89" s="3">
        <v>63180</v>
      </c>
      <c r="I89" s="3">
        <v>6687</v>
      </c>
      <c r="J89" s="4">
        <v>217.71</v>
      </c>
      <c r="K89" s="3">
        <v>101556</v>
      </c>
      <c r="L89" s="3">
        <v>77413</v>
      </c>
    </row>
    <row r="90" spans="1:12" x14ac:dyDescent="0.25">
      <c r="A90" t="s">
        <v>12</v>
      </c>
      <c r="B90" t="s">
        <v>13</v>
      </c>
      <c r="C90" t="s">
        <v>14</v>
      </c>
      <c r="D90" t="s">
        <v>18</v>
      </c>
      <c r="E90" s="2">
        <v>45778</v>
      </c>
      <c r="F90" s="3">
        <v>186282</v>
      </c>
      <c r="G90" s="3">
        <v>119335</v>
      </c>
      <c r="H90" s="3">
        <v>66947</v>
      </c>
      <c r="I90" s="3">
        <v>6589</v>
      </c>
      <c r="J90" s="4">
        <v>229.57</v>
      </c>
      <c r="K90" s="3">
        <v>106400</v>
      </c>
      <c r="L90" s="3">
        <v>79882</v>
      </c>
    </row>
    <row r="91" spans="1:12" x14ac:dyDescent="0.25">
      <c r="A91" t="s">
        <v>12</v>
      </c>
      <c r="B91" t="s">
        <v>13</v>
      </c>
      <c r="C91" t="s">
        <v>14</v>
      </c>
      <c r="D91" t="s">
        <v>18</v>
      </c>
      <c r="E91" s="2">
        <v>45809</v>
      </c>
      <c r="F91" s="3">
        <v>214805</v>
      </c>
      <c r="G91" s="3">
        <v>142032</v>
      </c>
      <c r="H91" s="3">
        <v>72773</v>
      </c>
      <c r="I91" s="3">
        <v>7514</v>
      </c>
      <c r="J91" s="4">
        <v>213.39</v>
      </c>
      <c r="K91" s="3">
        <v>126882</v>
      </c>
      <c r="L91" s="3">
        <v>87923</v>
      </c>
    </row>
    <row r="92" spans="1:12" x14ac:dyDescent="0.25">
      <c r="A92" t="s">
        <v>12</v>
      </c>
      <c r="B92" t="s">
        <v>13</v>
      </c>
      <c r="C92" t="s">
        <v>14</v>
      </c>
      <c r="D92" t="s">
        <v>18</v>
      </c>
      <c r="E92" s="2">
        <v>45839</v>
      </c>
      <c r="F92" s="3">
        <v>225020</v>
      </c>
      <c r="G92" s="3">
        <v>148376</v>
      </c>
      <c r="H92" s="3">
        <v>76644</v>
      </c>
      <c r="I92" s="3">
        <v>8140</v>
      </c>
      <c r="J92" s="4">
        <v>218.06</v>
      </c>
      <c r="K92" s="3">
        <v>132216</v>
      </c>
      <c r="L92" s="3">
        <v>92804</v>
      </c>
    </row>
    <row r="93" spans="1:12" x14ac:dyDescent="0.25">
      <c r="A93" t="s">
        <v>12</v>
      </c>
      <c r="B93" t="s">
        <v>13</v>
      </c>
      <c r="C93" t="s">
        <v>14</v>
      </c>
      <c r="D93" t="s">
        <v>18</v>
      </c>
      <c r="E93" s="2">
        <v>45870</v>
      </c>
      <c r="F93" s="3">
        <v>229021</v>
      </c>
      <c r="G93" s="3">
        <v>151517</v>
      </c>
      <c r="H93" s="3">
        <v>77504</v>
      </c>
      <c r="I93" s="3">
        <v>8377</v>
      </c>
      <c r="J93" s="4">
        <v>231.07</v>
      </c>
      <c r="K93" s="3">
        <v>125605</v>
      </c>
      <c r="L93" s="3">
        <v>103416</v>
      </c>
    </row>
    <row r="94" spans="1:12" x14ac:dyDescent="0.25">
      <c r="A94" t="s">
        <v>12</v>
      </c>
      <c r="B94" t="s">
        <v>13</v>
      </c>
      <c r="C94" t="s">
        <v>14</v>
      </c>
      <c r="D94" t="s">
        <v>18</v>
      </c>
      <c r="E94" s="2">
        <v>45901</v>
      </c>
      <c r="F94" s="3">
        <v>239494</v>
      </c>
      <c r="G94" s="3">
        <v>157644</v>
      </c>
      <c r="H94" s="3">
        <v>81850</v>
      </c>
      <c r="I94" s="3">
        <v>8508</v>
      </c>
      <c r="J94" s="4">
        <v>228.54</v>
      </c>
      <c r="K94" s="3">
        <v>133871</v>
      </c>
      <c r="L94" s="3">
        <v>105623</v>
      </c>
    </row>
    <row r="95" spans="1:12" x14ac:dyDescent="0.25">
      <c r="A95" t="s">
        <v>12</v>
      </c>
      <c r="B95" t="s">
        <v>13</v>
      </c>
      <c r="C95" t="s">
        <v>14</v>
      </c>
      <c r="D95" t="s">
        <v>18</v>
      </c>
      <c r="E95" s="2">
        <v>45931</v>
      </c>
      <c r="F95" s="3">
        <v>251865</v>
      </c>
      <c r="G95" s="3">
        <v>161666</v>
      </c>
      <c r="H95" s="3">
        <v>90199</v>
      </c>
      <c r="I95" s="3">
        <v>8699</v>
      </c>
      <c r="J95" s="4">
        <v>212.82</v>
      </c>
      <c r="K95" s="3">
        <v>145918</v>
      </c>
      <c r="L95" s="3">
        <v>105947</v>
      </c>
    </row>
    <row r="96" spans="1:12" x14ac:dyDescent="0.25">
      <c r="A96" t="s">
        <v>12</v>
      </c>
      <c r="B96" t="s">
        <v>13</v>
      </c>
      <c r="C96" t="s">
        <v>14</v>
      </c>
      <c r="D96" t="s">
        <v>18</v>
      </c>
      <c r="E96" s="2">
        <v>45962</v>
      </c>
      <c r="F96" s="3">
        <v>245831</v>
      </c>
      <c r="G96" s="3">
        <v>163187</v>
      </c>
      <c r="H96" s="3">
        <v>82644</v>
      </c>
      <c r="I96" s="3">
        <v>9084</v>
      </c>
      <c r="J96" s="4">
        <v>231.7</v>
      </c>
      <c r="K96" s="3">
        <v>143327</v>
      </c>
      <c r="L96" s="3">
        <v>102504</v>
      </c>
    </row>
    <row r="97" spans="1:12" x14ac:dyDescent="0.25">
      <c r="A97" t="s">
        <v>12</v>
      </c>
      <c r="B97" t="s">
        <v>13</v>
      </c>
      <c r="C97" t="s">
        <v>14</v>
      </c>
      <c r="D97" t="s">
        <v>18</v>
      </c>
      <c r="E97" s="2">
        <v>45992</v>
      </c>
      <c r="F97" s="3">
        <v>223190</v>
      </c>
      <c r="G97" s="3">
        <v>147182</v>
      </c>
      <c r="H97" s="3">
        <v>76008</v>
      </c>
      <c r="I97" s="3">
        <v>7897</v>
      </c>
      <c r="J97" s="4">
        <v>228.54</v>
      </c>
      <c r="K97" s="3">
        <v>125760</v>
      </c>
      <c r="L97" s="3">
        <v>97430</v>
      </c>
    </row>
    <row r="98" spans="1:12" x14ac:dyDescent="0.25">
      <c r="A98" t="s">
        <v>12</v>
      </c>
      <c r="B98" t="s">
        <v>13</v>
      </c>
      <c r="C98" t="s">
        <v>14</v>
      </c>
      <c r="D98" t="s">
        <v>19</v>
      </c>
      <c r="E98" s="2">
        <v>45292</v>
      </c>
      <c r="F98" s="3">
        <v>174024</v>
      </c>
      <c r="G98" s="3">
        <v>105367</v>
      </c>
      <c r="H98" s="3">
        <v>68657</v>
      </c>
      <c r="I98" s="3">
        <v>7456</v>
      </c>
      <c r="J98" s="4">
        <v>131.27000000000001</v>
      </c>
      <c r="K98" s="3">
        <v>102830</v>
      </c>
      <c r="L98" s="3">
        <v>71194</v>
      </c>
    </row>
    <row r="99" spans="1:12" x14ac:dyDescent="0.25">
      <c r="A99" t="s">
        <v>12</v>
      </c>
      <c r="B99" t="s">
        <v>13</v>
      </c>
      <c r="C99" t="s">
        <v>14</v>
      </c>
      <c r="D99" t="s">
        <v>19</v>
      </c>
      <c r="E99" s="2">
        <v>45323</v>
      </c>
      <c r="F99" s="3">
        <v>163562</v>
      </c>
      <c r="G99" s="3">
        <v>99685</v>
      </c>
      <c r="H99" s="3">
        <v>63877</v>
      </c>
      <c r="I99" s="3">
        <v>6757</v>
      </c>
      <c r="J99" s="4">
        <v>128.54</v>
      </c>
      <c r="K99" s="3">
        <v>92286</v>
      </c>
      <c r="L99" s="3">
        <v>71276</v>
      </c>
    </row>
    <row r="100" spans="1:12" x14ac:dyDescent="0.25">
      <c r="A100" t="s">
        <v>12</v>
      </c>
      <c r="B100" t="s">
        <v>13</v>
      </c>
      <c r="C100" t="s">
        <v>14</v>
      </c>
      <c r="D100" t="s">
        <v>19</v>
      </c>
      <c r="E100" s="2">
        <v>45352</v>
      </c>
      <c r="F100" s="3">
        <v>147658</v>
      </c>
      <c r="G100" s="3">
        <v>90326</v>
      </c>
      <c r="H100" s="3">
        <v>57332</v>
      </c>
      <c r="I100" s="3">
        <v>6373</v>
      </c>
      <c r="J100" s="4">
        <v>120.79</v>
      </c>
      <c r="K100" s="3">
        <v>86107</v>
      </c>
      <c r="L100" s="3">
        <v>61551</v>
      </c>
    </row>
    <row r="101" spans="1:12" x14ac:dyDescent="0.25">
      <c r="A101" t="s">
        <v>12</v>
      </c>
      <c r="B101" t="s">
        <v>13</v>
      </c>
      <c r="C101" t="s">
        <v>14</v>
      </c>
      <c r="D101" t="s">
        <v>19</v>
      </c>
      <c r="E101" s="2">
        <v>45383</v>
      </c>
      <c r="F101" s="3">
        <v>148897</v>
      </c>
      <c r="G101" s="3">
        <v>93118</v>
      </c>
      <c r="H101" s="3">
        <v>55779</v>
      </c>
      <c r="I101" s="3">
        <v>6030</v>
      </c>
      <c r="J101" s="4">
        <v>120.61</v>
      </c>
      <c r="K101" s="3">
        <v>86464</v>
      </c>
      <c r="L101" s="3">
        <v>62433</v>
      </c>
    </row>
    <row r="102" spans="1:12" x14ac:dyDescent="0.25">
      <c r="A102" t="s">
        <v>12</v>
      </c>
      <c r="B102" t="s">
        <v>13</v>
      </c>
      <c r="C102" t="s">
        <v>14</v>
      </c>
      <c r="D102" t="s">
        <v>19</v>
      </c>
      <c r="E102" s="2">
        <v>45413</v>
      </c>
      <c r="F102" s="3">
        <v>169267</v>
      </c>
      <c r="G102" s="3">
        <v>100983</v>
      </c>
      <c r="H102" s="3">
        <v>68284</v>
      </c>
      <c r="I102" s="3">
        <v>7234</v>
      </c>
      <c r="J102" s="4">
        <v>124.76</v>
      </c>
      <c r="K102" s="3">
        <v>94020</v>
      </c>
      <c r="L102" s="3">
        <v>75247</v>
      </c>
    </row>
    <row r="103" spans="1:12" x14ac:dyDescent="0.25">
      <c r="A103" t="s">
        <v>12</v>
      </c>
      <c r="B103" t="s">
        <v>13</v>
      </c>
      <c r="C103" t="s">
        <v>14</v>
      </c>
      <c r="D103" t="s">
        <v>19</v>
      </c>
      <c r="E103" s="2">
        <v>45444</v>
      </c>
      <c r="F103" s="3">
        <v>167305</v>
      </c>
      <c r="G103" s="3">
        <v>104187</v>
      </c>
      <c r="H103" s="3">
        <v>63118</v>
      </c>
      <c r="I103" s="3">
        <v>6717</v>
      </c>
      <c r="J103" s="4">
        <v>126.32</v>
      </c>
      <c r="K103" s="3">
        <v>98695</v>
      </c>
      <c r="L103" s="3">
        <v>68610</v>
      </c>
    </row>
    <row r="104" spans="1:12" x14ac:dyDescent="0.25">
      <c r="A104" t="s">
        <v>12</v>
      </c>
      <c r="B104" t="s">
        <v>13</v>
      </c>
      <c r="C104" t="s">
        <v>14</v>
      </c>
      <c r="D104" t="s">
        <v>19</v>
      </c>
      <c r="E104" s="2">
        <v>45474</v>
      </c>
      <c r="F104" s="3">
        <v>178755</v>
      </c>
      <c r="G104" s="3">
        <v>111224</v>
      </c>
      <c r="H104" s="3">
        <v>67531</v>
      </c>
      <c r="I104" s="3">
        <v>7440</v>
      </c>
      <c r="J104" s="4">
        <v>127.61</v>
      </c>
      <c r="K104" s="3">
        <v>99481</v>
      </c>
      <c r="L104" s="3">
        <v>79274</v>
      </c>
    </row>
    <row r="105" spans="1:12" x14ac:dyDescent="0.25">
      <c r="A105" t="s">
        <v>12</v>
      </c>
      <c r="B105" t="s">
        <v>13</v>
      </c>
      <c r="C105" t="s">
        <v>14</v>
      </c>
      <c r="D105" t="s">
        <v>19</v>
      </c>
      <c r="E105" s="2">
        <v>45505</v>
      </c>
      <c r="F105" s="3">
        <v>181352</v>
      </c>
      <c r="G105" s="3">
        <v>111387</v>
      </c>
      <c r="H105" s="3">
        <v>69965</v>
      </c>
      <c r="I105" s="3">
        <v>7773</v>
      </c>
      <c r="J105" s="4">
        <v>128.44</v>
      </c>
      <c r="K105" s="3">
        <v>106500</v>
      </c>
      <c r="L105" s="3">
        <v>74852</v>
      </c>
    </row>
    <row r="106" spans="1:12" x14ac:dyDescent="0.25">
      <c r="A106" t="s">
        <v>12</v>
      </c>
      <c r="B106" t="s">
        <v>13</v>
      </c>
      <c r="C106" t="s">
        <v>14</v>
      </c>
      <c r="D106" t="s">
        <v>19</v>
      </c>
      <c r="E106" s="2">
        <v>45536</v>
      </c>
      <c r="F106" s="3">
        <v>210599</v>
      </c>
      <c r="G106" s="3">
        <v>128389</v>
      </c>
      <c r="H106" s="3">
        <v>82210</v>
      </c>
      <c r="I106" s="3">
        <v>8959</v>
      </c>
      <c r="J106" s="4">
        <v>121.09</v>
      </c>
      <c r="K106" s="3">
        <v>122890</v>
      </c>
      <c r="L106" s="3">
        <v>87709</v>
      </c>
    </row>
    <row r="107" spans="1:12" x14ac:dyDescent="0.25">
      <c r="A107" t="s">
        <v>12</v>
      </c>
      <c r="B107" t="s">
        <v>13</v>
      </c>
      <c r="C107" t="s">
        <v>14</v>
      </c>
      <c r="D107" t="s">
        <v>19</v>
      </c>
      <c r="E107" s="2">
        <v>45566</v>
      </c>
      <c r="F107" s="3">
        <v>206264</v>
      </c>
      <c r="G107" s="3">
        <v>124341</v>
      </c>
      <c r="H107" s="3">
        <v>81923</v>
      </c>
      <c r="I107" s="3">
        <v>8671</v>
      </c>
      <c r="J107" s="4">
        <v>121.17</v>
      </c>
      <c r="K107" s="3">
        <v>113547</v>
      </c>
      <c r="L107" s="3">
        <v>92717</v>
      </c>
    </row>
    <row r="108" spans="1:12" x14ac:dyDescent="0.25">
      <c r="A108" t="s">
        <v>12</v>
      </c>
      <c r="B108" t="s">
        <v>13</v>
      </c>
      <c r="C108" t="s">
        <v>14</v>
      </c>
      <c r="D108" t="s">
        <v>19</v>
      </c>
      <c r="E108" s="2">
        <v>45597</v>
      </c>
      <c r="F108" s="3">
        <v>199272</v>
      </c>
      <c r="G108" s="3">
        <v>120008</v>
      </c>
      <c r="H108" s="3">
        <v>79264</v>
      </c>
      <c r="I108" s="3">
        <v>8056</v>
      </c>
      <c r="J108" s="4">
        <v>129.4</v>
      </c>
      <c r="K108" s="3">
        <v>114815</v>
      </c>
      <c r="L108" s="3">
        <v>84457</v>
      </c>
    </row>
    <row r="109" spans="1:12" x14ac:dyDescent="0.25">
      <c r="A109" t="s">
        <v>12</v>
      </c>
      <c r="B109" t="s">
        <v>13</v>
      </c>
      <c r="C109" t="s">
        <v>14</v>
      </c>
      <c r="D109" t="s">
        <v>19</v>
      </c>
      <c r="E109" s="2">
        <v>45627</v>
      </c>
      <c r="F109" s="3">
        <v>205778</v>
      </c>
      <c r="G109" s="3">
        <v>128551</v>
      </c>
      <c r="H109" s="3">
        <v>77227</v>
      </c>
      <c r="I109" s="3">
        <v>8675</v>
      </c>
      <c r="J109" s="4">
        <v>126.1</v>
      </c>
      <c r="K109" s="3">
        <v>121382</v>
      </c>
      <c r="L109" s="3">
        <v>84396</v>
      </c>
    </row>
    <row r="110" spans="1:12" x14ac:dyDescent="0.25">
      <c r="A110" t="s">
        <v>12</v>
      </c>
      <c r="B110" t="s">
        <v>13</v>
      </c>
      <c r="C110" t="s">
        <v>14</v>
      </c>
      <c r="D110" t="s">
        <v>19</v>
      </c>
      <c r="E110" s="2">
        <v>45658</v>
      </c>
      <c r="F110" s="3">
        <v>193529</v>
      </c>
      <c r="G110" s="3">
        <v>120256</v>
      </c>
      <c r="H110" s="3">
        <v>73273</v>
      </c>
      <c r="I110" s="3">
        <v>7903</v>
      </c>
      <c r="J110" s="4">
        <v>121.85</v>
      </c>
      <c r="K110" s="3">
        <v>112846</v>
      </c>
      <c r="L110" s="3">
        <v>80683</v>
      </c>
    </row>
    <row r="111" spans="1:12" x14ac:dyDescent="0.25">
      <c r="A111" t="s">
        <v>12</v>
      </c>
      <c r="B111" t="s">
        <v>13</v>
      </c>
      <c r="C111" t="s">
        <v>14</v>
      </c>
      <c r="D111" t="s">
        <v>19</v>
      </c>
      <c r="E111" s="2">
        <v>45689</v>
      </c>
      <c r="F111" s="3">
        <v>181367</v>
      </c>
      <c r="G111" s="3">
        <v>112815</v>
      </c>
      <c r="H111" s="3">
        <v>68552</v>
      </c>
      <c r="I111" s="3">
        <v>7302</v>
      </c>
      <c r="J111" s="4">
        <v>121.8</v>
      </c>
      <c r="K111" s="3">
        <v>106751</v>
      </c>
      <c r="L111" s="3">
        <v>74616</v>
      </c>
    </row>
    <row r="112" spans="1:12" x14ac:dyDescent="0.25">
      <c r="A112" t="s">
        <v>12</v>
      </c>
      <c r="B112" t="s">
        <v>13</v>
      </c>
      <c r="C112" t="s">
        <v>14</v>
      </c>
      <c r="D112" t="s">
        <v>19</v>
      </c>
      <c r="E112" s="2">
        <v>45717</v>
      </c>
      <c r="F112" s="3">
        <v>180079</v>
      </c>
      <c r="G112" s="3">
        <v>112369</v>
      </c>
      <c r="H112" s="3">
        <v>67710</v>
      </c>
      <c r="I112" s="3">
        <v>7551</v>
      </c>
      <c r="J112" s="4">
        <v>121.17</v>
      </c>
      <c r="K112" s="3">
        <v>102707</v>
      </c>
      <c r="L112" s="3">
        <v>77372</v>
      </c>
    </row>
    <row r="113" spans="1:12" x14ac:dyDescent="0.25">
      <c r="A113" t="s">
        <v>12</v>
      </c>
      <c r="B113" t="s">
        <v>13</v>
      </c>
      <c r="C113" t="s">
        <v>14</v>
      </c>
      <c r="D113" t="s">
        <v>19</v>
      </c>
      <c r="E113" s="2">
        <v>45748</v>
      </c>
      <c r="F113" s="3">
        <v>183815</v>
      </c>
      <c r="G113" s="3">
        <v>114054</v>
      </c>
      <c r="H113" s="3">
        <v>69761</v>
      </c>
      <c r="I113" s="3">
        <v>7346</v>
      </c>
      <c r="J113" s="4">
        <v>132.16999999999999</v>
      </c>
      <c r="K113" s="3">
        <v>103275</v>
      </c>
      <c r="L113" s="3">
        <v>80540</v>
      </c>
    </row>
    <row r="114" spans="1:12" x14ac:dyDescent="0.25">
      <c r="A114" t="s">
        <v>12</v>
      </c>
      <c r="B114" t="s">
        <v>13</v>
      </c>
      <c r="C114" t="s">
        <v>14</v>
      </c>
      <c r="D114" t="s">
        <v>19</v>
      </c>
      <c r="E114" s="2">
        <v>45778</v>
      </c>
      <c r="F114" s="3">
        <v>171926</v>
      </c>
      <c r="G114" s="3">
        <v>103313</v>
      </c>
      <c r="H114" s="3">
        <v>68613</v>
      </c>
      <c r="I114" s="3">
        <v>6916</v>
      </c>
      <c r="J114" s="4">
        <v>129.69</v>
      </c>
      <c r="K114" s="3">
        <v>100652</v>
      </c>
      <c r="L114" s="3">
        <v>71274</v>
      </c>
    </row>
    <row r="115" spans="1:12" x14ac:dyDescent="0.25">
      <c r="A115" t="s">
        <v>12</v>
      </c>
      <c r="B115" t="s">
        <v>13</v>
      </c>
      <c r="C115" t="s">
        <v>14</v>
      </c>
      <c r="D115" t="s">
        <v>19</v>
      </c>
      <c r="E115" s="2">
        <v>45809</v>
      </c>
      <c r="F115" s="3">
        <v>194455</v>
      </c>
      <c r="G115" s="3">
        <v>118714</v>
      </c>
      <c r="H115" s="3">
        <v>75741</v>
      </c>
      <c r="I115" s="3">
        <v>7903</v>
      </c>
      <c r="J115" s="4">
        <v>127.91</v>
      </c>
      <c r="K115" s="3">
        <v>106746</v>
      </c>
      <c r="L115" s="3">
        <v>87709</v>
      </c>
    </row>
    <row r="116" spans="1:12" x14ac:dyDescent="0.25">
      <c r="A116" t="s">
        <v>12</v>
      </c>
      <c r="B116" t="s">
        <v>13</v>
      </c>
      <c r="C116" t="s">
        <v>14</v>
      </c>
      <c r="D116" t="s">
        <v>19</v>
      </c>
      <c r="E116" s="2">
        <v>45839</v>
      </c>
      <c r="F116" s="3">
        <v>201729</v>
      </c>
      <c r="G116" s="3">
        <v>124630</v>
      </c>
      <c r="H116" s="3">
        <v>77099</v>
      </c>
      <c r="I116" s="3">
        <v>8609</v>
      </c>
      <c r="J116" s="4">
        <v>130.68</v>
      </c>
      <c r="K116" s="3">
        <v>110844</v>
      </c>
      <c r="L116" s="3">
        <v>90885</v>
      </c>
    </row>
    <row r="117" spans="1:12" x14ac:dyDescent="0.25">
      <c r="A117" t="s">
        <v>12</v>
      </c>
      <c r="B117" t="s">
        <v>13</v>
      </c>
      <c r="C117" t="s">
        <v>14</v>
      </c>
      <c r="D117" t="s">
        <v>19</v>
      </c>
      <c r="E117" s="2">
        <v>45870</v>
      </c>
      <c r="F117" s="3">
        <v>223356</v>
      </c>
      <c r="G117" s="3">
        <v>135865</v>
      </c>
      <c r="H117" s="3">
        <v>87491</v>
      </c>
      <c r="I117" s="3">
        <v>8880</v>
      </c>
      <c r="J117" s="4">
        <v>122.12</v>
      </c>
      <c r="K117" s="3">
        <v>129462</v>
      </c>
      <c r="L117" s="3">
        <v>93894</v>
      </c>
    </row>
    <row r="118" spans="1:12" x14ac:dyDescent="0.25">
      <c r="A118" t="s">
        <v>12</v>
      </c>
      <c r="B118" t="s">
        <v>13</v>
      </c>
      <c r="C118" t="s">
        <v>14</v>
      </c>
      <c r="D118" t="s">
        <v>19</v>
      </c>
      <c r="E118" s="2">
        <v>45901</v>
      </c>
      <c r="F118" s="3">
        <v>215795</v>
      </c>
      <c r="G118" s="3">
        <v>129274</v>
      </c>
      <c r="H118" s="3">
        <v>86521</v>
      </c>
      <c r="I118" s="3">
        <v>9360</v>
      </c>
      <c r="J118" s="4">
        <v>121.57</v>
      </c>
      <c r="K118" s="3">
        <v>123206</v>
      </c>
      <c r="L118" s="3">
        <v>92589</v>
      </c>
    </row>
    <row r="119" spans="1:12" x14ac:dyDescent="0.25">
      <c r="A119" t="s">
        <v>12</v>
      </c>
      <c r="B119" t="s">
        <v>13</v>
      </c>
      <c r="C119" t="s">
        <v>14</v>
      </c>
      <c r="D119" t="s">
        <v>19</v>
      </c>
      <c r="E119" s="2">
        <v>45931</v>
      </c>
      <c r="F119" s="3">
        <v>219680</v>
      </c>
      <c r="G119" s="3">
        <v>131611</v>
      </c>
      <c r="H119" s="3">
        <v>88069</v>
      </c>
      <c r="I119" s="3">
        <v>8966</v>
      </c>
      <c r="J119" s="4">
        <v>131.6</v>
      </c>
      <c r="K119" s="3">
        <v>129611</v>
      </c>
      <c r="L119" s="3">
        <v>90069</v>
      </c>
    </row>
    <row r="120" spans="1:12" x14ac:dyDescent="0.25">
      <c r="A120" t="s">
        <v>12</v>
      </c>
      <c r="B120" t="s">
        <v>13</v>
      </c>
      <c r="C120" t="s">
        <v>14</v>
      </c>
      <c r="D120" t="s">
        <v>19</v>
      </c>
      <c r="E120" s="2">
        <v>45962</v>
      </c>
      <c r="F120" s="3">
        <v>221500</v>
      </c>
      <c r="G120" s="3">
        <v>136202</v>
      </c>
      <c r="H120" s="3">
        <v>85298</v>
      </c>
      <c r="I120" s="3">
        <v>9682</v>
      </c>
      <c r="J120" s="4">
        <v>129.08000000000001</v>
      </c>
      <c r="K120" s="3">
        <v>130749</v>
      </c>
      <c r="L120" s="3">
        <v>90751</v>
      </c>
    </row>
    <row r="121" spans="1:12" x14ac:dyDescent="0.25">
      <c r="A121" t="s">
        <v>12</v>
      </c>
      <c r="B121" t="s">
        <v>13</v>
      </c>
      <c r="C121" t="s">
        <v>14</v>
      </c>
      <c r="D121" t="s">
        <v>19</v>
      </c>
      <c r="E121" s="2">
        <v>45992</v>
      </c>
      <c r="F121" s="3">
        <v>221135</v>
      </c>
      <c r="G121" s="3">
        <v>134895</v>
      </c>
      <c r="H121" s="3">
        <v>86240</v>
      </c>
      <c r="I121" s="3">
        <v>8815</v>
      </c>
      <c r="J121" s="4">
        <v>128.32</v>
      </c>
      <c r="K121" s="3">
        <v>122416</v>
      </c>
      <c r="L121" s="3">
        <v>98719</v>
      </c>
    </row>
    <row r="122" spans="1:12" x14ac:dyDescent="0.25">
      <c r="A122" t="s">
        <v>12</v>
      </c>
      <c r="B122" t="s">
        <v>13</v>
      </c>
      <c r="C122" t="s">
        <v>14</v>
      </c>
      <c r="D122" t="s">
        <v>20</v>
      </c>
      <c r="E122" s="2">
        <v>45292</v>
      </c>
      <c r="F122" s="3">
        <v>128937</v>
      </c>
      <c r="G122" s="3">
        <v>92300</v>
      </c>
      <c r="H122" s="3">
        <v>36637</v>
      </c>
      <c r="I122" s="3">
        <v>3044</v>
      </c>
      <c r="J122" s="4">
        <v>382.51</v>
      </c>
      <c r="K122" s="3">
        <v>73695</v>
      </c>
      <c r="L122" s="3">
        <v>55242</v>
      </c>
    </row>
    <row r="123" spans="1:12" x14ac:dyDescent="0.25">
      <c r="A123" t="s">
        <v>12</v>
      </c>
      <c r="B123" t="s">
        <v>13</v>
      </c>
      <c r="C123" t="s">
        <v>14</v>
      </c>
      <c r="D123" t="s">
        <v>20</v>
      </c>
      <c r="E123" s="2">
        <v>45323</v>
      </c>
      <c r="F123" s="3">
        <v>122255</v>
      </c>
      <c r="G123" s="3">
        <v>88264</v>
      </c>
      <c r="H123" s="3">
        <v>33991</v>
      </c>
      <c r="I123" s="3">
        <v>2876</v>
      </c>
      <c r="J123" s="4">
        <v>411.61</v>
      </c>
      <c r="K123" s="3">
        <v>68751</v>
      </c>
      <c r="L123" s="3">
        <v>53504</v>
      </c>
    </row>
    <row r="124" spans="1:12" x14ac:dyDescent="0.25">
      <c r="A124" t="s">
        <v>12</v>
      </c>
      <c r="B124" t="s">
        <v>13</v>
      </c>
      <c r="C124" t="s">
        <v>14</v>
      </c>
      <c r="D124" t="s">
        <v>20</v>
      </c>
      <c r="E124" s="2">
        <v>45352</v>
      </c>
      <c r="F124" s="3">
        <v>106845</v>
      </c>
      <c r="G124" s="3">
        <v>78004</v>
      </c>
      <c r="H124" s="3">
        <v>28841</v>
      </c>
      <c r="I124" s="3">
        <v>2495</v>
      </c>
      <c r="J124" s="4">
        <v>384.71</v>
      </c>
      <c r="K124" s="3">
        <v>60661</v>
      </c>
      <c r="L124" s="3">
        <v>46184</v>
      </c>
    </row>
    <row r="125" spans="1:12" x14ac:dyDescent="0.25">
      <c r="A125" t="s">
        <v>12</v>
      </c>
      <c r="B125" t="s">
        <v>13</v>
      </c>
      <c r="C125" t="s">
        <v>14</v>
      </c>
      <c r="D125" t="s">
        <v>20</v>
      </c>
      <c r="E125" s="2">
        <v>45383</v>
      </c>
      <c r="F125" s="3">
        <v>117503</v>
      </c>
      <c r="G125" s="3">
        <v>84502</v>
      </c>
      <c r="H125" s="3">
        <v>33001</v>
      </c>
      <c r="I125" s="3">
        <v>2784</v>
      </c>
      <c r="J125" s="4">
        <v>381.13</v>
      </c>
      <c r="K125" s="3">
        <v>67020</v>
      </c>
      <c r="L125" s="3">
        <v>50483</v>
      </c>
    </row>
    <row r="126" spans="1:12" x14ac:dyDescent="0.25">
      <c r="A126" t="s">
        <v>12</v>
      </c>
      <c r="B126" t="s">
        <v>13</v>
      </c>
      <c r="C126" t="s">
        <v>14</v>
      </c>
      <c r="D126" t="s">
        <v>20</v>
      </c>
      <c r="E126" s="2">
        <v>45413</v>
      </c>
      <c r="F126" s="3">
        <v>116967</v>
      </c>
      <c r="G126" s="3">
        <v>85761</v>
      </c>
      <c r="H126" s="3">
        <v>31206</v>
      </c>
      <c r="I126" s="3">
        <v>2702</v>
      </c>
      <c r="J126" s="4">
        <v>414.51</v>
      </c>
      <c r="K126" s="3">
        <v>67623</v>
      </c>
      <c r="L126" s="3">
        <v>49344</v>
      </c>
    </row>
    <row r="127" spans="1:12" x14ac:dyDescent="0.25">
      <c r="A127" t="s">
        <v>12</v>
      </c>
      <c r="B127" t="s">
        <v>13</v>
      </c>
      <c r="C127" t="s">
        <v>14</v>
      </c>
      <c r="D127" t="s">
        <v>20</v>
      </c>
      <c r="E127" s="2">
        <v>45444</v>
      </c>
      <c r="F127" s="3">
        <v>123471</v>
      </c>
      <c r="G127" s="3">
        <v>88542</v>
      </c>
      <c r="H127" s="3">
        <v>34929</v>
      </c>
      <c r="I127" s="3">
        <v>2903</v>
      </c>
      <c r="J127" s="4">
        <v>404.42</v>
      </c>
      <c r="K127" s="3">
        <v>68984</v>
      </c>
      <c r="L127" s="3">
        <v>54487</v>
      </c>
    </row>
    <row r="128" spans="1:12" x14ac:dyDescent="0.25">
      <c r="A128" t="s">
        <v>12</v>
      </c>
      <c r="B128" t="s">
        <v>13</v>
      </c>
      <c r="C128" t="s">
        <v>14</v>
      </c>
      <c r="D128" t="s">
        <v>20</v>
      </c>
      <c r="E128" s="2">
        <v>45474</v>
      </c>
      <c r="F128" s="3">
        <v>130597</v>
      </c>
      <c r="G128" s="3">
        <v>92549</v>
      </c>
      <c r="H128" s="3">
        <v>38048</v>
      </c>
      <c r="I128" s="3">
        <v>3205</v>
      </c>
      <c r="J128" s="4">
        <v>401.75</v>
      </c>
      <c r="K128" s="3">
        <v>71811</v>
      </c>
      <c r="L128" s="3">
        <v>58786</v>
      </c>
    </row>
    <row r="129" spans="1:12" x14ac:dyDescent="0.25">
      <c r="A129" t="s">
        <v>12</v>
      </c>
      <c r="B129" t="s">
        <v>13</v>
      </c>
      <c r="C129" t="s">
        <v>14</v>
      </c>
      <c r="D129" t="s">
        <v>20</v>
      </c>
      <c r="E129" s="2">
        <v>45505</v>
      </c>
      <c r="F129" s="3">
        <v>125451</v>
      </c>
      <c r="G129" s="3">
        <v>90040</v>
      </c>
      <c r="H129" s="3">
        <v>35411</v>
      </c>
      <c r="I129" s="3">
        <v>3078</v>
      </c>
      <c r="J129" s="4">
        <v>385.02</v>
      </c>
      <c r="K129" s="3">
        <v>70675</v>
      </c>
      <c r="L129" s="3">
        <v>54776</v>
      </c>
    </row>
    <row r="130" spans="1:12" x14ac:dyDescent="0.25">
      <c r="A130" t="s">
        <v>12</v>
      </c>
      <c r="B130" t="s">
        <v>13</v>
      </c>
      <c r="C130" t="s">
        <v>14</v>
      </c>
      <c r="D130" t="s">
        <v>20</v>
      </c>
      <c r="E130" s="2">
        <v>45536</v>
      </c>
      <c r="F130" s="3">
        <v>145054</v>
      </c>
      <c r="G130" s="3">
        <v>103712</v>
      </c>
      <c r="H130" s="3">
        <v>41342</v>
      </c>
      <c r="I130" s="3">
        <v>3520</v>
      </c>
      <c r="J130" s="4">
        <v>410.79</v>
      </c>
      <c r="K130" s="3">
        <v>83621</v>
      </c>
      <c r="L130" s="3">
        <v>61433</v>
      </c>
    </row>
    <row r="131" spans="1:12" x14ac:dyDescent="0.25">
      <c r="A131" t="s">
        <v>12</v>
      </c>
      <c r="B131" t="s">
        <v>13</v>
      </c>
      <c r="C131" t="s">
        <v>14</v>
      </c>
      <c r="D131" t="s">
        <v>20</v>
      </c>
      <c r="E131" s="2">
        <v>45566</v>
      </c>
      <c r="F131" s="3">
        <v>138952</v>
      </c>
      <c r="G131" s="3">
        <v>99859</v>
      </c>
      <c r="H131" s="3">
        <v>39093</v>
      </c>
      <c r="I131" s="3">
        <v>3273</v>
      </c>
      <c r="J131" s="4">
        <v>404.67</v>
      </c>
      <c r="K131" s="3">
        <v>81727</v>
      </c>
      <c r="L131" s="3">
        <v>57225</v>
      </c>
    </row>
    <row r="132" spans="1:12" x14ac:dyDescent="0.25">
      <c r="A132" t="s">
        <v>12</v>
      </c>
      <c r="B132" t="s">
        <v>13</v>
      </c>
      <c r="C132" t="s">
        <v>14</v>
      </c>
      <c r="D132" t="s">
        <v>20</v>
      </c>
      <c r="E132" s="2">
        <v>45597</v>
      </c>
      <c r="F132" s="3">
        <v>134959</v>
      </c>
      <c r="G132" s="3">
        <v>95522</v>
      </c>
      <c r="H132" s="3">
        <v>39437</v>
      </c>
      <c r="I132" s="3">
        <v>3094</v>
      </c>
      <c r="J132" s="4">
        <v>407.42</v>
      </c>
      <c r="K132" s="3">
        <v>75039</v>
      </c>
      <c r="L132" s="3">
        <v>59920</v>
      </c>
    </row>
    <row r="133" spans="1:12" x14ac:dyDescent="0.25">
      <c r="A133" t="s">
        <v>12</v>
      </c>
      <c r="B133" t="s">
        <v>13</v>
      </c>
      <c r="C133" t="s">
        <v>14</v>
      </c>
      <c r="D133" t="s">
        <v>20</v>
      </c>
      <c r="E133" s="2">
        <v>45627</v>
      </c>
      <c r="F133" s="3">
        <v>140737</v>
      </c>
      <c r="G133" s="3">
        <v>101986</v>
      </c>
      <c r="H133" s="3">
        <v>38751</v>
      </c>
      <c r="I133" s="3">
        <v>3290</v>
      </c>
      <c r="J133" s="4">
        <v>403.03</v>
      </c>
      <c r="K133" s="3">
        <v>82570</v>
      </c>
      <c r="L133" s="3">
        <v>58167</v>
      </c>
    </row>
    <row r="134" spans="1:12" x14ac:dyDescent="0.25">
      <c r="A134" t="s">
        <v>12</v>
      </c>
      <c r="B134" t="s">
        <v>13</v>
      </c>
      <c r="C134" t="s">
        <v>14</v>
      </c>
      <c r="D134" t="s">
        <v>20</v>
      </c>
      <c r="E134" s="2">
        <v>45658</v>
      </c>
      <c r="F134" s="3">
        <v>128112</v>
      </c>
      <c r="G134" s="3">
        <v>93740</v>
      </c>
      <c r="H134" s="3">
        <v>34372</v>
      </c>
      <c r="I134" s="3">
        <v>3117</v>
      </c>
      <c r="J134" s="4">
        <v>400.78</v>
      </c>
      <c r="K134" s="3">
        <v>74884</v>
      </c>
      <c r="L134" s="3">
        <v>53228</v>
      </c>
    </row>
    <row r="135" spans="1:12" x14ac:dyDescent="0.25">
      <c r="A135" t="s">
        <v>12</v>
      </c>
      <c r="B135" t="s">
        <v>13</v>
      </c>
      <c r="C135" t="s">
        <v>14</v>
      </c>
      <c r="D135" t="s">
        <v>20</v>
      </c>
      <c r="E135" s="2">
        <v>45689</v>
      </c>
      <c r="F135" s="3">
        <v>118554</v>
      </c>
      <c r="G135" s="3">
        <v>86427</v>
      </c>
      <c r="H135" s="3">
        <v>32127</v>
      </c>
      <c r="I135" s="3">
        <v>2742</v>
      </c>
      <c r="J135" s="4">
        <v>403.5</v>
      </c>
      <c r="K135" s="3">
        <v>68209</v>
      </c>
      <c r="L135" s="3">
        <v>50345</v>
      </c>
    </row>
    <row r="136" spans="1:12" x14ac:dyDescent="0.25">
      <c r="A136" t="s">
        <v>12</v>
      </c>
      <c r="B136" t="s">
        <v>13</v>
      </c>
      <c r="C136" t="s">
        <v>14</v>
      </c>
      <c r="D136" t="s">
        <v>20</v>
      </c>
      <c r="E136" s="2">
        <v>45717</v>
      </c>
      <c r="F136" s="3">
        <v>123677</v>
      </c>
      <c r="G136" s="3">
        <v>89822</v>
      </c>
      <c r="H136" s="3">
        <v>33855</v>
      </c>
      <c r="I136" s="3">
        <v>2806</v>
      </c>
      <c r="J136" s="4">
        <v>387.05</v>
      </c>
      <c r="K136" s="3">
        <v>68115</v>
      </c>
      <c r="L136" s="3">
        <v>55562</v>
      </c>
    </row>
    <row r="137" spans="1:12" x14ac:dyDescent="0.25">
      <c r="A137" t="s">
        <v>12</v>
      </c>
      <c r="B137" t="s">
        <v>13</v>
      </c>
      <c r="C137" t="s">
        <v>14</v>
      </c>
      <c r="D137" t="s">
        <v>20</v>
      </c>
      <c r="E137" s="2">
        <v>45748</v>
      </c>
      <c r="F137" s="3">
        <v>120573</v>
      </c>
      <c r="G137" s="3">
        <v>86970</v>
      </c>
      <c r="H137" s="3">
        <v>33603</v>
      </c>
      <c r="I137" s="3">
        <v>3012</v>
      </c>
      <c r="J137" s="4">
        <v>407.62</v>
      </c>
      <c r="K137" s="3">
        <v>70080</v>
      </c>
      <c r="L137" s="3">
        <v>50493</v>
      </c>
    </row>
    <row r="138" spans="1:12" x14ac:dyDescent="0.25">
      <c r="A138" t="s">
        <v>12</v>
      </c>
      <c r="B138" t="s">
        <v>13</v>
      </c>
      <c r="C138" t="s">
        <v>14</v>
      </c>
      <c r="D138" t="s">
        <v>20</v>
      </c>
      <c r="E138" s="2">
        <v>45778</v>
      </c>
      <c r="F138" s="3">
        <v>122685</v>
      </c>
      <c r="G138" s="3">
        <v>87340</v>
      </c>
      <c r="H138" s="3">
        <v>35345</v>
      </c>
      <c r="I138" s="3">
        <v>2938</v>
      </c>
      <c r="J138" s="4">
        <v>402.75</v>
      </c>
      <c r="K138" s="3">
        <v>71699</v>
      </c>
      <c r="L138" s="3">
        <v>50986</v>
      </c>
    </row>
    <row r="139" spans="1:12" x14ac:dyDescent="0.25">
      <c r="A139" t="s">
        <v>12</v>
      </c>
      <c r="B139" t="s">
        <v>13</v>
      </c>
      <c r="C139" t="s">
        <v>14</v>
      </c>
      <c r="D139" t="s">
        <v>20</v>
      </c>
      <c r="E139" s="2">
        <v>45809</v>
      </c>
      <c r="F139" s="3">
        <v>126649</v>
      </c>
      <c r="G139" s="3">
        <v>90480</v>
      </c>
      <c r="H139" s="3">
        <v>36169</v>
      </c>
      <c r="I139" s="3">
        <v>3057</v>
      </c>
      <c r="J139" s="4">
        <v>410.43</v>
      </c>
      <c r="K139" s="3">
        <v>72491</v>
      </c>
      <c r="L139" s="3">
        <v>54158</v>
      </c>
    </row>
    <row r="140" spans="1:12" x14ac:dyDescent="0.25">
      <c r="A140" t="s">
        <v>12</v>
      </c>
      <c r="B140" t="s">
        <v>13</v>
      </c>
      <c r="C140" t="s">
        <v>14</v>
      </c>
      <c r="D140" t="s">
        <v>20</v>
      </c>
      <c r="E140" s="2">
        <v>45839</v>
      </c>
      <c r="F140" s="3">
        <v>138315</v>
      </c>
      <c r="G140" s="3">
        <v>98632</v>
      </c>
      <c r="H140" s="3">
        <v>39683</v>
      </c>
      <c r="I140" s="3">
        <v>3291</v>
      </c>
      <c r="J140" s="4">
        <v>399.29</v>
      </c>
      <c r="K140" s="3">
        <v>79936</v>
      </c>
      <c r="L140" s="3">
        <v>58379</v>
      </c>
    </row>
    <row r="141" spans="1:12" x14ac:dyDescent="0.25">
      <c r="A141" t="s">
        <v>12</v>
      </c>
      <c r="B141" t="s">
        <v>13</v>
      </c>
      <c r="C141" t="s">
        <v>14</v>
      </c>
      <c r="D141" t="s">
        <v>20</v>
      </c>
      <c r="E141" s="2">
        <v>45870</v>
      </c>
      <c r="F141" s="3">
        <v>144086</v>
      </c>
      <c r="G141" s="3">
        <v>104526</v>
      </c>
      <c r="H141" s="3">
        <v>39560</v>
      </c>
      <c r="I141" s="3">
        <v>3400</v>
      </c>
      <c r="J141" s="4">
        <v>394.41</v>
      </c>
      <c r="K141" s="3">
        <v>81280</v>
      </c>
      <c r="L141" s="3">
        <v>62806</v>
      </c>
    </row>
    <row r="142" spans="1:12" x14ac:dyDescent="0.25">
      <c r="A142" t="s">
        <v>12</v>
      </c>
      <c r="B142" t="s">
        <v>13</v>
      </c>
      <c r="C142" t="s">
        <v>14</v>
      </c>
      <c r="D142" t="s">
        <v>20</v>
      </c>
      <c r="E142" s="2">
        <v>45901</v>
      </c>
      <c r="F142" s="3">
        <v>150935</v>
      </c>
      <c r="G142" s="3">
        <v>108317</v>
      </c>
      <c r="H142" s="3">
        <v>42618</v>
      </c>
      <c r="I142" s="3">
        <v>3774</v>
      </c>
      <c r="J142" s="4">
        <v>390.29</v>
      </c>
      <c r="K142" s="3">
        <v>85423</v>
      </c>
      <c r="L142" s="3">
        <v>65512</v>
      </c>
    </row>
    <row r="143" spans="1:12" x14ac:dyDescent="0.25">
      <c r="A143" t="s">
        <v>12</v>
      </c>
      <c r="B143" t="s">
        <v>13</v>
      </c>
      <c r="C143" t="s">
        <v>14</v>
      </c>
      <c r="D143" t="s">
        <v>20</v>
      </c>
      <c r="E143" s="2">
        <v>45931</v>
      </c>
      <c r="F143" s="3">
        <v>143180</v>
      </c>
      <c r="G143" s="3">
        <v>104869</v>
      </c>
      <c r="H143" s="3">
        <v>38311</v>
      </c>
      <c r="I143" s="3">
        <v>3374</v>
      </c>
      <c r="J143" s="4">
        <v>393.94</v>
      </c>
      <c r="K143" s="3">
        <v>82773</v>
      </c>
      <c r="L143" s="3">
        <v>60407</v>
      </c>
    </row>
    <row r="144" spans="1:12" x14ac:dyDescent="0.25">
      <c r="A144" t="s">
        <v>12</v>
      </c>
      <c r="B144" t="s">
        <v>13</v>
      </c>
      <c r="C144" t="s">
        <v>14</v>
      </c>
      <c r="D144" t="s">
        <v>20</v>
      </c>
      <c r="E144" s="2">
        <v>45962</v>
      </c>
      <c r="F144" s="3">
        <v>151594</v>
      </c>
      <c r="G144" s="3">
        <v>110528</v>
      </c>
      <c r="H144" s="3">
        <v>41066</v>
      </c>
      <c r="I144" s="3">
        <v>3505</v>
      </c>
      <c r="J144" s="4">
        <v>415.56</v>
      </c>
      <c r="K144" s="3">
        <v>87008</v>
      </c>
      <c r="L144" s="3">
        <v>64586</v>
      </c>
    </row>
    <row r="145" spans="1:12" x14ac:dyDescent="0.25">
      <c r="A145" t="s">
        <v>12</v>
      </c>
      <c r="B145" t="s">
        <v>13</v>
      </c>
      <c r="C145" t="s">
        <v>14</v>
      </c>
      <c r="D145" t="s">
        <v>20</v>
      </c>
      <c r="E145" s="2">
        <v>45992</v>
      </c>
      <c r="F145" s="3">
        <v>148230</v>
      </c>
      <c r="G145" s="3">
        <v>108110</v>
      </c>
      <c r="H145" s="3">
        <v>40120</v>
      </c>
      <c r="I145" s="3">
        <v>3577</v>
      </c>
      <c r="J145" s="4">
        <v>380.82</v>
      </c>
      <c r="K145" s="3">
        <v>83047</v>
      </c>
      <c r="L145" s="3">
        <v>65183</v>
      </c>
    </row>
    <row r="146" spans="1:12" x14ac:dyDescent="0.25">
      <c r="A146" t="s">
        <v>12</v>
      </c>
      <c r="B146" t="s">
        <v>13</v>
      </c>
      <c r="C146" t="s">
        <v>14</v>
      </c>
      <c r="D146" t="s">
        <v>21</v>
      </c>
      <c r="E146" s="2">
        <v>45292</v>
      </c>
      <c r="F146" s="3">
        <v>118203</v>
      </c>
      <c r="G146" s="3">
        <v>68084</v>
      </c>
      <c r="H146" s="3">
        <v>50119</v>
      </c>
      <c r="I146" s="3">
        <v>1424</v>
      </c>
      <c r="J146" s="4">
        <v>170.31</v>
      </c>
      <c r="K146" s="3">
        <v>67975</v>
      </c>
      <c r="L146" s="3">
        <v>50228</v>
      </c>
    </row>
    <row r="147" spans="1:12" x14ac:dyDescent="0.25">
      <c r="A147" t="s">
        <v>12</v>
      </c>
      <c r="B147" t="s">
        <v>13</v>
      </c>
      <c r="C147" t="s">
        <v>14</v>
      </c>
      <c r="D147" t="s">
        <v>21</v>
      </c>
      <c r="E147" s="2">
        <v>45323</v>
      </c>
      <c r="F147" s="3">
        <v>106559</v>
      </c>
      <c r="G147" s="3">
        <v>61233</v>
      </c>
      <c r="H147" s="3">
        <v>45326</v>
      </c>
      <c r="I147" s="3">
        <v>1255</v>
      </c>
      <c r="J147" s="4">
        <v>168.12</v>
      </c>
      <c r="K147" s="3">
        <v>62196</v>
      </c>
      <c r="L147" s="3">
        <v>44363</v>
      </c>
    </row>
    <row r="148" spans="1:12" x14ac:dyDescent="0.25">
      <c r="A148" t="s">
        <v>12</v>
      </c>
      <c r="B148" t="s">
        <v>13</v>
      </c>
      <c r="C148" t="s">
        <v>14</v>
      </c>
      <c r="D148" t="s">
        <v>21</v>
      </c>
      <c r="E148" s="2">
        <v>45352</v>
      </c>
      <c r="F148" s="3">
        <v>108089</v>
      </c>
      <c r="G148" s="3">
        <v>62851</v>
      </c>
      <c r="H148" s="3">
        <v>45238</v>
      </c>
      <c r="I148" s="3">
        <v>1304</v>
      </c>
      <c r="J148" s="4">
        <v>160.97999999999999</v>
      </c>
      <c r="K148" s="3">
        <v>62906</v>
      </c>
      <c r="L148" s="3">
        <v>45183</v>
      </c>
    </row>
    <row r="149" spans="1:12" x14ac:dyDescent="0.25">
      <c r="A149" t="s">
        <v>12</v>
      </c>
      <c r="B149" t="s">
        <v>13</v>
      </c>
      <c r="C149" t="s">
        <v>14</v>
      </c>
      <c r="D149" t="s">
        <v>21</v>
      </c>
      <c r="E149" s="2">
        <v>45383</v>
      </c>
      <c r="F149" s="3">
        <v>105562</v>
      </c>
      <c r="G149" s="3">
        <v>61540</v>
      </c>
      <c r="H149" s="3">
        <v>44022</v>
      </c>
      <c r="I149" s="3">
        <v>1257</v>
      </c>
      <c r="J149" s="4">
        <v>164.92</v>
      </c>
      <c r="K149" s="3">
        <v>59349</v>
      </c>
      <c r="L149" s="3">
        <v>46213</v>
      </c>
    </row>
    <row r="150" spans="1:12" x14ac:dyDescent="0.25">
      <c r="A150" t="s">
        <v>12</v>
      </c>
      <c r="B150" t="s">
        <v>13</v>
      </c>
      <c r="C150" t="s">
        <v>14</v>
      </c>
      <c r="D150" t="s">
        <v>21</v>
      </c>
      <c r="E150" s="2">
        <v>45413</v>
      </c>
      <c r="F150" s="3">
        <v>107365</v>
      </c>
      <c r="G150" s="3">
        <v>61623</v>
      </c>
      <c r="H150" s="3">
        <v>45742</v>
      </c>
      <c r="I150" s="3">
        <v>1301</v>
      </c>
      <c r="J150" s="4">
        <v>160.38</v>
      </c>
      <c r="K150" s="3">
        <v>59452</v>
      </c>
      <c r="L150" s="3">
        <v>47913</v>
      </c>
    </row>
    <row r="151" spans="1:12" x14ac:dyDescent="0.25">
      <c r="A151" t="s">
        <v>12</v>
      </c>
      <c r="B151" t="s">
        <v>13</v>
      </c>
      <c r="C151" t="s">
        <v>14</v>
      </c>
      <c r="D151" t="s">
        <v>21</v>
      </c>
      <c r="E151" s="2">
        <v>45444</v>
      </c>
      <c r="F151" s="3">
        <v>120526</v>
      </c>
      <c r="G151" s="3">
        <v>70286</v>
      </c>
      <c r="H151" s="3">
        <v>50240</v>
      </c>
      <c r="I151" s="3">
        <v>1458</v>
      </c>
      <c r="J151" s="4">
        <v>175.83</v>
      </c>
      <c r="K151" s="3">
        <v>70224</v>
      </c>
      <c r="L151" s="3">
        <v>50302</v>
      </c>
    </row>
    <row r="152" spans="1:12" x14ac:dyDescent="0.25">
      <c r="A152" t="s">
        <v>12</v>
      </c>
      <c r="B152" t="s">
        <v>13</v>
      </c>
      <c r="C152" t="s">
        <v>14</v>
      </c>
      <c r="D152" t="s">
        <v>21</v>
      </c>
      <c r="E152" s="2">
        <v>45474</v>
      </c>
      <c r="F152" s="3">
        <v>129302</v>
      </c>
      <c r="G152" s="3">
        <v>75745</v>
      </c>
      <c r="H152" s="3">
        <v>53557</v>
      </c>
      <c r="I152" s="3">
        <v>1533</v>
      </c>
      <c r="J152" s="4">
        <v>161.97999999999999</v>
      </c>
      <c r="K152" s="3">
        <v>72671</v>
      </c>
      <c r="L152" s="3">
        <v>56631</v>
      </c>
    </row>
    <row r="153" spans="1:12" x14ac:dyDescent="0.25">
      <c r="A153" t="s">
        <v>12</v>
      </c>
      <c r="B153" t="s">
        <v>13</v>
      </c>
      <c r="C153" t="s">
        <v>14</v>
      </c>
      <c r="D153" t="s">
        <v>21</v>
      </c>
      <c r="E153" s="2">
        <v>45505</v>
      </c>
      <c r="F153" s="3">
        <v>127158</v>
      </c>
      <c r="G153" s="3">
        <v>74819</v>
      </c>
      <c r="H153" s="3">
        <v>52339</v>
      </c>
      <c r="I153" s="3">
        <v>1531</v>
      </c>
      <c r="J153" s="4">
        <v>166.44</v>
      </c>
      <c r="K153" s="3">
        <v>72229</v>
      </c>
      <c r="L153" s="3">
        <v>54929</v>
      </c>
    </row>
    <row r="154" spans="1:12" x14ac:dyDescent="0.25">
      <c r="A154" t="s">
        <v>12</v>
      </c>
      <c r="B154" t="s">
        <v>13</v>
      </c>
      <c r="C154" t="s">
        <v>14</v>
      </c>
      <c r="D154" t="s">
        <v>21</v>
      </c>
      <c r="E154" s="2">
        <v>45536</v>
      </c>
      <c r="F154" s="3">
        <v>145788</v>
      </c>
      <c r="G154" s="3">
        <v>85861</v>
      </c>
      <c r="H154" s="3">
        <v>59927</v>
      </c>
      <c r="I154" s="3">
        <v>1786</v>
      </c>
      <c r="J154" s="4">
        <v>168.27</v>
      </c>
      <c r="K154" s="3">
        <v>80675</v>
      </c>
      <c r="L154" s="3">
        <v>65113</v>
      </c>
    </row>
    <row r="155" spans="1:12" x14ac:dyDescent="0.25">
      <c r="A155" t="s">
        <v>12</v>
      </c>
      <c r="B155" t="s">
        <v>13</v>
      </c>
      <c r="C155" t="s">
        <v>14</v>
      </c>
      <c r="D155" t="s">
        <v>21</v>
      </c>
      <c r="E155" s="2">
        <v>45566</v>
      </c>
      <c r="F155" s="3">
        <v>139030</v>
      </c>
      <c r="G155" s="3">
        <v>79837</v>
      </c>
      <c r="H155" s="3">
        <v>59193</v>
      </c>
      <c r="I155" s="3">
        <v>1596</v>
      </c>
      <c r="J155" s="4">
        <v>168.42</v>
      </c>
      <c r="K155" s="3">
        <v>78277</v>
      </c>
      <c r="L155" s="3">
        <v>60753</v>
      </c>
    </row>
    <row r="156" spans="1:12" x14ac:dyDescent="0.25">
      <c r="A156" t="s">
        <v>12</v>
      </c>
      <c r="B156" t="s">
        <v>13</v>
      </c>
      <c r="C156" t="s">
        <v>14</v>
      </c>
      <c r="D156" t="s">
        <v>21</v>
      </c>
      <c r="E156" s="2">
        <v>45597</v>
      </c>
      <c r="F156" s="3">
        <v>143389</v>
      </c>
      <c r="G156" s="3">
        <v>85381</v>
      </c>
      <c r="H156" s="3">
        <v>58008</v>
      </c>
      <c r="I156" s="3">
        <v>1632</v>
      </c>
      <c r="J156" s="4">
        <v>172.84</v>
      </c>
      <c r="K156" s="3">
        <v>80528</v>
      </c>
      <c r="L156" s="3">
        <v>62861</v>
      </c>
    </row>
    <row r="157" spans="1:12" x14ac:dyDescent="0.25">
      <c r="A157" t="s">
        <v>12</v>
      </c>
      <c r="B157" t="s">
        <v>13</v>
      </c>
      <c r="C157" t="s">
        <v>14</v>
      </c>
      <c r="D157" t="s">
        <v>21</v>
      </c>
      <c r="E157" s="2">
        <v>45627</v>
      </c>
      <c r="F157" s="3">
        <v>133221</v>
      </c>
      <c r="G157" s="3">
        <v>78064</v>
      </c>
      <c r="H157" s="3">
        <v>55157</v>
      </c>
      <c r="I157" s="3">
        <v>1515</v>
      </c>
      <c r="J157" s="4">
        <v>174.19</v>
      </c>
      <c r="K157" s="3">
        <v>73707</v>
      </c>
      <c r="L157" s="3">
        <v>59514</v>
      </c>
    </row>
    <row r="158" spans="1:12" x14ac:dyDescent="0.25">
      <c r="A158" t="s">
        <v>12</v>
      </c>
      <c r="B158" t="s">
        <v>13</v>
      </c>
      <c r="C158" t="s">
        <v>14</v>
      </c>
      <c r="D158" t="s">
        <v>21</v>
      </c>
      <c r="E158" s="2">
        <v>45658</v>
      </c>
      <c r="F158" s="3">
        <v>142898</v>
      </c>
      <c r="G158" s="3">
        <v>81714</v>
      </c>
      <c r="H158" s="3">
        <v>61184</v>
      </c>
      <c r="I158" s="3">
        <v>1703</v>
      </c>
      <c r="J158" s="4">
        <v>171.74</v>
      </c>
      <c r="K158" s="3">
        <v>78403</v>
      </c>
      <c r="L158" s="3">
        <v>64495</v>
      </c>
    </row>
    <row r="159" spans="1:12" x14ac:dyDescent="0.25">
      <c r="A159" t="s">
        <v>12</v>
      </c>
      <c r="B159" t="s">
        <v>13</v>
      </c>
      <c r="C159" t="s">
        <v>14</v>
      </c>
      <c r="D159" t="s">
        <v>21</v>
      </c>
      <c r="E159" s="2">
        <v>45689</v>
      </c>
      <c r="F159" s="3">
        <v>136904</v>
      </c>
      <c r="G159" s="3">
        <v>79064</v>
      </c>
      <c r="H159" s="3">
        <v>57840</v>
      </c>
      <c r="I159" s="3">
        <v>1607</v>
      </c>
      <c r="J159" s="4">
        <v>164.22</v>
      </c>
      <c r="K159" s="3">
        <v>77114</v>
      </c>
      <c r="L159" s="3">
        <v>59790</v>
      </c>
    </row>
    <row r="160" spans="1:12" x14ac:dyDescent="0.25">
      <c r="A160" t="s">
        <v>12</v>
      </c>
      <c r="B160" t="s">
        <v>13</v>
      </c>
      <c r="C160" t="s">
        <v>14</v>
      </c>
      <c r="D160" t="s">
        <v>21</v>
      </c>
      <c r="E160" s="2">
        <v>45717</v>
      </c>
      <c r="F160" s="3">
        <v>130127</v>
      </c>
      <c r="G160" s="3">
        <v>75834</v>
      </c>
      <c r="H160" s="3">
        <v>54293</v>
      </c>
      <c r="I160" s="3">
        <v>1605</v>
      </c>
      <c r="J160" s="4">
        <v>165.53</v>
      </c>
      <c r="K160" s="3">
        <v>74310</v>
      </c>
      <c r="L160" s="3">
        <v>55817</v>
      </c>
    </row>
    <row r="161" spans="1:12" x14ac:dyDescent="0.25">
      <c r="A161" t="s">
        <v>12</v>
      </c>
      <c r="B161" t="s">
        <v>13</v>
      </c>
      <c r="C161" t="s">
        <v>14</v>
      </c>
      <c r="D161" t="s">
        <v>21</v>
      </c>
      <c r="E161" s="2">
        <v>45748</v>
      </c>
      <c r="F161" s="3">
        <v>122747</v>
      </c>
      <c r="G161" s="3">
        <v>72264</v>
      </c>
      <c r="H161" s="3">
        <v>50483</v>
      </c>
      <c r="I161" s="3">
        <v>1399</v>
      </c>
      <c r="J161" s="4">
        <v>173.16</v>
      </c>
      <c r="K161" s="3">
        <v>68274</v>
      </c>
      <c r="L161" s="3">
        <v>54473</v>
      </c>
    </row>
    <row r="162" spans="1:12" x14ac:dyDescent="0.25">
      <c r="A162" t="s">
        <v>12</v>
      </c>
      <c r="B162" t="s">
        <v>13</v>
      </c>
      <c r="C162" t="s">
        <v>14</v>
      </c>
      <c r="D162" t="s">
        <v>21</v>
      </c>
      <c r="E162" s="2">
        <v>45778</v>
      </c>
      <c r="F162" s="3">
        <v>130101</v>
      </c>
      <c r="G162" s="3">
        <v>77422</v>
      </c>
      <c r="H162" s="3">
        <v>52679</v>
      </c>
      <c r="I162" s="3">
        <v>1552</v>
      </c>
      <c r="J162" s="4">
        <v>169.67</v>
      </c>
      <c r="K162" s="3">
        <v>73258</v>
      </c>
      <c r="L162" s="3">
        <v>56843</v>
      </c>
    </row>
    <row r="163" spans="1:12" x14ac:dyDescent="0.25">
      <c r="A163" t="s">
        <v>12</v>
      </c>
      <c r="B163" t="s">
        <v>13</v>
      </c>
      <c r="C163" t="s">
        <v>14</v>
      </c>
      <c r="D163" t="s">
        <v>21</v>
      </c>
      <c r="E163" s="2">
        <v>45809</v>
      </c>
      <c r="F163" s="3">
        <v>145827</v>
      </c>
      <c r="G163" s="3">
        <v>86664</v>
      </c>
      <c r="H163" s="3">
        <v>59163</v>
      </c>
      <c r="I163" s="3">
        <v>1675</v>
      </c>
      <c r="J163" s="4">
        <v>172.19</v>
      </c>
      <c r="K163" s="3">
        <v>80436</v>
      </c>
      <c r="L163" s="3">
        <v>65391</v>
      </c>
    </row>
    <row r="164" spans="1:12" x14ac:dyDescent="0.25">
      <c r="A164" t="s">
        <v>12</v>
      </c>
      <c r="B164" t="s">
        <v>13</v>
      </c>
      <c r="C164" t="s">
        <v>14</v>
      </c>
      <c r="D164" t="s">
        <v>21</v>
      </c>
      <c r="E164" s="2">
        <v>45839</v>
      </c>
      <c r="F164" s="3">
        <v>146524</v>
      </c>
      <c r="G164" s="3">
        <v>83817</v>
      </c>
      <c r="H164" s="3">
        <v>62707</v>
      </c>
      <c r="I164" s="3">
        <v>1656</v>
      </c>
      <c r="J164" s="4">
        <v>165.14</v>
      </c>
      <c r="K164" s="3">
        <v>83529</v>
      </c>
      <c r="L164" s="3">
        <v>62995</v>
      </c>
    </row>
    <row r="165" spans="1:12" x14ac:dyDescent="0.25">
      <c r="A165" t="s">
        <v>12</v>
      </c>
      <c r="B165" t="s">
        <v>13</v>
      </c>
      <c r="C165" t="s">
        <v>14</v>
      </c>
      <c r="D165" t="s">
        <v>21</v>
      </c>
      <c r="E165" s="2">
        <v>45870</v>
      </c>
      <c r="F165" s="3">
        <v>162028</v>
      </c>
      <c r="G165" s="3">
        <v>96482</v>
      </c>
      <c r="H165" s="3">
        <v>65546</v>
      </c>
      <c r="I165" s="3">
        <v>1908</v>
      </c>
      <c r="J165" s="4">
        <v>161.97999999999999</v>
      </c>
      <c r="K165" s="3">
        <v>90736</v>
      </c>
      <c r="L165" s="3">
        <v>71292</v>
      </c>
    </row>
    <row r="166" spans="1:12" x14ac:dyDescent="0.25">
      <c r="A166" t="s">
        <v>12</v>
      </c>
      <c r="B166" t="s">
        <v>13</v>
      </c>
      <c r="C166" t="s">
        <v>14</v>
      </c>
      <c r="D166" t="s">
        <v>21</v>
      </c>
      <c r="E166" s="2">
        <v>45901</v>
      </c>
      <c r="F166" s="3">
        <v>172830</v>
      </c>
      <c r="G166" s="3">
        <v>100733</v>
      </c>
      <c r="H166" s="3">
        <v>72097</v>
      </c>
      <c r="I166" s="3">
        <v>1968</v>
      </c>
      <c r="J166" s="4">
        <v>170.58</v>
      </c>
      <c r="K166" s="3">
        <v>102165</v>
      </c>
      <c r="L166" s="3">
        <v>70665</v>
      </c>
    </row>
    <row r="167" spans="1:12" x14ac:dyDescent="0.25">
      <c r="A167" t="s">
        <v>12</v>
      </c>
      <c r="B167" t="s">
        <v>13</v>
      </c>
      <c r="C167" t="s">
        <v>14</v>
      </c>
      <c r="D167" t="s">
        <v>21</v>
      </c>
      <c r="E167" s="2">
        <v>45931</v>
      </c>
      <c r="F167" s="3">
        <v>159310</v>
      </c>
      <c r="G167" s="3">
        <v>92931</v>
      </c>
      <c r="H167" s="3">
        <v>66379</v>
      </c>
      <c r="I167" s="3">
        <v>1902</v>
      </c>
      <c r="J167" s="4">
        <v>162.94</v>
      </c>
      <c r="K167" s="3">
        <v>88357</v>
      </c>
      <c r="L167" s="3">
        <v>70953</v>
      </c>
    </row>
    <row r="168" spans="1:12" x14ac:dyDescent="0.25">
      <c r="A168" t="s">
        <v>12</v>
      </c>
      <c r="B168" t="s">
        <v>13</v>
      </c>
      <c r="C168" t="s">
        <v>14</v>
      </c>
      <c r="D168" t="s">
        <v>21</v>
      </c>
      <c r="E168" s="2">
        <v>45962</v>
      </c>
      <c r="F168" s="3">
        <v>171506</v>
      </c>
      <c r="G168" s="3">
        <v>100945</v>
      </c>
      <c r="H168" s="3">
        <v>70561</v>
      </c>
      <c r="I168" s="3">
        <v>1922</v>
      </c>
      <c r="J168" s="4">
        <v>164.52</v>
      </c>
      <c r="K168" s="3">
        <v>96479</v>
      </c>
      <c r="L168" s="3">
        <v>75027</v>
      </c>
    </row>
    <row r="169" spans="1:12" x14ac:dyDescent="0.25">
      <c r="A169" t="s">
        <v>12</v>
      </c>
      <c r="B169" t="s">
        <v>13</v>
      </c>
      <c r="C169" t="s">
        <v>14</v>
      </c>
      <c r="D169" t="s">
        <v>21</v>
      </c>
      <c r="E169" s="2">
        <v>45992</v>
      </c>
      <c r="F169" s="3">
        <v>162906</v>
      </c>
      <c r="G169" s="3">
        <v>95913</v>
      </c>
      <c r="H169" s="3">
        <v>66993</v>
      </c>
      <c r="I169" s="3">
        <v>1935</v>
      </c>
      <c r="J169" s="4">
        <v>176.41</v>
      </c>
      <c r="K169" s="3">
        <v>92169</v>
      </c>
      <c r="L169" s="3">
        <v>70737</v>
      </c>
    </row>
    <row r="170" spans="1:12" x14ac:dyDescent="0.25">
      <c r="A170" t="s">
        <v>12</v>
      </c>
      <c r="B170" t="s">
        <v>13</v>
      </c>
      <c r="C170" t="s">
        <v>14</v>
      </c>
      <c r="D170" t="s">
        <v>22</v>
      </c>
      <c r="E170" s="2">
        <v>45292</v>
      </c>
      <c r="F170" s="3">
        <v>67261</v>
      </c>
      <c r="G170" s="3">
        <v>37354</v>
      </c>
      <c r="H170" s="3">
        <v>29907</v>
      </c>
      <c r="I170" s="3">
        <v>7518</v>
      </c>
      <c r="J170" s="4">
        <v>80.7</v>
      </c>
      <c r="K170" s="3">
        <v>37348</v>
      </c>
      <c r="L170" s="3">
        <v>29913</v>
      </c>
    </row>
    <row r="171" spans="1:12" x14ac:dyDescent="0.25">
      <c r="A171" t="s">
        <v>12</v>
      </c>
      <c r="B171" t="s">
        <v>13</v>
      </c>
      <c r="C171" t="s">
        <v>14</v>
      </c>
      <c r="D171" t="s">
        <v>22</v>
      </c>
      <c r="E171" s="2">
        <v>45323</v>
      </c>
      <c r="F171" s="3">
        <v>61677</v>
      </c>
      <c r="G171" s="3">
        <v>34385</v>
      </c>
      <c r="H171" s="3">
        <v>27292</v>
      </c>
      <c r="I171" s="3">
        <v>6624</v>
      </c>
      <c r="J171" s="4">
        <v>81.790000000000006</v>
      </c>
      <c r="K171" s="3">
        <v>35774</v>
      </c>
      <c r="L171" s="3">
        <v>25903</v>
      </c>
    </row>
    <row r="172" spans="1:12" x14ac:dyDescent="0.25">
      <c r="A172" t="s">
        <v>12</v>
      </c>
      <c r="B172" t="s">
        <v>13</v>
      </c>
      <c r="C172" t="s">
        <v>14</v>
      </c>
      <c r="D172" t="s">
        <v>22</v>
      </c>
      <c r="E172" s="2">
        <v>45352</v>
      </c>
      <c r="F172" s="3">
        <v>66607</v>
      </c>
      <c r="G172" s="3">
        <v>37566</v>
      </c>
      <c r="H172" s="3">
        <v>29041</v>
      </c>
      <c r="I172" s="3">
        <v>7200</v>
      </c>
      <c r="J172" s="4">
        <v>80.42</v>
      </c>
      <c r="K172" s="3">
        <v>39322</v>
      </c>
      <c r="L172" s="3">
        <v>27285</v>
      </c>
    </row>
    <row r="173" spans="1:12" x14ac:dyDescent="0.25">
      <c r="A173" t="s">
        <v>12</v>
      </c>
      <c r="B173" t="s">
        <v>13</v>
      </c>
      <c r="C173" t="s">
        <v>14</v>
      </c>
      <c r="D173" t="s">
        <v>22</v>
      </c>
      <c r="E173" s="2">
        <v>45383</v>
      </c>
      <c r="F173" s="3">
        <v>63388</v>
      </c>
      <c r="G173" s="3">
        <v>34782</v>
      </c>
      <c r="H173" s="3">
        <v>28606</v>
      </c>
      <c r="I173" s="3">
        <v>7389</v>
      </c>
      <c r="J173" s="4">
        <v>81.37</v>
      </c>
      <c r="K173" s="3">
        <v>37017</v>
      </c>
      <c r="L173" s="3">
        <v>26371</v>
      </c>
    </row>
    <row r="174" spans="1:12" x14ac:dyDescent="0.25">
      <c r="A174" t="s">
        <v>12</v>
      </c>
      <c r="B174" t="s">
        <v>13</v>
      </c>
      <c r="C174" t="s">
        <v>14</v>
      </c>
      <c r="D174" t="s">
        <v>22</v>
      </c>
      <c r="E174" s="2">
        <v>45413</v>
      </c>
      <c r="F174" s="3">
        <v>66316</v>
      </c>
      <c r="G174" s="3">
        <v>36133</v>
      </c>
      <c r="H174" s="3">
        <v>30183</v>
      </c>
      <c r="I174" s="3">
        <v>7679</v>
      </c>
      <c r="J174" s="4">
        <v>79.16</v>
      </c>
      <c r="K174" s="3">
        <v>36939</v>
      </c>
      <c r="L174" s="3">
        <v>29377</v>
      </c>
    </row>
    <row r="175" spans="1:12" x14ac:dyDescent="0.25">
      <c r="A175" t="s">
        <v>12</v>
      </c>
      <c r="B175" t="s">
        <v>13</v>
      </c>
      <c r="C175" t="s">
        <v>14</v>
      </c>
      <c r="D175" t="s">
        <v>22</v>
      </c>
      <c r="E175" s="2">
        <v>45444</v>
      </c>
      <c r="F175" s="3">
        <v>64218</v>
      </c>
      <c r="G175" s="3">
        <v>35951</v>
      </c>
      <c r="H175" s="3">
        <v>28267</v>
      </c>
      <c r="I175" s="3">
        <v>7290</v>
      </c>
      <c r="J175" s="4">
        <v>80.22</v>
      </c>
      <c r="K175" s="3">
        <v>37673</v>
      </c>
      <c r="L175" s="3">
        <v>26545</v>
      </c>
    </row>
    <row r="176" spans="1:12" x14ac:dyDescent="0.25">
      <c r="A176" t="s">
        <v>12</v>
      </c>
      <c r="B176" t="s">
        <v>13</v>
      </c>
      <c r="C176" t="s">
        <v>14</v>
      </c>
      <c r="D176" t="s">
        <v>22</v>
      </c>
      <c r="E176" s="2">
        <v>45474</v>
      </c>
      <c r="F176" s="3">
        <v>68115</v>
      </c>
      <c r="G176" s="3">
        <v>38281</v>
      </c>
      <c r="H176" s="3">
        <v>29834</v>
      </c>
      <c r="I176" s="3">
        <v>7523</v>
      </c>
      <c r="J176" s="4">
        <v>79.599999999999994</v>
      </c>
      <c r="K176" s="3">
        <v>38564</v>
      </c>
      <c r="L176" s="3">
        <v>29551</v>
      </c>
    </row>
    <row r="177" spans="1:12" x14ac:dyDescent="0.25">
      <c r="A177" t="s">
        <v>12</v>
      </c>
      <c r="B177" t="s">
        <v>13</v>
      </c>
      <c r="C177" t="s">
        <v>14</v>
      </c>
      <c r="D177" t="s">
        <v>22</v>
      </c>
      <c r="E177" s="2">
        <v>45505</v>
      </c>
      <c r="F177" s="3">
        <v>73678</v>
      </c>
      <c r="G177" s="3">
        <v>41140</v>
      </c>
      <c r="H177" s="3">
        <v>32538</v>
      </c>
      <c r="I177" s="3">
        <v>8317</v>
      </c>
      <c r="J177" s="4">
        <v>77.78</v>
      </c>
      <c r="K177" s="3">
        <v>40548</v>
      </c>
      <c r="L177" s="3">
        <v>33130</v>
      </c>
    </row>
    <row r="178" spans="1:12" x14ac:dyDescent="0.25">
      <c r="A178" t="s">
        <v>12</v>
      </c>
      <c r="B178" t="s">
        <v>13</v>
      </c>
      <c r="C178" t="s">
        <v>14</v>
      </c>
      <c r="D178" t="s">
        <v>22</v>
      </c>
      <c r="E178" s="2">
        <v>45536</v>
      </c>
      <c r="F178" s="3">
        <v>83288</v>
      </c>
      <c r="G178" s="3">
        <v>46232</v>
      </c>
      <c r="H178" s="3">
        <v>37056</v>
      </c>
      <c r="I178" s="3">
        <v>9209</v>
      </c>
      <c r="J178" s="4">
        <v>77.989999999999995</v>
      </c>
      <c r="K178" s="3">
        <v>48696</v>
      </c>
      <c r="L178" s="3">
        <v>34592</v>
      </c>
    </row>
    <row r="179" spans="1:12" x14ac:dyDescent="0.25">
      <c r="A179" t="s">
        <v>12</v>
      </c>
      <c r="B179" t="s">
        <v>13</v>
      </c>
      <c r="C179" t="s">
        <v>14</v>
      </c>
      <c r="D179" t="s">
        <v>22</v>
      </c>
      <c r="E179" s="2">
        <v>45566</v>
      </c>
      <c r="F179" s="3">
        <v>77410</v>
      </c>
      <c r="G179" s="3">
        <v>41983</v>
      </c>
      <c r="H179" s="3">
        <v>35427</v>
      </c>
      <c r="I179" s="3">
        <v>8496</v>
      </c>
      <c r="J179" s="4">
        <v>82.02</v>
      </c>
      <c r="K179" s="3">
        <v>43596</v>
      </c>
      <c r="L179" s="3">
        <v>33814</v>
      </c>
    </row>
    <row r="180" spans="1:12" x14ac:dyDescent="0.25">
      <c r="A180" t="s">
        <v>12</v>
      </c>
      <c r="B180" t="s">
        <v>13</v>
      </c>
      <c r="C180" t="s">
        <v>14</v>
      </c>
      <c r="D180" t="s">
        <v>22</v>
      </c>
      <c r="E180" s="2">
        <v>45597</v>
      </c>
      <c r="F180" s="3">
        <v>80938</v>
      </c>
      <c r="G180" s="3">
        <v>45708</v>
      </c>
      <c r="H180" s="3">
        <v>35230</v>
      </c>
      <c r="I180" s="3">
        <v>9381</v>
      </c>
      <c r="J180" s="4">
        <v>79.02</v>
      </c>
      <c r="K180" s="3">
        <v>45390</v>
      </c>
      <c r="L180" s="3">
        <v>35548</v>
      </c>
    </row>
    <row r="181" spans="1:12" x14ac:dyDescent="0.25">
      <c r="A181" t="s">
        <v>12</v>
      </c>
      <c r="B181" t="s">
        <v>13</v>
      </c>
      <c r="C181" t="s">
        <v>14</v>
      </c>
      <c r="D181" t="s">
        <v>22</v>
      </c>
      <c r="E181" s="2">
        <v>45627</v>
      </c>
      <c r="F181" s="3">
        <v>81629</v>
      </c>
      <c r="G181" s="3">
        <v>45044</v>
      </c>
      <c r="H181" s="3">
        <v>36585</v>
      </c>
      <c r="I181" s="3">
        <v>9313</v>
      </c>
      <c r="J181" s="4">
        <v>75.05</v>
      </c>
      <c r="K181" s="3">
        <v>47522</v>
      </c>
      <c r="L181" s="3">
        <v>34107</v>
      </c>
    </row>
    <row r="182" spans="1:12" x14ac:dyDescent="0.25">
      <c r="A182" t="s">
        <v>12</v>
      </c>
      <c r="B182" t="s">
        <v>13</v>
      </c>
      <c r="C182" t="s">
        <v>14</v>
      </c>
      <c r="D182" t="s">
        <v>22</v>
      </c>
      <c r="E182" s="2">
        <v>45658</v>
      </c>
      <c r="F182" s="3">
        <v>78673</v>
      </c>
      <c r="G182" s="3">
        <v>44188</v>
      </c>
      <c r="H182" s="3">
        <v>34485</v>
      </c>
      <c r="I182" s="3">
        <v>9161</v>
      </c>
      <c r="J182" s="4">
        <v>80.89</v>
      </c>
      <c r="K182" s="3">
        <v>45827</v>
      </c>
      <c r="L182" s="3">
        <v>32846</v>
      </c>
    </row>
    <row r="183" spans="1:12" x14ac:dyDescent="0.25">
      <c r="A183" t="s">
        <v>12</v>
      </c>
      <c r="B183" t="s">
        <v>13</v>
      </c>
      <c r="C183" t="s">
        <v>14</v>
      </c>
      <c r="D183" t="s">
        <v>22</v>
      </c>
      <c r="E183" s="2">
        <v>45689</v>
      </c>
      <c r="F183" s="3">
        <v>75527</v>
      </c>
      <c r="G183" s="3">
        <v>41247</v>
      </c>
      <c r="H183" s="3">
        <v>34280</v>
      </c>
      <c r="I183" s="3">
        <v>8284</v>
      </c>
      <c r="J183" s="4">
        <v>79.94</v>
      </c>
      <c r="K183" s="3">
        <v>43951</v>
      </c>
      <c r="L183" s="3">
        <v>31576</v>
      </c>
    </row>
    <row r="184" spans="1:12" x14ac:dyDescent="0.25">
      <c r="A184" t="s">
        <v>12</v>
      </c>
      <c r="B184" t="s">
        <v>13</v>
      </c>
      <c r="C184" t="s">
        <v>14</v>
      </c>
      <c r="D184" t="s">
        <v>22</v>
      </c>
      <c r="E184" s="2">
        <v>45717</v>
      </c>
      <c r="F184" s="3">
        <v>65800</v>
      </c>
      <c r="G184" s="3">
        <v>35790</v>
      </c>
      <c r="H184" s="3">
        <v>30010</v>
      </c>
      <c r="I184" s="3">
        <v>7361</v>
      </c>
      <c r="J184" s="4">
        <v>81.430000000000007</v>
      </c>
      <c r="K184" s="3">
        <v>37400</v>
      </c>
      <c r="L184" s="3">
        <v>28400</v>
      </c>
    </row>
    <row r="185" spans="1:12" x14ac:dyDescent="0.25">
      <c r="A185" t="s">
        <v>12</v>
      </c>
      <c r="B185" t="s">
        <v>13</v>
      </c>
      <c r="C185" t="s">
        <v>14</v>
      </c>
      <c r="D185" t="s">
        <v>22</v>
      </c>
      <c r="E185" s="2">
        <v>45748</v>
      </c>
      <c r="F185" s="3">
        <v>66451</v>
      </c>
      <c r="G185" s="3">
        <v>37267</v>
      </c>
      <c r="H185" s="3">
        <v>29184</v>
      </c>
      <c r="I185" s="3">
        <v>7068</v>
      </c>
      <c r="J185" s="4">
        <v>80.569999999999993</v>
      </c>
      <c r="K185" s="3">
        <v>36488</v>
      </c>
      <c r="L185" s="3">
        <v>29963</v>
      </c>
    </row>
    <row r="186" spans="1:12" x14ac:dyDescent="0.25">
      <c r="A186" t="s">
        <v>12</v>
      </c>
      <c r="B186" t="s">
        <v>13</v>
      </c>
      <c r="C186" t="s">
        <v>14</v>
      </c>
      <c r="D186" t="s">
        <v>22</v>
      </c>
      <c r="E186" s="2">
        <v>45778</v>
      </c>
      <c r="F186" s="3">
        <v>71339</v>
      </c>
      <c r="G186" s="3">
        <v>40344</v>
      </c>
      <c r="H186" s="3">
        <v>30995</v>
      </c>
      <c r="I186" s="3">
        <v>8051</v>
      </c>
      <c r="J186" s="4">
        <v>75.27</v>
      </c>
      <c r="K186" s="3">
        <v>39941</v>
      </c>
      <c r="L186" s="3">
        <v>31398</v>
      </c>
    </row>
    <row r="187" spans="1:12" x14ac:dyDescent="0.25">
      <c r="A187" t="s">
        <v>12</v>
      </c>
      <c r="B187" t="s">
        <v>13</v>
      </c>
      <c r="C187" t="s">
        <v>14</v>
      </c>
      <c r="D187" t="s">
        <v>22</v>
      </c>
      <c r="E187" s="2">
        <v>45809</v>
      </c>
      <c r="F187" s="3">
        <v>71638</v>
      </c>
      <c r="G187" s="3">
        <v>39116</v>
      </c>
      <c r="H187" s="3">
        <v>32522</v>
      </c>
      <c r="I187" s="3">
        <v>7917</v>
      </c>
      <c r="J187" s="4">
        <v>78.37</v>
      </c>
      <c r="K187" s="3">
        <v>42066</v>
      </c>
      <c r="L187" s="3">
        <v>29572</v>
      </c>
    </row>
    <row r="188" spans="1:12" x14ac:dyDescent="0.25">
      <c r="A188" t="s">
        <v>12</v>
      </c>
      <c r="B188" t="s">
        <v>13</v>
      </c>
      <c r="C188" t="s">
        <v>14</v>
      </c>
      <c r="D188" t="s">
        <v>22</v>
      </c>
      <c r="E188" s="2">
        <v>45839</v>
      </c>
      <c r="F188" s="3">
        <v>77929</v>
      </c>
      <c r="G188" s="3">
        <v>41852</v>
      </c>
      <c r="H188" s="3">
        <v>36077</v>
      </c>
      <c r="I188" s="3">
        <v>8843</v>
      </c>
      <c r="J188" s="4">
        <v>80.209999999999994</v>
      </c>
      <c r="K188" s="3">
        <v>43386</v>
      </c>
      <c r="L188" s="3">
        <v>34543</v>
      </c>
    </row>
    <row r="189" spans="1:12" x14ac:dyDescent="0.25">
      <c r="A189" t="s">
        <v>12</v>
      </c>
      <c r="B189" t="s">
        <v>13</v>
      </c>
      <c r="C189" t="s">
        <v>14</v>
      </c>
      <c r="D189" t="s">
        <v>22</v>
      </c>
      <c r="E189" s="2">
        <v>45870</v>
      </c>
      <c r="F189" s="3">
        <v>80723</v>
      </c>
      <c r="G189" s="3">
        <v>45288</v>
      </c>
      <c r="H189" s="3">
        <v>35435</v>
      </c>
      <c r="I189" s="3">
        <v>9317</v>
      </c>
      <c r="J189" s="4">
        <v>82.29</v>
      </c>
      <c r="K189" s="3">
        <v>46665</v>
      </c>
      <c r="L189" s="3">
        <v>34058</v>
      </c>
    </row>
    <row r="190" spans="1:12" x14ac:dyDescent="0.25">
      <c r="A190" t="s">
        <v>12</v>
      </c>
      <c r="B190" t="s">
        <v>13</v>
      </c>
      <c r="C190" t="s">
        <v>14</v>
      </c>
      <c r="D190" t="s">
        <v>22</v>
      </c>
      <c r="E190" s="2">
        <v>45901</v>
      </c>
      <c r="F190" s="3">
        <v>85741</v>
      </c>
      <c r="G190" s="3">
        <v>46853</v>
      </c>
      <c r="H190" s="3">
        <v>38888</v>
      </c>
      <c r="I190" s="3">
        <v>9967</v>
      </c>
      <c r="J190" s="4">
        <v>82.39</v>
      </c>
      <c r="K190" s="3">
        <v>48851</v>
      </c>
      <c r="L190" s="3">
        <v>36890</v>
      </c>
    </row>
    <row r="191" spans="1:12" x14ac:dyDescent="0.25">
      <c r="A191" t="s">
        <v>12</v>
      </c>
      <c r="B191" t="s">
        <v>13</v>
      </c>
      <c r="C191" t="s">
        <v>14</v>
      </c>
      <c r="D191" t="s">
        <v>22</v>
      </c>
      <c r="E191" s="2">
        <v>45931</v>
      </c>
      <c r="F191" s="3">
        <v>88171</v>
      </c>
      <c r="G191" s="3">
        <v>47483</v>
      </c>
      <c r="H191" s="3">
        <v>40688</v>
      </c>
      <c r="I191" s="3">
        <v>9445</v>
      </c>
      <c r="J191" s="4">
        <v>80.930000000000007</v>
      </c>
      <c r="K191" s="3">
        <v>49332</v>
      </c>
      <c r="L191" s="3">
        <v>38839</v>
      </c>
    </row>
    <row r="192" spans="1:12" x14ac:dyDescent="0.25">
      <c r="A192" t="s">
        <v>12</v>
      </c>
      <c r="B192" t="s">
        <v>13</v>
      </c>
      <c r="C192" t="s">
        <v>14</v>
      </c>
      <c r="D192" t="s">
        <v>22</v>
      </c>
      <c r="E192" s="2">
        <v>45962</v>
      </c>
      <c r="F192" s="3">
        <v>89523</v>
      </c>
      <c r="G192" s="3">
        <v>49489</v>
      </c>
      <c r="H192" s="3">
        <v>40034</v>
      </c>
      <c r="I192" s="3">
        <v>10214</v>
      </c>
      <c r="J192" s="4">
        <v>81.08</v>
      </c>
      <c r="K192" s="3">
        <v>49871</v>
      </c>
      <c r="L192" s="3">
        <v>39652</v>
      </c>
    </row>
    <row r="193" spans="1:12" x14ac:dyDescent="0.25">
      <c r="A193" t="s">
        <v>12</v>
      </c>
      <c r="B193" t="s">
        <v>13</v>
      </c>
      <c r="C193" t="s">
        <v>14</v>
      </c>
      <c r="D193" t="s">
        <v>22</v>
      </c>
      <c r="E193" s="2">
        <v>45992</v>
      </c>
      <c r="F193" s="3">
        <v>84571</v>
      </c>
      <c r="G193" s="3">
        <v>47659</v>
      </c>
      <c r="H193" s="3">
        <v>36912</v>
      </c>
      <c r="I193" s="3">
        <v>9029</v>
      </c>
      <c r="J193" s="4">
        <v>81.8</v>
      </c>
      <c r="K193" s="3">
        <v>47697</v>
      </c>
      <c r="L193" s="3">
        <v>36874</v>
      </c>
    </row>
    <row r="194" spans="1:12" x14ac:dyDescent="0.25">
      <c r="A194" t="s">
        <v>23</v>
      </c>
      <c r="B194" t="s">
        <v>13</v>
      </c>
      <c r="C194" t="s">
        <v>14</v>
      </c>
      <c r="D194" t="s">
        <v>15</v>
      </c>
      <c r="E194" s="2">
        <v>45292</v>
      </c>
      <c r="F194" s="3">
        <v>341169</v>
      </c>
      <c r="G194" s="3">
        <v>262772</v>
      </c>
      <c r="H194" s="3">
        <v>78397</v>
      </c>
      <c r="I194" s="3">
        <v>10038</v>
      </c>
      <c r="J194" s="4">
        <v>406.41</v>
      </c>
      <c r="K194" s="3">
        <v>230943</v>
      </c>
      <c r="L194" s="3">
        <v>110226</v>
      </c>
    </row>
    <row r="195" spans="1:12" x14ac:dyDescent="0.25">
      <c r="A195" t="s">
        <v>23</v>
      </c>
      <c r="B195" t="s">
        <v>13</v>
      </c>
      <c r="C195" t="s">
        <v>14</v>
      </c>
      <c r="D195" t="s">
        <v>15</v>
      </c>
      <c r="E195" s="2">
        <v>45323</v>
      </c>
      <c r="F195" s="3">
        <v>328765</v>
      </c>
      <c r="G195" s="3">
        <v>252236</v>
      </c>
      <c r="H195" s="3">
        <v>76529</v>
      </c>
      <c r="I195" s="3">
        <v>10015</v>
      </c>
      <c r="J195" s="4">
        <v>443.83</v>
      </c>
      <c r="K195" s="3">
        <v>216810</v>
      </c>
      <c r="L195" s="3">
        <v>111955</v>
      </c>
    </row>
    <row r="196" spans="1:12" x14ac:dyDescent="0.25">
      <c r="A196" t="s">
        <v>23</v>
      </c>
      <c r="B196" t="s">
        <v>13</v>
      </c>
      <c r="C196" t="s">
        <v>14</v>
      </c>
      <c r="D196" t="s">
        <v>15</v>
      </c>
      <c r="E196" s="2">
        <v>45352</v>
      </c>
      <c r="F196" s="3">
        <v>337375</v>
      </c>
      <c r="G196" s="3">
        <v>268791</v>
      </c>
      <c r="H196" s="3">
        <v>68584</v>
      </c>
      <c r="I196" s="3">
        <v>10364</v>
      </c>
      <c r="J196" s="4">
        <v>419.25</v>
      </c>
      <c r="K196" s="3">
        <v>225619</v>
      </c>
      <c r="L196" s="3">
        <v>111756</v>
      </c>
    </row>
    <row r="197" spans="1:12" x14ac:dyDescent="0.25">
      <c r="A197" t="s">
        <v>23</v>
      </c>
      <c r="B197" t="s">
        <v>13</v>
      </c>
      <c r="C197" t="s">
        <v>14</v>
      </c>
      <c r="D197" t="s">
        <v>15</v>
      </c>
      <c r="E197" s="2">
        <v>45383</v>
      </c>
      <c r="F197" s="3">
        <v>304307</v>
      </c>
      <c r="G197" s="3">
        <v>241627</v>
      </c>
      <c r="H197" s="3">
        <v>62680</v>
      </c>
      <c r="I197" s="3">
        <v>8893</v>
      </c>
      <c r="J197" s="4">
        <v>422.41</v>
      </c>
      <c r="K197" s="3">
        <v>202144</v>
      </c>
      <c r="L197" s="3">
        <v>102163</v>
      </c>
    </row>
    <row r="198" spans="1:12" x14ac:dyDescent="0.25">
      <c r="A198" t="s">
        <v>23</v>
      </c>
      <c r="B198" t="s">
        <v>13</v>
      </c>
      <c r="C198" t="s">
        <v>14</v>
      </c>
      <c r="D198" t="s">
        <v>15</v>
      </c>
      <c r="E198" s="2">
        <v>45413</v>
      </c>
      <c r="F198" s="3">
        <v>339157</v>
      </c>
      <c r="G198" s="3">
        <v>267895</v>
      </c>
      <c r="H198" s="3">
        <v>71262</v>
      </c>
      <c r="I198" s="3">
        <v>10489</v>
      </c>
      <c r="J198" s="4">
        <v>406.58</v>
      </c>
      <c r="K198" s="3">
        <v>229550</v>
      </c>
      <c r="L198" s="3">
        <v>109607</v>
      </c>
    </row>
    <row r="199" spans="1:12" x14ac:dyDescent="0.25">
      <c r="A199" t="s">
        <v>23</v>
      </c>
      <c r="B199" t="s">
        <v>13</v>
      </c>
      <c r="C199" t="s">
        <v>14</v>
      </c>
      <c r="D199" t="s">
        <v>15</v>
      </c>
      <c r="E199" s="2">
        <v>45444</v>
      </c>
      <c r="F199" s="3">
        <v>350338</v>
      </c>
      <c r="G199" s="3">
        <v>268978</v>
      </c>
      <c r="H199" s="3">
        <v>81360</v>
      </c>
      <c r="I199" s="3">
        <v>10306</v>
      </c>
      <c r="J199" s="4">
        <v>409.76</v>
      </c>
      <c r="K199" s="3">
        <v>238875</v>
      </c>
      <c r="L199" s="3">
        <v>111463</v>
      </c>
    </row>
    <row r="200" spans="1:12" x14ac:dyDescent="0.25">
      <c r="A200" t="s">
        <v>23</v>
      </c>
      <c r="B200" t="s">
        <v>13</v>
      </c>
      <c r="C200" t="s">
        <v>14</v>
      </c>
      <c r="D200" t="s">
        <v>15</v>
      </c>
      <c r="E200" s="2">
        <v>45474</v>
      </c>
      <c r="F200" s="3">
        <v>343988</v>
      </c>
      <c r="G200" s="3">
        <v>266679</v>
      </c>
      <c r="H200" s="3">
        <v>77309</v>
      </c>
      <c r="I200" s="3">
        <v>9786</v>
      </c>
      <c r="J200" s="4">
        <v>415.25</v>
      </c>
      <c r="K200" s="3">
        <v>224979</v>
      </c>
      <c r="L200" s="3">
        <v>119009</v>
      </c>
    </row>
    <row r="201" spans="1:12" x14ac:dyDescent="0.25">
      <c r="A201" t="s">
        <v>23</v>
      </c>
      <c r="B201" t="s">
        <v>13</v>
      </c>
      <c r="C201" t="s">
        <v>14</v>
      </c>
      <c r="D201" t="s">
        <v>15</v>
      </c>
      <c r="E201" s="2">
        <v>45505</v>
      </c>
      <c r="F201" s="3">
        <v>365540</v>
      </c>
      <c r="G201" s="3">
        <v>280992</v>
      </c>
      <c r="H201" s="3">
        <v>84548</v>
      </c>
      <c r="I201" s="3">
        <v>11231</v>
      </c>
      <c r="J201" s="4">
        <v>411.66</v>
      </c>
      <c r="K201" s="3">
        <v>245125</v>
      </c>
      <c r="L201" s="3">
        <v>120415</v>
      </c>
    </row>
    <row r="202" spans="1:12" x14ac:dyDescent="0.25">
      <c r="A202" t="s">
        <v>23</v>
      </c>
      <c r="B202" t="s">
        <v>13</v>
      </c>
      <c r="C202" t="s">
        <v>14</v>
      </c>
      <c r="D202" t="s">
        <v>15</v>
      </c>
      <c r="E202" s="2">
        <v>45536</v>
      </c>
      <c r="F202" s="3">
        <v>408300</v>
      </c>
      <c r="G202" s="3">
        <v>314251</v>
      </c>
      <c r="H202" s="3">
        <v>94049</v>
      </c>
      <c r="I202" s="3">
        <v>12519</v>
      </c>
      <c r="J202" s="4">
        <v>444.18</v>
      </c>
      <c r="K202" s="3">
        <v>271583</v>
      </c>
      <c r="L202" s="3">
        <v>136717</v>
      </c>
    </row>
    <row r="203" spans="1:12" x14ac:dyDescent="0.25">
      <c r="A203" t="s">
        <v>23</v>
      </c>
      <c r="B203" t="s">
        <v>13</v>
      </c>
      <c r="C203" t="s">
        <v>14</v>
      </c>
      <c r="D203" t="s">
        <v>15</v>
      </c>
      <c r="E203" s="2">
        <v>45566</v>
      </c>
      <c r="F203" s="3">
        <v>398766</v>
      </c>
      <c r="G203" s="3">
        <v>311924</v>
      </c>
      <c r="H203" s="3">
        <v>86842</v>
      </c>
      <c r="I203" s="3">
        <v>11747</v>
      </c>
      <c r="J203" s="4">
        <v>441.56</v>
      </c>
      <c r="K203" s="3">
        <v>269880</v>
      </c>
      <c r="L203" s="3">
        <v>128886</v>
      </c>
    </row>
    <row r="204" spans="1:12" x14ac:dyDescent="0.25">
      <c r="A204" t="s">
        <v>23</v>
      </c>
      <c r="B204" t="s">
        <v>13</v>
      </c>
      <c r="C204" t="s">
        <v>14</v>
      </c>
      <c r="D204" t="s">
        <v>15</v>
      </c>
      <c r="E204" s="2">
        <v>45597</v>
      </c>
      <c r="F204" s="3">
        <v>382752</v>
      </c>
      <c r="G204" s="3">
        <v>304005</v>
      </c>
      <c r="H204" s="3">
        <v>78747</v>
      </c>
      <c r="I204" s="3">
        <v>11159</v>
      </c>
      <c r="J204" s="4">
        <v>430.82</v>
      </c>
      <c r="K204" s="3">
        <v>255334</v>
      </c>
      <c r="L204" s="3">
        <v>127418</v>
      </c>
    </row>
    <row r="205" spans="1:12" x14ac:dyDescent="0.25">
      <c r="A205" t="s">
        <v>23</v>
      </c>
      <c r="B205" t="s">
        <v>13</v>
      </c>
      <c r="C205" t="s">
        <v>14</v>
      </c>
      <c r="D205" t="s">
        <v>15</v>
      </c>
      <c r="E205" s="2">
        <v>45627</v>
      </c>
      <c r="F205" s="3">
        <v>396649</v>
      </c>
      <c r="G205" s="3">
        <v>315106</v>
      </c>
      <c r="H205" s="3">
        <v>81543</v>
      </c>
      <c r="I205" s="3">
        <v>11987</v>
      </c>
      <c r="J205" s="4">
        <v>428.34</v>
      </c>
      <c r="K205" s="3">
        <v>267171</v>
      </c>
      <c r="L205" s="3">
        <v>129478</v>
      </c>
    </row>
    <row r="206" spans="1:12" x14ac:dyDescent="0.25">
      <c r="A206" t="s">
        <v>23</v>
      </c>
      <c r="B206" t="s">
        <v>13</v>
      </c>
      <c r="C206" t="s">
        <v>14</v>
      </c>
      <c r="D206" t="s">
        <v>15</v>
      </c>
      <c r="E206" s="2">
        <v>45658</v>
      </c>
      <c r="F206" s="3">
        <v>361188</v>
      </c>
      <c r="G206" s="3">
        <v>280595</v>
      </c>
      <c r="H206" s="3">
        <v>80593</v>
      </c>
      <c r="I206" s="3">
        <v>11068</v>
      </c>
      <c r="J206" s="4">
        <v>439.46</v>
      </c>
      <c r="K206" s="3">
        <v>239642</v>
      </c>
      <c r="L206" s="3">
        <v>121546</v>
      </c>
    </row>
    <row r="207" spans="1:12" x14ac:dyDescent="0.25">
      <c r="A207" t="s">
        <v>23</v>
      </c>
      <c r="B207" t="s">
        <v>13</v>
      </c>
      <c r="C207" t="s">
        <v>14</v>
      </c>
      <c r="D207" t="s">
        <v>15</v>
      </c>
      <c r="E207" s="2">
        <v>45689</v>
      </c>
      <c r="F207" s="3">
        <v>347291</v>
      </c>
      <c r="G207" s="3">
        <v>270655</v>
      </c>
      <c r="H207" s="3">
        <v>76636</v>
      </c>
      <c r="I207" s="3">
        <v>10568</v>
      </c>
      <c r="J207" s="4">
        <v>441.52</v>
      </c>
      <c r="K207" s="3">
        <v>229830</v>
      </c>
      <c r="L207" s="3">
        <v>117461</v>
      </c>
    </row>
    <row r="208" spans="1:12" x14ac:dyDescent="0.25">
      <c r="A208" t="s">
        <v>23</v>
      </c>
      <c r="B208" t="s">
        <v>13</v>
      </c>
      <c r="C208" t="s">
        <v>14</v>
      </c>
      <c r="D208" t="s">
        <v>15</v>
      </c>
      <c r="E208" s="2">
        <v>45717</v>
      </c>
      <c r="F208" s="3">
        <v>357978</v>
      </c>
      <c r="G208" s="3">
        <v>280891</v>
      </c>
      <c r="H208" s="3">
        <v>77087</v>
      </c>
      <c r="I208" s="3">
        <v>10499</v>
      </c>
      <c r="J208" s="4">
        <v>415.54</v>
      </c>
      <c r="K208" s="3">
        <v>237751</v>
      </c>
      <c r="L208" s="3">
        <v>120227</v>
      </c>
    </row>
    <row r="209" spans="1:12" x14ac:dyDescent="0.25">
      <c r="A209" t="s">
        <v>23</v>
      </c>
      <c r="B209" t="s">
        <v>13</v>
      </c>
      <c r="C209" t="s">
        <v>14</v>
      </c>
      <c r="D209" t="s">
        <v>15</v>
      </c>
      <c r="E209" s="2">
        <v>45748</v>
      </c>
      <c r="F209" s="3">
        <v>343243</v>
      </c>
      <c r="G209" s="3">
        <v>266743</v>
      </c>
      <c r="H209" s="3">
        <v>76500</v>
      </c>
      <c r="I209" s="3">
        <v>9991</v>
      </c>
      <c r="J209" s="4">
        <v>445.97</v>
      </c>
      <c r="K209" s="3">
        <v>232897</v>
      </c>
      <c r="L209" s="3">
        <v>110346</v>
      </c>
    </row>
    <row r="210" spans="1:12" x14ac:dyDescent="0.25">
      <c r="A210" t="s">
        <v>23</v>
      </c>
      <c r="B210" t="s">
        <v>13</v>
      </c>
      <c r="C210" t="s">
        <v>14</v>
      </c>
      <c r="D210" t="s">
        <v>15</v>
      </c>
      <c r="E210" s="2">
        <v>45778</v>
      </c>
      <c r="F210" s="3">
        <v>338982</v>
      </c>
      <c r="G210" s="3">
        <v>261220</v>
      </c>
      <c r="H210" s="3">
        <v>77762</v>
      </c>
      <c r="I210" s="3">
        <v>9551</v>
      </c>
      <c r="J210" s="4">
        <v>440.68</v>
      </c>
      <c r="K210" s="3">
        <v>224479</v>
      </c>
      <c r="L210" s="3">
        <v>114503</v>
      </c>
    </row>
    <row r="211" spans="1:12" x14ac:dyDescent="0.25">
      <c r="A211" t="s">
        <v>23</v>
      </c>
      <c r="B211" t="s">
        <v>13</v>
      </c>
      <c r="C211" t="s">
        <v>14</v>
      </c>
      <c r="D211" t="s">
        <v>15</v>
      </c>
      <c r="E211" s="2">
        <v>45809</v>
      </c>
      <c r="F211" s="3">
        <v>365566</v>
      </c>
      <c r="G211" s="3">
        <v>285338</v>
      </c>
      <c r="H211" s="3">
        <v>80228</v>
      </c>
      <c r="I211" s="3">
        <v>11312</v>
      </c>
      <c r="J211" s="4">
        <v>431.56</v>
      </c>
      <c r="K211" s="3">
        <v>247523</v>
      </c>
      <c r="L211" s="3">
        <v>118043</v>
      </c>
    </row>
    <row r="212" spans="1:12" x14ac:dyDescent="0.25">
      <c r="A212" t="s">
        <v>23</v>
      </c>
      <c r="B212" t="s">
        <v>13</v>
      </c>
      <c r="C212" t="s">
        <v>14</v>
      </c>
      <c r="D212" t="s">
        <v>15</v>
      </c>
      <c r="E212" s="2">
        <v>45839</v>
      </c>
      <c r="F212" s="3">
        <v>394275</v>
      </c>
      <c r="G212" s="3">
        <v>308133</v>
      </c>
      <c r="H212" s="3">
        <v>86142</v>
      </c>
      <c r="I212" s="3">
        <v>11481</v>
      </c>
      <c r="J212" s="4">
        <v>406.55</v>
      </c>
      <c r="K212" s="3">
        <v>269674</v>
      </c>
      <c r="L212" s="3">
        <v>124601</v>
      </c>
    </row>
    <row r="213" spans="1:12" x14ac:dyDescent="0.25">
      <c r="A213" t="s">
        <v>23</v>
      </c>
      <c r="B213" t="s">
        <v>13</v>
      </c>
      <c r="C213" t="s">
        <v>14</v>
      </c>
      <c r="D213" t="s">
        <v>15</v>
      </c>
      <c r="E213" s="2">
        <v>45870</v>
      </c>
      <c r="F213" s="3">
        <v>393831</v>
      </c>
      <c r="G213" s="3">
        <v>313433</v>
      </c>
      <c r="H213" s="3">
        <v>80398</v>
      </c>
      <c r="I213" s="3">
        <v>11069</v>
      </c>
      <c r="J213" s="4">
        <v>438.19</v>
      </c>
      <c r="K213" s="3">
        <v>263163</v>
      </c>
      <c r="L213" s="3">
        <v>130668</v>
      </c>
    </row>
    <row r="214" spans="1:12" x14ac:dyDescent="0.25">
      <c r="A214" t="s">
        <v>23</v>
      </c>
      <c r="B214" t="s">
        <v>13</v>
      </c>
      <c r="C214" t="s">
        <v>14</v>
      </c>
      <c r="D214" t="s">
        <v>15</v>
      </c>
      <c r="E214" s="2">
        <v>45901</v>
      </c>
      <c r="F214" s="3">
        <v>429248</v>
      </c>
      <c r="G214" s="3">
        <v>329457</v>
      </c>
      <c r="H214" s="3">
        <v>99791</v>
      </c>
      <c r="I214" s="3">
        <v>12517</v>
      </c>
      <c r="J214" s="4">
        <v>423.07</v>
      </c>
      <c r="K214" s="3">
        <v>293840</v>
      </c>
      <c r="L214" s="3">
        <v>135408</v>
      </c>
    </row>
    <row r="215" spans="1:12" x14ac:dyDescent="0.25">
      <c r="A215" t="s">
        <v>23</v>
      </c>
      <c r="B215" t="s">
        <v>13</v>
      </c>
      <c r="C215" t="s">
        <v>14</v>
      </c>
      <c r="D215" t="s">
        <v>15</v>
      </c>
      <c r="E215" s="2">
        <v>45931</v>
      </c>
      <c r="F215" s="3">
        <v>441820</v>
      </c>
      <c r="G215" s="3">
        <v>346220</v>
      </c>
      <c r="H215" s="3">
        <v>95600</v>
      </c>
      <c r="I215" s="3">
        <v>13302</v>
      </c>
      <c r="J215" s="4">
        <v>423.54</v>
      </c>
      <c r="K215" s="3">
        <v>292682</v>
      </c>
      <c r="L215" s="3">
        <v>149138</v>
      </c>
    </row>
    <row r="216" spans="1:12" x14ac:dyDescent="0.25">
      <c r="A216" t="s">
        <v>23</v>
      </c>
      <c r="B216" t="s">
        <v>13</v>
      </c>
      <c r="C216" t="s">
        <v>14</v>
      </c>
      <c r="D216" t="s">
        <v>15</v>
      </c>
      <c r="E216" s="2">
        <v>45962</v>
      </c>
      <c r="F216" s="3">
        <v>428356</v>
      </c>
      <c r="G216" s="3">
        <v>331791</v>
      </c>
      <c r="H216" s="3">
        <v>96565</v>
      </c>
      <c r="I216" s="3">
        <v>13108</v>
      </c>
      <c r="J216" s="4">
        <v>419.62</v>
      </c>
      <c r="K216" s="3">
        <v>285248</v>
      </c>
      <c r="L216" s="3">
        <v>143108</v>
      </c>
    </row>
    <row r="217" spans="1:12" x14ac:dyDescent="0.25">
      <c r="A217" t="s">
        <v>23</v>
      </c>
      <c r="B217" t="s">
        <v>13</v>
      </c>
      <c r="C217" t="s">
        <v>14</v>
      </c>
      <c r="D217" t="s">
        <v>15</v>
      </c>
      <c r="E217" s="2">
        <v>45992</v>
      </c>
      <c r="F217" s="3">
        <v>420153</v>
      </c>
      <c r="G217" s="3">
        <v>328455</v>
      </c>
      <c r="H217" s="3">
        <v>91698</v>
      </c>
      <c r="I217" s="3">
        <v>12358</v>
      </c>
      <c r="J217" s="4">
        <v>436.96</v>
      </c>
      <c r="K217" s="3">
        <v>283340</v>
      </c>
      <c r="L217" s="3">
        <v>136813</v>
      </c>
    </row>
    <row r="218" spans="1:12" x14ac:dyDescent="0.25">
      <c r="A218" t="s">
        <v>23</v>
      </c>
      <c r="B218" t="s">
        <v>13</v>
      </c>
      <c r="C218" t="s">
        <v>14</v>
      </c>
      <c r="D218" t="s">
        <v>16</v>
      </c>
      <c r="E218" s="2">
        <v>45292</v>
      </c>
      <c r="F218" s="3">
        <v>240581</v>
      </c>
      <c r="G218" s="3">
        <v>155950</v>
      </c>
      <c r="H218" s="3">
        <v>84631</v>
      </c>
      <c r="I218" s="3">
        <v>4057</v>
      </c>
      <c r="J218" s="4">
        <v>708.2</v>
      </c>
      <c r="K218" s="3">
        <v>158327</v>
      </c>
      <c r="L218" s="3">
        <v>82254</v>
      </c>
    </row>
    <row r="219" spans="1:12" x14ac:dyDescent="0.25">
      <c r="A219" t="s">
        <v>23</v>
      </c>
      <c r="B219" t="s">
        <v>13</v>
      </c>
      <c r="C219" t="s">
        <v>14</v>
      </c>
      <c r="D219" t="s">
        <v>16</v>
      </c>
      <c r="E219" s="2">
        <v>45323</v>
      </c>
      <c r="F219" s="3">
        <v>225806</v>
      </c>
      <c r="G219" s="3">
        <v>148704</v>
      </c>
      <c r="H219" s="3">
        <v>77102</v>
      </c>
      <c r="I219" s="3">
        <v>3768</v>
      </c>
      <c r="J219" s="4">
        <v>693.47</v>
      </c>
      <c r="K219" s="3">
        <v>150541</v>
      </c>
      <c r="L219" s="3">
        <v>75265</v>
      </c>
    </row>
    <row r="220" spans="1:12" x14ac:dyDescent="0.25">
      <c r="A220" t="s">
        <v>23</v>
      </c>
      <c r="B220" t="s">
        <v>13</v>
      </c>
      <c r="C220" t="s">
        <v>14</v>
      </c>
      <c r="D220" t="s">
        <v>16</v>
      </c>
      <c r="E220" s="2">
        <v>45352</v>
      </c>
      <c r="F220" s="3">
        <v>225955</v>
      </c>
      <c r="G220" s="3">
        <v>149347</v>
      </c>
      <c r="H220" s="3">
        <v>76608</v>
      </c>
      <c r="I220" s="3">
        <v>3895</v>
      </c>
      <c r="J220" s="4">
        <v>664.11</v>
      </c>
      <c r="K220" s="3">
        <v>149246</v>
      </c>
      <c r="L220" s="3">
        <v>76709</v>
      </c>
    </row>
    <row r="221" spans="1:12" x14ac:dyDescent="0.25">
      <c r="A221" t="s">
        <v>23</v>
      </c>
      <c r="B221" t="s">
        <v>13</v>
      </c>
      <c r="C221" t="s">
        <v>14</v>
      </c>
      <c r="D221" t="s">
        <v>16</v>
      </c>
      <c r="E221" s="2">
        <v>45383</v>
      </c>
      <c r="F221" s="3">
        <v>206673</v>
      </c>
      <c r="G221" s="3">
        <v>139308</v>
      </c>
      <c r="H221" s="3">
        <v>67365</v>
      </c>
      <c r="I221" s="3">
        <v>3577</v>
      </c>
      <c r="J221" s="4">
        <v>681.53</v>
      </c>
      <c r="K221" s="3">
        <v>141139</v>
      </c>
      <c r="L221" s="3">
        <v>65534</v>
      </c>
    </row>
    <row r="222" spans="1:12" x14ac:dyDescent="0.25">
      <c r="A222" t="s">
        <v>23</v>
      </c>
      <c r="B222" t="s">
        <v>13</v>
      </c>
      <c r="C222" t="s">
        <v>14</v>
      </c>
      <c r="D222" t="s">
        <v>16</v>
      </c>
      <c r="E222" s="2">
        <v>45413</v>
      </c>
      <c r="F222" s="3">
        <v>228095</v>
      </c>
      <c r="G222" s="3">
        <v>148567</v>
      </c>
      <c r="H222" s="3">
        <v>79528</v>
      </c>
      <c r="I222" s="3">
        <v>3968</v>
      </c>
      <c r="J222" s="4">
        <v>716.56</v>
      </c>
      <c r="K222" s="3">
        <v>149893</v>
      </c>
      <c r="L222" s="3">
        <v>78202</v>
      </c>
    </row>
    <row r="223" spans="1:12" x14ac:dyDescent="0.25">
      <c r="A223" t="s">
        <v>23</v>
      </c>
      <c r="B223" t="s">
        <v>13</v>
      </c>
      <c r="C223" t="s">
        <v>14</v>
      </c>
      <c r="D223" t="s">
        <v>16</v>
      </c>
      <c r="E223" s="2">
        <v>45444</v>
      </c>
      <c r="F223" s="3">
        <v>245988</v>
      </c>
      <c r="G223" s="3">
        <v>160846</v>
      </c>
      <c r="H223" s="3">
        <v>85142</v>
      </c>
      <c r="I223" s="3">
        <v>4091</v>
      </c>
      <c r="J223" s="4">
        <v>665.48</v>
      </c>
      <c r="K223" s="3">
        <v>162482</v>
      </c>
      <c r="L223" s="3">
        <v>83506</v>
      </c>
    </row>
    <row r="224" spans="1:12" x14ac:dyDescent="0.25">
      <c r="A224" t="s">
        <v>23</v>
      </c>
      <c r="B224" t="s">
        <v>13</v>
      </c>
      <c r="C224" t="s">
        <v>14</v>
      </c>
      <c r="D224" t="s">
        <v>16</v>
      </c>
      <c r="E224" s="2">
        <v>45474</v>
      </c>
      <c r="F224" s="3">
        <v>238083</v>
      </c>
      <c r="G224" s="3">
        <v>158313</v>
      </c>
      <c r="H224" s="3">
        <v>79770</v>
      </c>
      <c r="I224" s="3">
        <v>3965</v>
      </c>
      <c r="J224" s="4">
        <v>708.42</v>
      </c>
      <c r="K224" s="3">
        <v>162416</v>
      </c>
      <c r="L224" s="3">
        <v>75667</v>
      </c>
    </row>
    <row r="225" spans="1:12" x14ac:dyDescent="0.25">
      <c r="A225" t="s">
        <v>23</v>
      </c>
      <c r="B225" t="s">
        <v>13</v>
      </c>
      <c r="C225" t="s">
        <v>14</v>
      </c>
      <c r="D225" t="s">
        <v>16</v>
      </c>
      <c r="E225" s="2">
        <v>45505</v>
      </c>
      <c r="F225" s="3">
        <v>280823</v>
      </c>
      <c r="G225" s="3">
        <v>182274</v>
      </c>
      <c r="H225" s="3">
        <v>98549</v>
      </c>
      <c r="I225" s="3">
        <v>4843</v>
      </c>
      <c r="J225" s="4">
        <v>690.01</v>
      </c>
      <c r="K225" s="3">
        <v>189705</v>
      </c>
      <c r="L225" s="3">
        <v>91118</v>
      </c>
    </row>
    <row r="226" spans="1:12" x14ac:dyDescent="0.25">
      <c r="A226" t="s">
        <v>23</v>
      </c>
      <c r="B226" t="s">
        <v>13</v>
      </c>
      <c r="C226" t="s">
        <v>14</v>
      </c>
      <c r="D226" t="s">
        <v>16</v>
      </c>
      <c r="E226" s="2">
        <v>45536</v>
      </c>
      <c r="F226" s="3">
        <v>277896</v>
      </c>
      <c r="G226" s="3">
        <v>179935</v>
      </c>
      <c r="H226" s="3">
        <v>97961</v>
      </c>
      <c r="I226" s="3">
        <v>5009</v>
      </c>
      <c r="J226" s="4">
        <v>670.16</v>
      </c>
      <c r="K226" s="3">
        <v>187219</v>
      </c>
      <c r="L226" s="3">
        <v>90677</v>
      </c>
    </row>
    <row r="227" spans="1:12" x14ac:dyDescent="0.25">
      <c r="A227" t="s">
        <v>23</v>
      </c>
      <c r="B227" t="s">
        <v>13</v>
      </c>
      <c r="C227" t="s">
        <v>14</v>
      </c>
      <c r="D227" t="s">
        <v>16</v>
      </c>
      <c r="E227" s="2">
        <v>45566</v>
      </c>
      <c r="F227" s="3">
        <v>282169</v>
      </c>
      <c r="G227" s="3">
        <v>182634</v>
      </c>
      <c r="H227" s="3">
        <v>99535</v>
      </c>
      <c r="I227" s="3">
        <v>4933</v>
      </c>
      <c r="J227" s="4">
        <v>729.74</v>
      </c>
      <c r="K227" s="3">
        <v>186136</v>
      </c>
      <c r="L227" s="3">
        <v>96033</v>
      </c>
    </row>
    <row r="228" spans="1:12" x14ac:dyDescent="0.25">
      <c r="A228" t="s">
        <v>23</v>
      </c>
      <c r="B228" t="s">
        <v>13</v>
      </c>
      <c r="C228" t="s">
        <v>14</v>
      </c>
      <c r="D228" t="s">
        <v>16</v>
      </c>
      <c r="E228" s="2">
        <v>45597</v>
      </c>
      <c r="F228" s="3">
        <v>286335</v>
      </c>
      <c r="G228" s="3">
        <v>187332</v>
      </c>
      <c r="H228" s="3">
        <v>99003</v>
      </c>
      <c r="I228" s="3">
        <v>5089</v>
      </c>
      <c r="J228" s="4">
        <v>674.63</v>
      </c>
      <c r="K228" s="3">
        <v>188765</v>
      </c>
      <c r="L228" s="3">
        <v>97570</v>
      </c>
    </row>
    <row r="229" spans="1:12" x14ac:dyDescent="0.25">
      <c r="A229" t="s">
        <v>23</v>
      </c>
      <c r="B229" t="s">
        <v>13</v>
      </c>
      <c r="C229" t="s">
        <v>14</v>
      </c>
      <c r="D229" t="s">
        <v>16</v>
      </c>
      <c r="E229" s="2">
        <v>45627</v>
      </c>
      <c r="F229" s="3">
        <v>277853</v>
      </c>
      <c r="G229" s="3">
        <v>187000</v>
      </c>
      <c r="H229" s="3">
        <v>90853</v>
      </c>
      <c r="I229" s="3">
        <v>4849</v>
      </c>
      <c r="J229" s="4">
        <v>718.07</v>
      </c>
      <c r="K229" s="3">
        <v>184548</v>
      </c>
      <c r="L229" s="3">
        <v>93305</v>
      </c>
    </row>
    <row r="230" spans="1:12" x14ac:dyDescent="0.25">
      <c r="A230" t="s">
        <v>23</v>
      </c>
      <c r="B230" t="s">
        <v>13</v>
      </c>
      <c r="C230" t="s">
        <v>14</v>
      </c>
      <c r="D230" t="s">
        <v>16</v>
      </c>
      <c r="E230" s="2">
        <v>45658</v>
      </c>
      <c r="F230" s="3">
        <v>255158</v>
      </c>
      <c r="G230" s="3">
        <v>165953</v>
      </c>
      <c r="H230" s="3">
        <v>89205</v>
      </c>
      <c r="I230" s="3">
        <v>4330</v>
      </c>
      <c r="J230" s="4">
        <v>719.26</v>
      </c>
      <c r="K230" s="3">
        <v>173149</v>
      </c>
      <c r="L230" s="3">
        <v>82009</v>
      </c>
    </row>
    <row r="231" spans="1:12" x14ac:dyDescent="0.25">
      <c r="A231" t="s">
        <v>23</v>
      </c>
      <c r="B231" t="s">
        <v>13</v>
      </c>
      <c r="C231" t="s">
        <v>14</v>
      </c>
      <c r="D231" t="s">
        <v>16</v>
      </c>
      <c r="E231" s="2">
        <v>45689</v>
      </c>
      <c r="F231" s="3">
        <v>249089</v>
      </c>
      <c r="G231" s="3">
        <v>166474</v>
      </c>
      <c r="H231" s="3">
        <v>82615</v>
      </c>
      <c r="I231" s="3">
        <v>4092</v>
      </c>
      <c r="J231" s="4">
        <v>705.01</v>
      </c>
      <c r="K231" s="3">
        <v>164258</v>
      </c>
      <c r="L231" s="3">
        <v>84831</v>
      </c>
    </row>
    <row r="232" spans="1:12" x14ac:dyDescent="0.25">
      <c r="A232" t="s">
        <v>23</v>
      </c>
      <c r="B232" t="s">
        <v>13</v>
      </c>
      <c r="C232" t="s">
        <v>14</v>
      </c>
      <c r="D232" t="s">
        <v>16</v>
      </c>
      <c r="E232" s="2">
        <v>45717</v>
      </c>
      <c r="F232" s="3">
        <v>262803</v>
      </c>
      <c r="G232" s="3">
        <v>175446</v>
      </c>
      <c r="H232" s="3">
        <v>87357</v>
      </c>
      <c r="I232" s="3">
        <v>4624</v>
      </c>
      <c r="J232" s="4">
        <v>728.28</v>
      </c>
      <c r="K232" s="3">
        <v>172374</v>
      </c>
      <c r="L232" s="3">
        <v>90429</v>
      </c>
    </row>
    <row r="233" spans="1:12" x14ac:dyDescent="0.25">
      <c r="A233" t="s">
        <v>23</v>
      </c>
      <c r="B233" t="s">
        <v>13</v>
      </c>
      <c r="C233" t="s">
        <v>14</v>
      </c>
      <c r="D233" t="s">
        <v>16</v>
      </c>
      <c r="E233" s="2">
        <v>45748</v>
      </c>
      <c r="F233" s="3">
        <v>239036</v>
      </c>
      <c r="G233" s="3">
        <v>156495</v>
      </c>
      <c r="H233" s="3">
        <v>82541</v>
      </c>
      <c r="I233" s="3">
        <v>4183</v>
      </c>
      <c r="J233" s="4">
        <v>731.19</v>
      </c>
      <c r="K233" s="3">
        <v>157157</v>
      </c>
      <c r="L233" s="3">
        <v>81879</v>
      </c>
    </row>
    <row r="234" spans="1:12" x14ac:dyDescent="0.25">
      <c r="A234" t="s">
        <v>23</v>
      </c>
      <c r="B234" t="s">
        <v>13</v>
      </c>
      <c r="C234" t="s">
        <v>14</v>
      </c>
      <c r="D234" t="s">
        <v>16</v>
      </c>
      <c r="E234" s="2">
        <v>45778</v>
      </c>
      <c r="F234" s="3">
        <v>263186</v>
      </c>
      <c r="G234" s="3">
        <v>172960</v>
      </c>
      <c r="H234" s="3">
        <v>90226</v>
      </c>
      <c r="I234" s="3">
        <v>4574</v>
      </c>
      <c r="J234" s="4">
        <v>717.03</v>
      </c>
      <c r="K234" s="3">
        <v>173621</v>
      </c>
      <c r="L234" s="3">
        <v>89565</v>
      </c>
    </row>
    <row r="235" spans="1:12" x14ac:dyDescent="0.25">
      <c r="A235" t="s">
        <v>23</v>
      </c>
      <c r="B235" t="s">
        <v>13</v>
      </c>
      <c r="C235" t="s">
        <v>14</v>
      </c>
      <c r="D235" t="s">
        <v>16</v>
      </c>
      <c r="E235" s="2">
        <v>45809</v>
      </c>
      <c r="F235" s="3">
        <v>289908</v>
      </c>
      <c r="G235" s="3">
        <v>187769</v>
      </c>
      <c r="H235" s="3">
        <v>102139</v>
      </c>
      <c r="I235" s="3">
        <v>5124</v>
      </c>
      <c r="J235" s="4">
        <v>669.06</v>
      </c>
      <c r="K235" s="3">
        <v>191041</v>
      </c>
      <c r="L235" s="3">
        <v>98867</v>
      </c>
    </row>
    <row r="236" spans="1:12" x14ac:dyDescent="0.25">
      <c r="A236" t="s">
        <v>23</v>
      </c>
      <c r="B236" t="s">
        <v>13</v>
      </c>
      <c r="C236" t="s">
        <v>14</v>
      </c>
      <c r="D236" t="s">
        <v>16</v>
      </c>
      <c r="E236" s="2">
        <v>45839</v>
      </c>
      <c r="F236" s="3">
        <v>275796</v>
      </c>
      <c r="G236" s="3">
        <v>182975</v>
      </c>
      <c r="H236" s="3">
        <v>92821</v>
      </c>
      <c r="I236" s="3">
        <v>4585</v>
      </c>
      <c r="J236" s="4">
        <v>695.94</v>
      </c>
      <c r="K236" s="3">
        <v>183385</v>
      </c>
      <c r="L236" s="3">
        <v>92411</v>
      </c>
    </row>
    <row r="237" spans="1:12" x14ac:dyDescent="0.25">
      <c r="A237" t="s">
        <v>23</v>
      </c>
      <c r="B237" t="s">
        <v>13</v>
      </c>
      <c r="C237" t="s">
        <v>14</v>
      </c>
      <c r="D237" t="s">
        <v>16</v>
      </c>
      <c r="E237" s="2">
        <v>45870</v>
      </c>
      <c r="F237" s="3">
        <v>298516</v>
      </c>
      <c r="G237" s="3">
        <v>196694</v>
      </c>
      <c r="H237" s="3">
        <v>101822</v>
      </c>
      <c r="I237" s="3">
        <v>4996</v>
      </c>
      <c r="J237" s="4">
        <v>727.08</v>
      </c>
      <c r="K237" s="3">
        <v>202878</v>
      </c>
      <c r="L237" s="3">
        <v>95638</v>
      </c>
    </row>
    <row r="238" spans="1:12" x14ac:dyDescent="0.25">
      <c r="A238" t="s">
        <v>23</v>
      </c>
      <c r="B238" t="s">
        <v>13</v>
      </c>
      <c r="C238" t="s">
        <v>14</v>
      </c>
      <c r="D238" t="s">
        <v>16</v>
      </c>
      <c r="E238" s="2">
        <v>45901</v>
      </c>
      <c r="F238" s="3">
        <v>306767</v>
      </c>
      <c r="G238" s="3">
        <v>201004</v>
      </c>
      <c r="H238" s="3">
        <v>105763</v>
      </c>
      <c r="I238" s="3">
        <v>5073</v>
      </c>
      <c r="J238" s="4">
        <v>711.56</v>
      </c>
      <c r="K238" s="3">
        <v>205904</v>
      </c>
      <c r="L238" s="3">
        <v>100863</v>
      </c>
    </row>
    <row r="239" spans="1:12" x14ac:dyDescent="0.25">
      <c r="A239" t="s">
        <v>23</v>
      </c>
      <c r="B239" t="s">
        <v>13</v>
      </c>
      <c r="C239" t="s">
        <v>14</v>
      </c>
      <c r="D239" t="s">
        <v>16</v>
      </c>
      <c r="E239" s="2">
        <v>45931</v>
      </c>
      <c r="F239" s="3">
        <v>343810</v>
      </c>
      <c r="G239" s="3">
        <v>226917</v>
      </c>
      <c r="H239" s="3">
        <v>116893</v>
      </c>
      <c r="I239" s="3">
        <v>6019</v>
      </c>
      <c r="J239" s="4">
        <v>668.39</v>
      </c>
      <c r="K239" s="3">
        <v>231176</v>
      </c>
      <c r="L239" s="3">
        <v>112634</v>
      </c>
    </row>
    <row r="240" spans="1:12" x14ac:dyDescent="0.25">
      <c r="A240" t="s">
        <v>23</v>
      </c>
      <c r="B240" t="s">
        <v>13</v>
      </c>
      <c r="C240" t="s">
        <v>14</v>
      </c>
      <c r="D240" t="s">
        <v>16</v>
      </c>
      <c r="E240" s="2">
        <v>45962</v>
      </c>
      <c r="F240" s="3">
        <v>319643</v>
      </c>
      <c r="G240" s="3">
        <v>212312</v>
      </c>
      <c r="H240" s="3">
        <v>107331</v>
      </c>
      <c r="I240" s="3">
        <v>5259</v>
      </c>
      <c r="J240" s="4">
        <v>693.39</v>
      </c>
      <c r="K240" s="3">
        <v>215548</v>
      </c>
      <c r="L240" s="3">
        <v>104095</v>
      </c>
    </row>
    <row r="241" spans="1:12" x14ac:dyDescent="0.25">
      <c r="A241" t="s">
        <v>23</v>
      </c>
      <c r="B241" t="s">
        <v>13</v>
      </c>
      <c r="C241" t="s">
        <v>14</v>
      </c>
      <c r="D241" t="s">
        <v>16</v>
      </c>
      <c r="E241" s="2">
        <v>45992</v>
      </c>
      <c r="F241" s="3">
        <v>335047</v>
      </c>
      <c r="G241" s="3">
        <v>219991</v>
      </c>
      <c r="H241" s="3">
        <v>115056</v>
      </c>
      <c r="I241" s="3">
        <v>5780</v>
      </c>
      <c r="J241" s="4">
        <v>730.23</v>
      </c>
      <c r="K241" s="3">
        <v>228642</v>
      </c>
      <c r="L241" s="3">
        <v>106405</v>
      </c>
    </row>
    <row r="242" spans="1:12" x14ac:dyDescent="0.25">
      <c r="A242" t="s">
        <v>23</v>
      </c>
      <c r="B242" t="s">
        <v>13</v>
      </c>
      <c r="C242" t="s">
        <v>14</v>
      </c>
      <c r="D242" t="s">
        <v>17</v>
      </c>
      <c r="E242" s="2">
        <v>45292</v>
      </c>
      <c r="F242" s="3">
        <v>163446</v>
      </c>
      <c r="G242" s="3">
        <v>100953</v>
      </c>
      <c r="H242" s="3">
        <v>62493</v>
      </c>
      <c r="I242" s="3">
        <v>953</v>
      </c>
      <c r="J242" s="4">
        <v>345.91</v>
      </c>
      <c r="K242" s="3">
        <v>111223</v>
      </c>
      <c r="L242" s="3">
        <v>52223</v>
      </c>
    </row>
    <row r="243" spans="1:12" x14ac:dyDescent="0.25">
      <c r="A243" t="s">
        <v>23</v>
      </c>
      <c r="B243" t="s">
        <v>13</v>
      </c>
      <c r="C243" t="s">
        <v>14</v>
      </c>
      <c r="D243" t="s">
        <v>17</v>
      </c>
      <c r="E243" s="2">
        <v>45323</v>
      </c>
      <c r="F243" s="3">
        <v>170796</v>
      </c>
      <c r="G243" s="3">
        <v>106770</v>
      </c>
      <c r="H243" s="3">
        <v>64026</v>
      </c>
      <c r="I243" s="3">
        <v>1003</v>
      </c>
      <c r="J243" s="4">
        <v>357.45</v>
      </c>
      <c r="K243" s="3">
        <v>115218</v>
      </c>
      <c r="L243" s="3">
        <v>55578</v>
      </c>
    </row>
    <row r="244" spans="1:12" x14ac:dyDescent="0.25">
      <c r="A244" t="s">
        <v>23</v>
      </c>
      <c r="B244" t="s">
        <v>13</v>
      </c>
      <c r="C244" t="s">
        <v>14</v>
      </c>
      <c r="D244" t="s">
        <v>17</v>
      </c>
      <c r="E244" s="2">
        <v>45352</v>
      </c>
      <c r="F244" s="3">
        <v>164598</v>
      </c>
      <c r="G244" s="3">
        <v>101392</v>
      </c>
      <c r="H244" s="3">
        <v>63206</v>
      </c>
      <c r="I244" s="3">
        <v>988</v>
      </c>
      <c r="J244" s="4">
        <v>362.34</v>
      </c>
      <c r="K244" s="3">
        <v>110342</v>
      </c>
      <c r="L244" s="3">
        <v>54256</v>
      </c>
    </row>
    <row r="245" spans="1:12" x14ac:dyDescent="0.25">
      <c r="A245" t="s">
        <v>23</v>
      </c>
      <c r="B245" t="s">
        <v>13</v>
      </c>
      <c r="C245" t="s">
        <v>14</v>
      </c>
      <c r="D245" t="s">
        <v>17</v>
      </c>
      <c r="E245" s="2">
        <v>45383</v>
      </c>
      <c r="F245" s="3">
        <v>163015</v>
      </c>
      <c r="G245" s="3">
        <v>99868</v>
      </c>
      <c r="H245" s="3">
        <v>63147</v>
      </c>
      <c r="I245" s="3">
        <v>1032</v>
      </c>
      <c r="J245" s="4">
        <v>370.94</v>
      </c>
      <c r="K245" s="3">
        <v>108987</v>
      </c>
      <c r="L245" s="3">
        <v>54028</v>
      </c>
    </row>
    <row r="246" spans="1:12" x14ac:dyDescent="0.25">
      <c r="A246" t="s">
        <v>23</v>
      </c>
      <c r="B246" t="s">
        <v>13</v>
      </c>
      <c r="C246" t="s">
        <v>14</v>
      </c>
      <c r="D246" t="s">
        <v>17</v>
      </c>
      <c r="E246" s="2">
        <v>45413</v>
      </c>
      <c r="F246" s="3">
        <v>164228</v>
      </c>
      <c r="G246" s="3">
        <v>104211</v>
      </c>
      <c r="H246" s="3">
        <v>60017</v>
      </c>
      <c r="I246" s="3">
        <v>991</v>
      </c>
      <c r="J246" s="4">
        <v>379.35</v>
      </c>
      <c r="K246" s="3">
        <v>110983</v>
      </c>
      <c r="L246" s="3">
        <v>53245</v>
      </c>
    </row>
    <row r="247" spans="1:12" x14ac:dyDescent="0.25">
      <c r="A247" t="s">
        <v>23</v>
      </c>
      <c r="B247" t="s">
        <v>13</v>
      </c>
      <c r="C247" t="s">
        <v>14</v>
      </c>
      <c r="D247" t="s">
        <v>17</v>
      </c>
      <c r="E247" s="2">
        <v>45444</v>
      </c>
      <c r="F247" s="3">
        <v>173783</v>
      </c>
      <c r="G247" s="3">
        <v>106926</v>
      </c>
      <c r="H247" s="3">
        <v>66857</v>
      </c>
      <c r="I247" s="3">
        <v>1070</v>
      </c>
      <c r="J247" s="4">
        <v>352.54</v>
      </c>
      <c r="K247" s="3">
        <v>117585</v>
      </c>
      <c r="L247" s="3">
        <v>56198</v>
      </c>
    </row>
    <row r="248" spans="1:12" x14ac:dyDescent="0.25">
      <c r="A248" t="s">
        <v>23</v>
      </c>
      <c r="B248" t="s">
        <v>13</v>
      </c>
      <c r="C248" t="s">
        <v>14</v>
      </c>
      <c r="D248" t="s">
        <v>17</v>
      </c>
      <c r="E248" s="2">
        <v>45474</v>
      </c>
      <c r="F248" s="3">
        <v>180761</v>
      </c>
      <c r="G248" s="3">
        <v>113567</v>
      </c>
      <c r="H248" s="3">
        <v>67194</v>
      </c>
      <c r="I248" s="3">
        <v>1046</v>
      </c>
      <c r="J248" s="4">
        <v>372.09</v>
      </c>
      <c r="K248" s="3">
        <v>123854</v>
      </c>
      <c r="L248" s="3">
        <v>56907</v>
      </c>
    </row>
    <row r="249" spans="1:12" x14ac:dyDescent="0.25">
      <c r="A249" t="s">
        <v>23</v>
      </c>
      <c r="B249" t="s">
        <v>13</v>
      </c>
      <c r="C249" t="s">
        <v>14</v>
      </c>
      <c r="D249" t="s">
        <v>17</v>
      </c>
      <c r="E249" s="2">
        <v>45505</v>
      </c>
      <c r="F249" s="3">
        <v>179729</v>
      </c>
      <c r="G249" s="3">
        <v>112709</v>
      </c>
      <c r="H249" s="3">
        <v>67020</v>
      </c>
      <c r="I249" s="3">
        <v>1141</v>
      </c>
      <c r="J249" s="4">
        <v>373.02</v>
      </c>
      <c r="K249" s="3">
        <v>120194</v>
      </c>
      <c r="L249" s="3">
        <v>59535</v>
      </c>
    </row>
    <row r="250" spans="1:12" x14ac:dyDescent="0.25">
      <c r="A250" t="s">
        <v>23</v>
      </c>
      <c r="B250" t="s">
        <v>13</v>
      </c>
      <c r="C250" t="s">
        <v>14</v>
      </c>
      <c r="D250" t="s">
        <v>17</v>
      </c>
      <c r="E250" s="2">
        <v>45536</v>
      </c>
      <c r="F250" s="3">
        <v>200252</v>
      </c>
      <c r="G250" s="3">
        <v>124635</v>
      </c>
      <c r="H250" s="3">
        <v>75617</v>
      </c>
      <c r="I250" s="3">
        <v>1170</v>
      </c>
      <c r="J250" s="4">
        <v>359.84</v>
      </c>
      <c r="K250" s="3">
        <v>131409</v>
      </c>
      <c r="L250" s="3">
        <v>68843</v>
      </c>
    </row>
    <row r="251" spans="1:12" x14ac:dyDescent="0.25">
      <c r="A251" t="s">
        <v>23</v>
      </c>
      <c r="B251" t="s">
        <v>13</v>
      </c>
      <c r="C251" t="s">
        <v>14</v>
      </c>
      <c r="D251" t="s">
        <v>17</v>
      </c>
      <c r="E251" s="2">
        <v>45566</v>
      </c>
      <c r="F251" s="3">
        <v>194687</v>
      </c>
      <c r="G251" s="3">
        <v>121098</v>
      </c>
      <c r="H251" s="3">
        <v>73589</v>
      </c>
      <c r="I251" s="3">
        <v>1153</v>
      </c>
      <c r="J251" s="4">
        <v>349.93</v>
      </c>
      <c r="K251" s="3">
        <v>132349</v>
      </c>
      <c r="L251" s="3">
        <v>62338</v>
      </c>
    </row>
    <row r="252" spans="1:12" x14ac:dyDescent="0.25">
      <c r="A252" t="s">
        <v>23</v>
      </c>
      <c r="B252" t="s">
        <v>13</v>
      </c>
      <c r="C252" t="s">
        <v>14</v>
      </c>
      <c r="D252" t="s">
        <v>17</v>
      </c>
      <c r="E252" s="2">
        <v>45597</v>
      </c>
      <c r="F252" s="3">
        <v>186162</v>
      </c>
      <c r="G252" s="3">
        <v>116055</v>
      </c>
      <c r="H252" s="3">
        <v>70107</v>
      </c>
      <c r="I252" s="3">
        <v>1085</v>
      </c>
      <c r="J252" s="4">
        <v>377.84</v>
      </c>
      <c r="K252" s="3">
        <v>127294</v>
      </c>
      <c r="L252" s="3">
        <v>58868</v>
      </c>
    </row>
    <row r="253" spans="1:12" x14ac:dyDescent="0.25">
      <c r="A253" t="s">
        <v>23</v>
      </c>
      <c r="B253" t="s">
        <v>13</v>
      </c>
      <c r="C253" t="s">
        <v>14</v>
      </c>
      <c r="D253" t="s">
        <v>17</v>
      </c>
      <c r="E253" s="2">
        <v>45627</v>
      </c>
      <c r="F253" s="3">
        <v>188097</v>
      </c>
      <c r="G253" s="3">
        <v>116854</v>
      </c>
      <c r="H253" s="3">
        <v>71243</v>
      </c>
      <c r="I253" s="3">
        <v>1199</v>
      </c>
      <c r="J253" s="4">
        <v>357.97</v>
      </c>
      <c r="K253" s="3">
        <v>124088</v>
      </c>
      <c r="L253" s="3">
        <v>64009</v>
      </c>
    </row>
    <row r="254" spans="1:12" x14ac:dyDescent="0.25">
      <c r="A254" t="s">
        <v>23</v>
      </c>
      <c r="B254" t="s">
        <v>13</v>
      </c>
      <c r="C254" t="s">
        <v>14</v>
      </c>
      <c r="D254" t="s">
        <v>17</v>
      </c>
      <c r="E254" s="2">
        <v>45658</v>
      </c>
      <c r="F254" s="3">
        <v>187452</v>
      </c>
      <c r="G254" s="3">
        <v>115947</v>
      </c>
      <c r="H254" s="3">
        <v>71505</v>
      </c>
      <c r="I254" s="3">
        <v>1116</v>
      </c>
      <c r="J254" s="4">
        <v>381.25</v>
      </c>
      <c r="K254" s="3">
        <v>125586</v>
      </c>
      <c r="L254" s="3">
        <v>61866</v>
      </c>
    </row>
    <row r="255" spans="1:12" x14ac:dyDescent="0.25">
      <c r="A255" t="s">
        <v>23</v>
      </c>
      <c r="B255" t="s">
        <v>13</v>
      </c>
      <c r="C255" t="s">
        <v>14</v>
      </c>
      <c r="D255" t="s">
        <v>17</v>
      </c>
      <c r="E255" s="2">
        <v>45689</v>
      </c>
      <c r="F255" s="3">
        <v>176020</v>
      </c>
      <c r="G255" s="3">
        <v>109342</v>
      </c>
      <c r="H255" s="3">
        <v>66678</v>
      </c>
      <c r="I255" s="3">
        <v>1063</v>
      </c>
      <c r="J255" s="4">
        <v>354.8</v>
      </c>
      <c r="K255" s="3">
        <v>118067</v>
      </c>
      <c r="L255" s="3">
        <v>57953</v>
      </c>
    </row>
    <row r="256" spans="1:12" x14ac:dyDescent="0.25">
      <c r="A256" t="s">
        <v>23</v>
      </c>
      <c r="B256" t="s">
        <v>13</v>
      </c>
      <c r="C256" t="s">
        <v>14</v>
      </c>
      <c r="D256" t="s">
        <v>17</v>
      </c>
      <c r="E256" s="2">
        <v>45717</v>
      </c>
      <c r="F256" s="3">
        <v>173631</v>
      </c>
      <c r="G256" s="3">
        <v>107749</v>
      </c>
      <c r="H256" s="3">
        <v>65882</v>
      </c>
      <c r="I256" s="3">
        <v>1064</v>
      </c>
      <c r="J256" s="4">
        <v>349.19</v>
      </c>
      <c r="K256" s="3">
        <v>115113</v>
      </c>
      <c r="L256" s="3">
        <v>58518</v>
      </c>
    </row>
    <row r="257" spans="1:12" x14ac:dyDescent="0.25">
      <c r="A257" t="s">
        <v>23</v>
      </c>
      <c r="B257" t="s">
        <v>13</v>
      </c>
      <c r="C257" t="s">
        <v>14</v>
      </c>
      <c r="D257" t="s">
        <v>17</v>
      </c>
      <c r="E257" s="2">
        <v>45748</v>
      </c>
      <c r="F257" s="3">
        <v>162923</v>
      </c>
      <c r="G257" s="3">
        <v>101607</v>
      </c>
      <c r="H257" s="3">
        <v>61316</v>
      </c>
      <c r="I257" s="3">
        <v>1014</v>
      </c>
      <c r="J257" s="4">
        <v>358.6</v>
      </c>
      <c r="K257" s="3">
        <v>107541</v>
      </c>
      <c r="L257" s="3">
        <v>55382</v>
      </c>
    </row>
    <row r="258" spans="1:12" x14ac:dyDescent="0.25">
      <c r="A258" t="s">
        <v>23</v>
      </c>
      <c r="B258" t="s">
        <v>13</v>
      </c>
      <c r="C258" t="s">
        <v>14</v>
      </c>
      <c r="D258" t="s">
        <v>17</v>
      </c>
      <c r="E258" s="2">
        <v>45778</v>
      </c>
      <c r="F258" s="3">
        <v>178430</v>
      </c>
      <c r="G258" s="3">
        <v>111205</v>
      </c>
      <c r="H258" s="3">
        <v>67225</v>
      </c>
      <c r="I258" s="3">
        <v>1067</v>
      </c>
      <c r="J258" s="4">
        <v>368.87</v>
      </c>
      <c r="K258" s="3">
        <v>116705</v>
      </c>
      <c r="L258" s="3">
        <v>61725</v>
      </c>
    </row>
    <row r="259" spans="1:12" x14ac:dyDescent="0.25">
      <c r="A259" t="s">
        <v>23</v>
      </c>
      <c r="B259" t="s">
        <v>13</v>
      </c>
      <c r="C259" t="s">
        <v>14</v>
      </c>
      <c r="D259" t="s">
        <v>17</v>
      </c>
      <c r="E259" s="2">
        <v>45809</v>
      </c>
      <c r="F259" s="3">
        <v>174989</v>
      </c>
      <c r="G259" s="3">
        <v>110173</v>
      </c>
      <c r="H259" s="3">
        <v>64816</v>
      </c>
      <c r="I259" s="3">
        <v>1091</v>
      </c>
      <c r="J259" s="4">
        <v>350.92</v>
      </c>
      <c r="K259" s="3">
        <v>117356</v>
      </c>
      <c r="L259" s="3">
        <v>57633</v>
      </c>
    </row>
    <row r="260" spans="1:12" x14ac:dyDescent="0.25">
      <c r="A260" t="s">
        <v>23</v>
      </c>
      <c r="B260" t="s">
        <v>13</v>
      </c>
      <c r="C260" t="s">
        <v>14</v>
      </c>
      <c r="D260" t="s">
        <v>17</v>
      </c>
      <c r="E260" s="2">
        <v>45839</v>
      </c>
      <c r="F260" s="3">
        <v>201250</v>
      </c>
      <c r="G260" s="3">
        <v>125525</v>
      </c>
      <c r="H260" s="3">
        <v>75725</v>
      </c>
      <c r="I260" s="3">
        <v>1274</v>
      </c>
      <c r="J260" s="4">
        <v>376.23</v>
      </c>
      <c r="K260" s="3">
        <v>132358</v>
      </c>
      <c r="L260" s="3">
        <v>68892</v>
      </c>
    </row>
    <row r="261" spans="1:12" x14ac:dyDescent="0.25">
      <c r="A261" t="s">
        <v>23</v>
      </c>
      <c r="B261" t="s">
        <v>13</v>
      </c>
      <c r="C261" t="s">
        <v>14</v>
      </c>
      <c r="D261" t="s">
        <v>17</v>
      </c>
      <c r="E261" s="2">
        <v>45870</v>
      </c>
      <c r="F261" s="3">
        <v>203690</v>
      </c>
      <c r="G261" s="3">
        <v>123852</v>
      </c>
      <c r="H261" s="3">
        <v>79838</v>
      </c>
      <c r="I261" s="3">
        <v>1235</v>
      </c>
      <c r="J261" s="4">
        <v>377.25</v>
      </c>
      <c r="K261" s="3">
        <v>134873</v>
      </c>
      <c r="L261" s="3">
        <v>68817</v>
      </c>
    </row>
    <row r="262" spans="1:12" x14ac:dyDescent="0.25">
      <c r="A262" t="s">
        <v>23</v>
      </c>
      <c r="B262" t="s">
        <v>13</v>
      </c>
      <c r="C262" t="s">
        <v>14</v>
      </c>
      <c r="D262" t="s">
        <v>17</v>
      </c>
      <c r="E262" s="2">
        <v>45901</v>
      </c>
      <c r="F262" s="3">
        <v>216629</v>
      </c>
      <c r="G262" s="3">
        <v>133465</v>
      </c>
      <c r="H262" s="3">
        <v>83164</v>
      </c>
      <c r="I262" s="3">
        <v>1334</v>
      </c>
      <c r="J262" s="4">
        <v>360.1</v>
      </c>
      <c r="K262" s="3">
        <v>145486</v>
      </c>
      <c r="L262" s="3">
        <v>71143</v>
      </c>
    </row>
    <row r="263" spans="1:12" x14ac:dyDescent="0.25">
      <c r="A263" t="s">
        <v>23</v>
      </c>
      <c r="B263" t="s">
        <v>13</v>
      </c>
      <c r="C263" t="s">
        <v>14</v>
      </c>
      <c r="D263" t="s">
        <v>17</v>
      </c>
      <c r="E263" s="2">
        <v>45931</v>
      </c>
      <c r="F263" s="3">
        <v>203887</v>
      </c>
      <c r="G263" s="3">
        <v>124668</v>
      </c>
      <c r="H263" s="3">
        <v>79219</v>
      </c>
      <c r="I263" s="3">
        <v>1240</v>
      </c>
      <c r="J263" s="4">
        <v>377.4</v>
      </c>
      <c r="K263" s="3">
        <v>136681</v>
      </c>
      <c r="L263" s="3">
        <v>67206</v>
      </c>
    </row>
    <row r="264" spans="1:12" x14ac:dyDescent="0.25">
      <c r="A264" t="s">
        <v>23</v>
      </c>
      <c r="B264" t="s">
        <v>13</v>
      </c>
      <c r="C264" t="s">
        <v>14</v>
      </c>
      <c r="D264" t="s">
        <v>17</v>
      </c>
      <c r="E264" s="2">
        <v>45962</v>
      </c>
      <c r="F264" s="3">
        <v>207107</v>
      </c>
      <c r="G264" s="3">
        <v>130180</v>
      </c>
      <c r="H264" s="3">
        <v>76927</v>
      </c>
      <c r="I264" s="3">
        <v>1239</v>
      </c>
      <c r="J264" s="4">
        <v>358.06</v>
      </c>
      <c r="K264" s="3">
        <v>137508</v>
      </c>
      <c r="L264" s="3">
        <v>69599</v>
      </c>
    </row>
    <row r="265" spans="1:12" x14ac:dyDescent="0.25">
      <c r="A265" t="s">
        <v>23</v>
      </c>
      <c r="B265" t="s">
        <v>13</v>
      </c>
      <c r="C265" t="s">
        <v>14</v>
      </c>
      <c r="D265" t="s">
        <v>17</v>
      </c>
      <c r="E265" s="2">
        <v>45992</v>
      </c>
      <c r="F265" s="3">
        <v>209576</v>
      </c>
      <c r="G265" s="3">
        <v>129567</v>
      </c>
      <c r="H265" s="3">
        <v>80009</v>
      </c>
      <c r="I265" s="3">
        <v>1315</v>
      </c>
      <c r="J265" s="4">
        <v>380.24</v>
      </c>
      <c r="K265" s="3">
        <v>140189</v>
      </c>
      <c r="L265" s="3">
        <v>69387</v>
      </c>
    </row>
    <row r="266" spans="1:12" x14ac:dyDescent="0.25">
      <c r="A266" t="s">
        <v>23</v>
      </c>
      <c r="B266" t="s">
        <v>13</v>
      </c>
      <c r="C266" t="s">
        <v>14</v>
      </c>
      <c r="D266" t="s">
        <v>18</v>
      </c>
      <c r="E266" s="2">
        <v>45292</v>
      </c>
      <c r="F266" s="3">
        <v>119004</v>
      </c>
      <c r="G266" s="3">
        <v>77289</v>
      </c>
      <c r="H266" s="3">
        <v>41715</v>
      </c>
      <c r="I266" s="3">
        <v>4178</v>
      </c>
      <c r="J266" s="4">
        <v>218.23</v>
      </c>
      <c r="K266" s="3">
        <v>79912</v>
      </c>
      <c r="L266" s="3">
        <v>39092</v>
      </c>
    </row>
    <row r="267" spans="1:12" x14ac:dyDescent="0.25">
      <c r="A267" t="s">
        <v>23</v>
      </c>
      <c r="B267" t="s">
        <v>13</v>
      </c>
      <c r="C267" t="s">
        <v>14</v>
      </c>
      <c r="D267" t="s">
        <v>18</v>
      </c>
      <c r="E267" s="2">
        <v>45323</v>
      </c>
      <c r="F267" s="3">
        <v>111921</v>
      </c>
      <c r="G267" s="3">
        <v>70333</v>
      </c>
      <c r="H267" s="3">
        <v>41588</v>
      </c>
      <c r="I267" s="3">
        <v>4007</v>
      </c>
      <c r="J267" s="4">
        <v>209.85</v>
      </c>
      <c r="K267" s="3">
        <v>74260</v>
      </c>
      <c r="L267" s="3">
        <v>37661</v>
      </c>
    </row>
    <row r="268" spans="1:12" x14ac:dyDescent="0.25">
      <c r="A268" t="s">
        <v>23</v>
      </c>
      <c r="B268" t="s">
        <v>13</v>
      </c>
      <c r="C268" t="s">
        <v>14</v>
      </c>
      <c r="D268" t="s">
        <v>18</v>
      </c>
      <c r="E268" s="2">
        <v>45352</v>
      </c>
      <c r="F268" s="3">
        <v>111511</v>
      </c>
      <c r="G268" s="3">
        <v>70001</v>
      </c>
      <c r="H268" s="3">
        <v>41510</v>
      </c>
      <c r="I268" s="3">
        <v>3971</v>
      </c>
      <c r="J268" s="4">
        <v>204.95</v>
      </c>
      <c r="K268" s="3">
        <v>74678</v>
      </c>
      <c r="L268" s="3">
        <v>36833</v>
      </c>
    </row>
    <row r="269" spans="1:12" x14ac:dyDescent="0.25">
      <c r="A269" t="s">
        <v>23</v>
      </c>
      <c r="B269" t="s">
        <v>13</v>
      </c>
      <c r="C269" t="s">
        <v>14</v>
      </c>
      <c r="D269" t="s">
        <v>18</v>
      </c>
      <c r="E269" s="2">
        <v>45383</v>
      </c>
      <c r="F269" s="3">
        <v>104558</v>
      </c>
      <c r="G269" s="3">
        <v>68113</v>
      </c>
      <c r="H269" s="3">
        <v>36445</v>
      </c>
      <c r="I269" s="3">
        <v>3753</v>
      </c>
      <c r="J269" s="4">
        <v>212.62</v>
      </c>
      <c r="K269" s="3">
        <v>69008</v>
      </c>
      <c r="L269" s="3">
        <v>35550</v>
      </c>
    </row>
    <row r="270" spans="1:12" x14ac:dyDescent="0.25">
      <c r="A270" t="s">
        <v>23</v>
      </c>
      <c r="B270" t="s">
        <v>13</v>
      </c>
      <c r="C270" t="s">
        <v>14</v>
      </c>
      <c r="D270" t="s">
        <v>18</v>
      </c>
      <c r="E270" s="2">
        <v>45413</v>
      </c>
      <c r="F270" s="3">
        <v>115188</v>
      </c>
      <c r="G270" s="3">
        <v>75527</v>
      </c>
      <c r="H270" s="3">
        <v>39661</v>
      </c>
      <c r="I270" s="3">
        <v>4244</v>
      </c>
      <c r="J270" s="4">
        <v>205.12</v>
      </c>
      <c r="K270" s="3">
        <v>76546</v>
      </c>
      <c r="L270" s="3">
        <v>38642</v>
      </c>
    </row>
    <row r="271" spans="1:12" x14ac:dyDescent="0.25">
      <c r="A271" t="s">
        <v>23</v>
      </c>
      <c r="B271" t="s">
        <v>13</v>
      </c>
      <c r="C271" t="s">
        <v>14</v>
      </c>
      <c r="D271" t="s">
        <v>18</v>
      </c>
      <c r="E271" s="2">
        <v>45444</v>
      </c>
      <c r="F271" s="3">
        <v>122021</v>
      </c>
      <c r="G271" s="3">
        <v>78257</v>
      </c>
      <c r="H271" s="3">
        <v>43764</v>
      </c>
      <c r="I271" s="3">
        <v>4234</v>
      </c>
      <c r="J271" s="4">
        <v>211.62</v>
      </c>
      <c r="K271" s="3">
        <v>82305</v>
      </c>
      <c r="L271" s="3">
        <v>39716</v>
      </c>
    </row>
    <row r="272" spans="1:12" x14ac:dyDescent="0.25">
      <c r="A272" t="s">
        <v>23</v>
      </c>
      <c r="B272" t="s">
        <v>13</v>
      </c>
      <c r="C272" t="s">
        <v>14</v>
      </c>
      <c r="D272" t="s">
        <v>18</v>
      </c>
      <c r="E272" s="2">
        <v>45474</v>
      </c>
      <c r="F272" s="3">
        <v>126047</v>
      </c>
      <c r="G272" s="3">
        <v>81868</v>
      </c>
      <c r="H272" s="3">
        <v>44179</v>
      </c>
      <c r="I272" s="3">
        <v>4432</v>
      </c>
      <c r="J272" s="4">
        <v>219.6</v>
      </c>
      <c r="K272" s="3">
        <v>84481</v>
      </c>
      <c r="L272" s="3">
        <v>41566</v>
      </c>
    </row>
    <row r="273" spans="1:12" x14ac:dyDescent="0.25">
      <c r="A273" t="s">
        <v>23</v>
      </c>
      <c r="B273" t="s">
        <v>13</v>
      </c>
      <c r="C273" t="s">
        <v>14</v>
      </c>
      <c r="D273" t="s">
        <v>18</v>
      </c>
      <c r="E273" s="2">
        <v>45505</v>
      </c>
      <c r="F273" s="3">
        <v>135461</v>
      </c>
      <c r="G273" s="3">
        <v>87468</v>
      </c>
      <c r="H273" s="3">
        <v>47993</v>
      </c>
      <c r="I273" s="3">
        <v>4629</v>
      </c>
      <c r="J273" s="4">
        <v>206.53</v>
      </c>
      <c r="K273" s="3">
        <v>88962</v>
      </c>
      <c r="L273" s="3">
        <v>46499</v>
      </c>
    </row>
    <row r="274" spans="1:12" x14ac:dyDescent="0.25">
      <c r="A274" t="s">
        <v>23</v>
      </c>
      <c r="B274" t="s">
        <v>13</v>
      </c>
      <c r="C274" t="s">
        <v>14</v>
      </c>
      <c r="D274" t="s">
        <v>18</v>
      </c>
      <c r="E274" s="2">
        <v>45536</v>
      </c>
      <c r="F274" s="3">
        <v>131466</v>
      </c>
      <c r="G274" s="3">
        <v>84206</v>
      </c>
      <c r="H274" s="3">
        <v>47260</v>
      </c>
      <c r="I274" s="3">
        <v>4903</v>
      </c>
      <c r="J274" s="4">
        <v>217.78</v>
      </c>
      <c r="K274" s="3">
        <v>88291</v>
      </c>
      <c r="L274" s="3">
        <v>43175</v>
      </c>
    </row>
    <row r="275" spans="1:12" x14ac:dyDescent="0.25">
      <c r="A275" t="s">
        <v>23</v>
      </c>
      <c r="B275" t="s">
        <v>13</v>
      </c>
      <c r="C275" t="s">
        <v>14</v>
      </c>
      <c r="D275" t="s">
        <v>18</v>
      </c>
      <c r="E275" s="2">
        <v>45566</v>
      </c>
      <c r="F275" s="3">
        <v>139341</v>
      </c>
      <c r="G275" s="3">
        <v>90215</v>
      </c>
      <c r="H275" s="3">
        <v>49126</v>
      </c>
      <c r="I275" s="3">
        <v>4935</v>
      </c>
      <c r="J275" s="4">
        <v>204.13</v>
      </c>
      <c r="K275" s="3">
        <v>92486</v>
      </c>
      <c r="L275" s="3">
        <v>46855</v>
      </c>
    </row>
    <row r="276" spans="1:12" x14ac:dyDescent="0.25">
      <c r="A276" t="s">
        <v>23</v>
      </c>
      <c r="B276" t="s">
        <v>13</v>
      </c>
      <c r="C276" t="s">
        <v>14</v>
      </c>
      <c r="D276" t="s">
        <v>18</v>
      </c>
      <c r="E276" s="2">
        <v>45597</v>
      </c>
      <c r="F276" s="3">
        <v>141322</v>
      </c>
      <c r="G276" s="3">
        <v>90302</v>
      </c>
      <c r="H276" s="3">
        <v>51020</v>
      </c>
      <c r="I276" s="3">
        <v>4876</v>
      </c>
      <c r="J276" s="4">
        <v>206.24</v>
      </c>
      <c r="K276" s="3">
        <v>93481</v>
      </c>
      <c r="L276" s="3">
        <v>47841</v>
      </c>
    </row>
    <row r="277" spans="1:12" x14ac:dyDescent="0.25">
      <c r="A277" t="s">
        <v>23</v>
      </c>
      <c r="B277" t="s">
        <v>13</v>
      </c>
      <c r="C277" t="s">
        <v>14</v>
      </c>
      <c r="D277" t="s">
        <v>18</v>
      </c>
      <c r="E277" s="2">
        <v>45627</v>
      </c>
      <c r="F277" s="3">
        <v>131520</v>
      </c>
      <c r="G277" s="3">
        <v>83196</v>
      </c>
      <c r="H277" s="3">
        <v>48324</v>
      </c>
      <c r="I277" s="3">
        <v>4860</v>
      </c>
      <c r="J277" s="4">
        <v>203.15</v>
      </c>
      <c r="K277" s="3">
        <v>89026</v>
      </c>
      <c r="L277" s="3">
        <v>42494</v>
      </c>
    </row>
    <row r="278" spans="1:12" x14ac:dyDescent="0.25">
      <c r="A278" t="s">
        <v>23</v>
      </c>
      <c r="B278" t="s">
        <v>13</v>
      </c>
      <c r="C278" t="s">
        <v>14</v>
      </c>
      <c r="D278" t="s">
        <v>18</v>
      </c>
      <c r="E278" s="2">
        <v>45658</v>
      </c>
      <c r="F278" s="3">
        <v>132286</v>
      </c>
      <c r="G278" s="3">
        <v>85981</v>
      </c>
      <c r="H278" s="3">
        <v>46305</v>
      </c>
      <c r="I278" s="3">
        <v>4808</v>
      </c>
      <c r="J278" s="4">
        <v>211.89</v>
      </c>
      <c r="K278" s="3">
        <v>89593</v>
      </c>
      <c r="L278" s="3">
        <v>42693</v>
      </c>
    </row>
    <row r="279" spans="1:12" x14ac:dyDescent="0.25">
      <c r="A279" t="s">
        <v>23</v>
      </c>
      <c r="B279" t="s">
        <v>13</v>
      </c>
      <c r="C279" t="s">
        <v>14</v>
      </c>
      <c r="D279" t="s">
        <v>18</v>
      </c>
      <c r="E279" s="2">
        <v>45689</v>
      </c>
      <c r="F279" s="3">
        <v>124400</v>
      </c>
      <c r="G279" s="3">
        <v>79758</v>
      </c>
      <c r="H279" s="3">
        <v>44642</v>
      </c>
      <c r="I279" s="3">
        <v>4277</v>
      </c>
      <c r="J279" s="4">
        <v>216.51</v>
      </c>
      <c r="K279" s="3">
        <v>83277</v>
      </c>
      <c r="L279" s="3">
        <v>41123</v>
      </c>
    </row>
    <row r="280" spans="1:12" x14ac:dyDescent="0.25">
      <c r="A280" t="s">
        <v>23</v>
      </c>
      <c r="B280" t="s">
        <v>13</v>
      </c>
      <c r="C280" t="s">
        <v>14</v>
      </c>
      <c r="D280" t="s">
        <v>18</v>
      </c>
      <c r="E280" s="2">
        <v>45717</v>
      </c>
      <c r="F280" s="3">
        <v>120567</v>
      </c>
      <c r="G280" s="3">
        <v>75621</v>
      </c>
      <c r="H280" s="3">
        <v>44946</v>
      </c>
      <c r="I280" s="3">
        <v>4524</v>
      </c>
      <c r="J280" s="4">
        <v>203.77</v>
      </c>
      <c r="K280" s="3">
        <v>82713</v>
      </c>
      <c r="L280" s="3">
        <v>37854</v>
      </c>
    </row>
    <row r="281" spans="1:12" x14ac:dyDescent="0.25">
      <c r="A281" t="s">
        <v>23</v>
      </c>
      <c r="B281" t="s">
        <v>13</v>
      </c>
      <c r="C281" t="s">
        <v>14</v>
      </c>
      <c r="D281" t="s">
        <v>18</v>
      </c>
      <c r="E281" s="2">
        <v>45748</v>
      </c>
      <c r="F281" s="3">
        <v>121958</v>
      </c>
      <c r="G281" s="3">
        <v>78142</v>
      </c>
      <c r="H281" s="3">
        <v>43816</v>
      </c>
      <c r="I281" s="3">
        <v>4444</v>
      </c>
      <c r="J281" s="4">
        <v>216.11</v>
      </c>
      <c r="K281" s="3">
        <v>83326</v>
      </c>
      <c r="L281" s="3">
        <v>38632</v>
      </c>
    </row>
    <row r="282" spans="1:12" x14ac:dyDescent="0.25">
      <c r="A282" t="s">
        <v>23</v>
      </c>
      <c r="B282" t="s">
        <v>13</v>
      </c>
      <c r="C282" t="s">
        <v>14</v>
      </c>
      <c r="D282" t="s">
        <v>18</v>
      </c>
      <c r="E282" s="2">
        <v>45778</v>
      </c>
      <c r="F282" s="3">
        <v>123002</v>
      </c>
      <c r="G282" s="3">
        <v>79032</v>
      </c>
      <c r="H282" s="3">
        <v>43970</v>
      </c>
      <c r="I282" s="3">
        <v>4327</v>
      </c>
      <c r="J282" s="4">
        <v>209.91</v>
      </c>
      <c r="K282" s="3">
        <v>82639</v>
      </c>
      <c r="L282" s="3">
        <v>40363</v>
      </c>
    </row>
    <row r="283" spans="1:12" x14ac:dyDescent="0.25">
      <c r="A283" t="s">
        <v>23</v>
      </c>
      <c r="B283" t="s">
        <v>13</v>
      </c>
      <c r="C283" t="s">
        <v>14</v>
      </c>
      <c r="D283" t="s">
        <v>18</v>
      </c>
      <c r="E283" s="2">
        <v>45809</v>
      </c>
      <c r="F283" s="3">
        <v>120093</v>
      </c>
      <c r="G283" s="3">
        <v>75903</v>
      </c>
      <c r="H283" s="3">
        <v>44190</v>
      </c>
      <c r="I283" s="3">
        <v>4183</v>
      </c>
      <c r="J283" s="4">
        <v>217.71</v>
      </c>
      <c r="K283" s="3">
        <v>80640</v>
      </c>
      <c r="L283" s="3">
        <v>39453</v>
      </c>
    </row>
    <row r="284" spans="1:12" x14ac:dyDescent="0.25">
      <c r="A284" t="s">
        <v>23</v>
      </c>
      <c r="B284" t="s">
        <v>13</v>
      </c>
      <c r="C284" t="s">
        <v>14</v>
      </c>
      <c r="D284" t="s">
        <v>18</v>
      </c>
      <c r="E284" s="2">
        <v>45839</v>
      </c>
      <c r="F284" s="3">
        <v>127172</v>
      </c>
      <c r="G284" s="3">
        <v>81052</v>
      </c>
      <c r="H284" s="3">
        <v>46120</v>
      </c>
      <c r="I284" s="3">
        <v>4386</v>
      </c>
      <c r="J284" s="4">
        <v>204.68</v>
      </c>
      <c r="K284" s="3">
        <v>84036</v>
      </c>
      <c r="L284" s="3">
        <v>43136</v>
      </c>
    </row>
    <row r="285" spans="1:12" x14ac:dyDescent="0.25">
      <c r="A285" t="s">
        <v>23</v>
      </c>
      <c r="B285" t="s">
        <v>13</v>
      </c>
      <c r="C285" t="s">
        <v>14</v>
      </c>
      <c r="D285" t="s">
        <v>18</v>
      </c>
      <c r="E285" s="2">
        <v>45870</v>
      </c>
      <c r="F285" s="3">
        <v>147582</v>
      </c>
      <c r="G285" s="3">
        <v>96180</v>
      </c>
      <c r="H285" s="3">
        <v>51402</v>
      </c>
      <c r="I285" s="3">
        <v>5538</v>
      </c>
      <c r="J285" s="4">
        <v>202.93</v>
      </c>
      <c r="K285" s="3">
        <v>100315</v>
      </c>
      <c r="L285" s="3">
        <v>47267</v>
      </c>
    </row>
    <row r="286" spans="1:12" x14ac:dyDescent="0.25">
      <c r="A286" t="s">
        <v>23</v>
      </c>
      <c r="B286" t="s">
        <v>13</v>
      </c>
      <c r="C286" t="s">
        <v>14</v>
      </c>
      <c r="D286" t="s">
        <v>18</v>
      </c>
      <c r="E286" s="2">
        <v>45901</v>
      </c>
      <c r="F286" s="3">
        <v>146568</v>
      </c>
      <c r="G286" s="3">
        <v>95892</v>
      </c>
      <c r="H286" s="3">
        <v>50676</v>
      </c>
      <c r="I286" s="3">
        <v>5062</v>
      </c>
      <c r="J286" s="4">
        <v>221.34</v>
      </c>
      <c r="K286" s="3">
        <v>100237</v>
      </c>
      <c r="L286" s="3">
        <v>46331</v>
      </c>
    </row>
    <row r="287" spans="1:12" x14ac:dyDescent="0.25">
      <c r="A287" t="s">
        <v>23</v>
      </c>
      <c r="B287" t="s">
        <v>13</v>
      </c>
      <c r="C287" t="s">
        <v>14</v>
      </c>
      <c r="D287" t="s">
        <v>18</v>
      </c>
      <c r="E287" s="2">
        <v>45931</v>
      </c>
      <c r="F287" s="3">
        <v>149997</v>
      </c>
      <c r="G287" s="3">
        <v>95782</v>
      </c>
      <c r="H287" s="3">
        <v>54215</v>
      </c>
      <c r="I287" s="3">
        <v>5219</v>
      </c>
      <c r="J287" s="4">
        <v>217.45</v>
      </c>
      <c r="K287" s="3">
        <v>100430</v>
      </c>
      <c r="L287" s="3">
        <v>49567</v>
      </c>
    </row>
    <row r="288" spans="1:12" x14ac:dyDescent="0.25">
      <c r="A288" t="s">
        <v>23</v>
      </c>
      <c r="B288" t="s">
        <v>13</v>
      </c>
      <c r="C288" t="s">
        <v>14</v>
      </c>
      <c r="D288" t="s">
        <v>18</v>
      </c>
      <c r="E288" s="2">
        <v>45962</v>
      </c>
      <c r="F288" s="3">
        <v>155278</v>
      </c>
      <c r="G288" s="3">
        <v>98245</v>
      </c>
      <c r="H288" s="3">
        <v>57033</v>
      </c>
      <c r="I288" s="3">
        <v>5371</v>
      </c>
      <c r="J288" s="4">
        <v>213.57</v>
      </c>
      <c r="K288" s="3">
        <v>101883</v>
      </c>
      <c r="L288" s="3">
        <v>53395</v>
      </c>
    </row>
    <row r="289" spans="1:12" x14ac:dyDescent="0.25">
      <c r="A289" t="s">
        <v>23</v>
      </c>
      <c r="B289" t="s">
        <v>13</v>
      </c>
      <c r="C289" t="s">
        <v>14</v>
      </c>
      <c r="D289" t="s">
        <v>18</v>
      </c>
      <c r="E289" s="2">
        <v>45992</v>
      </c>
      <c r="F289" s="3">
        <v>134371</v>
      </c>
      <c r="G289" s="3">
        <v>87817</v>
      </c>
      <c r="H289" s="3">
        <v>46554</v>
      </c>
      <c r="I289" s="3">
        <v>4870</v>
      </c>
      <c r="J289" s="4">
        <v>216.78</v>
      </c>
      <c r="K289" s="3">
        <v>89137</v>
      </c>
      <c r="L289" s="3">
        <v>45234</v>
      </c>
    </row>
    <row r="290" spans="1:12" x14ac:dyDescent="0.25">
      <c r="A290" t="s">
        <v>23</v>
      </c>
      <c r="B290" t="s">
        <v>13</v>
      </c>
      <c r="C290" t="s">
        <v>14</v>
      </c>
      <c r="D290" t="s">
        <v>19</v>
      </c>
      <c r="E290" s="2">
        <v>45292</v>
      </c>
      <c r="F290" s="3">
        <v>106323</v>
      </c>
      <c r="G290" s="3">
        <v>62585</v>
      </c>
      <c r="H290" s="3">
        <v>43738</v>
      </c>
      <c r="I290" s="3">
        <v>4230</v>
      </c>
      <c r="J290" s="4">
        <v>123.72</v>
      </c>
      <c r="K290" s="3">
        <v>69709</v>
      </c>
      <c r="L290" s="3">
        <v>36614</v>
      </c>
    </row>
    <row r="291" spans="1:12" x14ac:dyDescent="0.25">
      <c r="A291" t="s">
        <v>23</v>
      </c>
      <c r="B291" t="s">
        <v>13</v>
      </c>
      <c r="C291" t="s">
        <v>14</v>
      </c>
      <c r="D291" t="s">
        <v>19</v>
      </c>
      <c r="E291" s="2">
        <v>45323</v>
      </c>
      <c r="F291" s="3">
        <v>110492</v>
      </c>
      <c r="G291" s="3">
        <v>66362</v>
      </c>
      <c r="H291" s="3">
        <v>44130</v>
      </c>
      <c r="I291" s="3">
        <v>4414</v>
      </c>
      <c r="J291" s="4">
        <v>122.55</v>
      </c>
      <c r="K291" s="3">
        <v>72761</v>
      </c>
      <c r="L291" s="3">
        <v>37731</v>
      </c>
    </row>
    <row r="292" spans="1:12" x14ac:dyDescent="0.25">
      <c r="A292" t="s">
        <v>23</v>
      </c>
      <c r="B292" t="s">
        <v>13</v>
      </c>
      <c r="C292" t="s">
        <v>14</v>
      </c>
      <c r="D292" t="s">
        <v>19</v>
      </c>
      <c r="E292" s="2">
        <v>45352</v>
      </c>
      <c r="F292" s="3">
        <v>103321</v>
      </c>
      <c r="G292" s="3">
        <v>61645</v>
      </c>
      <c r="H292" s="3">
        <v>41676</v>
      </c>
      <c r="I292" s="3">
        <v>4324</v>
      </c>
      <c r="J292" s="4">
        <v>119.51</v>
      </c>
      <c r="K292" s="3">
        <v>68290</v>
      </c>
      <c r="L292" s="3">
        <v>35031</v>
      </c>
    </row>
    <row r="293" spans="1:12" x14ac:dyDescent="0.25">
      <c r="A293" t="s">
        <v>23</v>
      </c>
      <c r="B293" t="s">
        <v>13</v>
      </c>
      <c r="C293" t="s">
        <v>14</v>
      </c>
      <c r="D293" t="s">
        <v>19</v>
      </c>
      <c r="E293" s="2">
        <v>45383</v>
      </c>
      <c r="F293" s="3">
        <v>104557</v>
      </c>
      <c r="G293" s="3">
        <v>62033</v>
      </c>
      <c r="H293" s="3">
        <v>42524</v>
      </c>
      <c r="I293" s="3">
        <v>4333</v>
      </c>
      <c r="J293" s="4">
        <v>125.41</v>
      </c>
      <c r="K293" s="3">
        <v>71565</v>
      </c>
      <c r="L293" s="3">
        <v>32992</v>
      </c>
    </row>
    <row r="294" spans="1:12" x14ac:dyDescent="0.25">
      <c r="A294" t="s">
        <v>23</v>
      </c>
      <c r="B294" t="s">
        <v>13</v>
      </c>
      <c r="C294" t="s">
        <v>14</v>
      </c>
      <c r="D294" t="s">
        <v>19</v>
      </c>
      <c r="E294" s="2">
        <v>45413</v>
      </c>
      <c r="F294" s="3">
        <v>106367</v>
      </c>
      <c r="G294" s="3">
        <v>62609</v>
      </c>
      <c r="H294" s="3">
        <v>43758</v>
      </c>
      <c r="I294" s="3">
        <v>4510</v>
      </c>
      <c r="J294" s="4">
        <v>127.07</v>
      </c>
      <c r="K294" s="3">
        <v>69984</v>
      </c>
      <c r="L294" s="3">
        <v>36383</v>
      </c>
    </row>
    <row r="295" spans="1:12" x14ac:dyDescent="0.25">
      <c r="A295" t="s">
        <v>23</v>
      </c>
      <c r="B295" t="s">
        <v>13</v>
      </c>
      <c r="C295" t="s">
        <v>14</v>
      </c>
      <c r="D295" t="s">
        <v>19</v>
      </c>
      <c r="E295" s="2">
        <v>45444</v>
      </c>
      <c r="F295" s="3">
        <v>109024</v>
      </c>
      <c r="G295" s="3">
        <v>66472</v>
      </c>
      <c r="H295" s="3">
        <v>42552</v>
      </c>
      <c r="I295" s="3">
        <v>4601</v>
      </c>
      <c r="J295" s="4">
        <v>121.06</v>
      </c>
      <c r="K295" s="3">
        <v>72319</v>
      </c>
      <c r="L295" s="3">
        <v>36705</v>
      </c>
    </row>
    <row r="296" spans="1:12" x14ac:dyDescent="0.25">
      <c r="A296" t="s">
        <v>23</v>
      </c>
      <c r="B296" t="s">
        <v>13</v>
      </c>
      <c r="C296" t="s">
        <v>14</v>
      </c>
      <c r="D296" t="s">
        <v>19</v>
      </c>
      <c r="E296" s="2">
        <v>45474</v>
      </c>
      <c r="F296" s="3">
        <v>112529</v>
      </c>
      <c r="G296" s="3">
        <v>67348</v>
      </c>
      <c r="H296" s="3">
        <v>45181</v>
      </c>
      <c r="I296" s="3">
        <v>4662</v>
      </c>
      <c r="J296" s="4">
        <v>126.19</v>
      </c>
      <c r="K296" s="3">
        <v>75340</v>
      </c>
      <c r="L296" s="3">
        <v>37189</v>
      </c>
    </row>
    <row r="297" spans="1:12" x14ac:dyDescent="0.25">
      <c r="A297" t="s">
        <v>23</v>
      </c>
      <c r="B297" t="s">
        <v>13</v>
      </c>
      <c r="C297" t="s">
        <v>14</v>
      </c>
      <c r="D297" t="s">
        <v>19</v>
      </c>
      <c r="E297" s="2">
        <v>45505</v>
      </c>
      <c r="F297" s="3">
        <v>118850</v>
      </c>
      <c r="G297" s="3">
        <v>71836</v>
      </c>
      <c r="H297" s="3">
        <v>47014</v>
      </c>
      <c r="I297" s="3">
        <v>4717</v>
      </c>
      <c r="J297" s="4">
        <v>123.37</v>
      </c>
      <c r="K297" s="3">
        <v>78088</v>
      </c>
      <c r="L297" s="3">
        <v>40762</v>
      </c>
    </row>
    <row r="298" spans="1:12" x14ac:dyDescent="0.25">
      <c r="A298" t="s">
        <v>23</v>
      </c>
      <c r="B298" t="s">
        <v>13</v>
      </c>
      <c r="C298" t="s">
        <v>14</v>
      </c>
      <c r="D298" t="s">
        <v>19</v>
      </c>
      <c r="E298" s="2">
        <v>45536</v>
      </c>
      <c r="F298" s="3">
        <v>130124</v>
      </c>
      <c r="G298" s="3">
        <v>77154</v>
      </c>
      <c r="H298" s="3">
        <v>52970</v>
      </c>
      <c r="I298" s="3">
        <v>5530</v>
      </c>
      <c r="J298" s="4">
        <v>123.16</v>
      </c>
      <c r="K298" s="3">
        <v>87094</v>
      </c>
      <c r="L298" s="3">
        <v>43030</v>
      </c>
    </row>
    <row r="299" spans="1:12" x14ac:dyDescent="0.25">
      <c r="A299" t="s">
        <v>23</v>
      </c>
      <c r="B299" t="s">
        <v>13</v>
      </c>
      <c r="C299" t="s">
        <v>14</v>
      </c>
      <c r="D299" t="s">
        <v>19</v>
      </c>
      <c r="E299" s="2">
        <v>45566</v>
      </c>
      <c r="F299" s="3">
        <v>129596</v>
      </c>
      <c r="G299" s="3">
        <v>79059</v>
      </c>
      <c r="H299" s="3">
        <v>50537</v>
      </c>
      <c r="I299" s="3">
        <v>5238</v>
      </c>
      <c r="J299" s="4">
        <v>120.57</v>
      </c>
      <c r="K299" s="3">
        <v>88324</v>
      </c>
      <c r="L299" s="3">
        <v>41272</v>
      </c>
    </row>
    <row r="300" spans="1:12" x14ac:dyDescent="0.25">
      <c r="A300" t="s">
        <v>23</v>
      </c>
      <c r="B300" t="s">
        <v>13</v>
      </c>
      <c r="C300" t="s">
        <v>14</v>
      </c>
      <c r="D300" t="s">
        <v>19</v>
      </c>
      <c r="E300" s="2">
        <v>45597</v>
      </c>
      <c r="F300" s="3">
        <v>126566</v>
      </c>
      <c r="G300" s="3">
        <v>75402</v>
      </c>
      <c r="H300" s="3">
        <v>51164</v>
      </c>
      <c r="I300" s="3">
        <v>5304</v>
      </c>
      <c r="J300" s="4">
        <v>121.22</v>
      </c>
      <c r="K300" s="3">
        <v>86797</v>
      </c>
      <c r="L300" s="3">
        <v>39769</v>
      </c>
    </row>
    <row r="301" spans="1:12" x14ac:dyDescent="0.25">
      <c r="A301" t="s">
        <v>23</v>
      </c>
      <c r="B301" t="s">
        <v>13</v>
      </c>
      <c r="C301" t="s">
        <v>14</v>
      </c>
      <c r="D301" t="s">
        <v>19</v>
      </c>
      <c r="E301" s="2">
        <v>45627</v>
      </c>
      <c r="F301" s="3">
        <v>131079</v>
      </c>
      <c r="G301" s="3">
        <v>79944</v>
      </c>
      <c r="H301" s="3">
        <v>51135</v>
      </c>
      <c r="I301" s="3">
        <v>5215</v>
      </c>
      <c r="J301" s="4">
        <v>121.69</v>
      </c>
      <c r="K301" s="3">
        <v>87573</v>
      </c>
      <c r="L301" s="3">
        <v>43506</v>
      </c>
    </row>
    <row r="302" spans="1:12" x14ac:dyDescent="0.25">
      <c r="A302" t="s">
        <v>23</v>
      </c>
      <c r="B302" t="s">
        <v>13</v>
      </c>
      <c r="C302" t="s">
        <v>14</v>
      </c>
      <c r="D302" t="s">
        <v>19</v>
      </c>
      <c r="E302" s="2">
        <v>45658</v>
      </c>
      <c r="F302" s="3">
        <v>122207</v>
      </c>
      <c r="G302" s="3">
        <v>72565</v>
      </c>
      <c r="H302" s="3">
        <v>49642</v>
      </c>
      <c r="I302" s="3">
        <v>5232</v>
      </c>
      <c r="J302" s="4">
        <v>126.24</v>
      </c>
      <c r="K302" s="3">
        <v>83091</v>
      </c>
      <c r="L302" s="3">
        <v>39116</v>
      </c>
    </row>
    <row r="303" spans="1:12" x14ac:dyDescent="0.25">
      <c r="A303" t="s">
        <v>23</v>
      </c>
      <c r="B303" t="s">
        <v>13</v>
      </c>
      <c r="C303" t="s">
        <v>14</v>
      </c>
      <c r="D303" t="s">
        <v>19</v>
      </c>
      <c r="E303" s="2">
        <v>45689</v>
      </c>
      <c r="F303" s="3">
        <v>111037</v>
      </c>
      <c r="G303" s="3">
        <v>65391</v>
      </c>
      <c r="H303" s="3">
        <v>45646</v>
      </c>
      <c r="I303" s="3">
        <v>4724</v>
      </c>
      <c r="J303" s="4">
        <v>121.63</v>
      </c>
      <c r="K303" s="3">
        <v>73561</v>
      </c>
      <c r="L303" s="3">
        <v>37476</v>
      </c>
    </row>
    <row r="304" spans="1:12" x14ac:dyDescent="0.25">
      <c r="A304" t="s">
        <v>23</v>
      </c>
      <c r="B304" t="s">
        <v>13</v>
      </c>
      <c r="C304" t="s">
        <v>14</v>
      </c>
      <c r="D304" t="s">
        <v>19</v>
      </c>
      <c r="E304" s="2">
        <v>45717</v>
      </c>
      <c r="F304" s="3">
        <v>109777</v>
      </c>
      <c r="G304" s="3">
        <v>65506</v>
      </c>
      <c r="H304" s="3">
        <v>44271</v>
      </c>
      <c r="I304" s="3">
        <v>4451</v>
      </c>
      <c r="J304" s="4">
        <v>122.97</v>
      </c>
      <c r="K304" s="3">
        <v>71884</v>
      </c>
      <c r="L304" s="3">
        <v>37893</v>
      </c>
    </row>
    <row r="305" spans="1:12" x14ac:dyDescent="0.25">
      <c r="A305" t="s">
        <v>23</v>
      </c>
      <c r="B305" t="s">
        <v>13</v>
      </c>
      <c r="C305" t="s">
        <v>14</v>
      </c>
      <c r="D305" t="s">
        <v>19</v>
      </c>
      <c r="E305" s="2">
        <v>45748</v>
      </c>
      <c r="F305" s="3">
        <v>116216</v>
      </c>
      <c r="G305" s="3">
        <v>69378</v>
      </c>
      <c r="H305" s="3">
        <v>46838</v>
      </c>
      <c r="I305" s="3">
        <v>4840</v>
      </c>
      <c r="J305" s="4">
        <v>124.08</v>
      </c>
      <c r="K305" s="3">
        <v>77563</v>
      </c>
      <c r="L305" s="3">
        <v>38653</v>
      </c>
    </row>
    <row r="306" spans="1:12" x14ac:dyDescent="0.25">
      <c r="A306" t="s">
        <v>23</v>
      </c>
      <c r="B306" t="s">
        <v>13</v>
      </c>
      <c r="C306" t="s">
        <v>14</v>
      </c>
      <c r="D306" t="s">
        <v>19</v>
      </c>
      <c r="E306" s="2">
        <v>45778</v>
      </c>
      <c r="F306" s="3">
        <v>112994</v>
      </c>
      <c r="G306" s="3">
        <v>66478</v>
      </c>
      <c r="H306" s="3">
        <v>46516</v>
      </c>
      <c r="I306" s="3">
        <v>4761</v>
      </c>
      <c r="J306" s="4">
        <v>118.01</v>
      </c>
      <c r="K306" s="3">
        <v>76355</v>
      </c>
      <c r="L306" s="3">
        <v>36639</v>
      </c>
    </row>
    <row r="307" spans="1:12" x14ac:dyDescent="0.25">
      <c r="A307" t="s">
        <v>23</v>
      </c>
      <c r="B307" t="s">
        <v>13</v>
      </c>
      <c r="C307" t="s">
        <v>14</v>
      </c>
      <c r="D307" t="s">
        <v>19</v>
      </c>
      <c r="E307" s="2">
        <v>45809</v>
      </c>
      <c r="F307" s="3">
        <v>123826</v>
      </c>
      <c r="G307" s="3">
        <v>73045</v>
      </c>
      <c r="H307" s="3">
        <v>50781</v>
      </c>
      <c r="I307" s="3">
        <v>5328</v>
      </c>
      <c r="J307" s="4">
        <v>115.37</v>
      </c>
      <c r="K307" s="3">
        <v>82836</v>
      </c>
      <c r="L307" s="3">
        <v>40990</v>
      </c>
    </row>
    <row r="308" spans="1:12" x14ac:dyDescent="0.25">
      <c r="A308" t="s">
        <v>23</v>
      </c>
      <c r="B308" t="s">
        <v>13</v>
      </c>
      <c r="C308" t="s">
        <v>14</v>
      </c>
      <c r="D308" t="s">
        <v>19</v>
      </c>
      <c r="E308" s="2">
        <v>45839</v>
      </c>
      <c r="F308" s="3">
        <v>122010</v>
      </c>
      <c r="G308" s="3">
        <v>73652</v>
      </c>
      <c r="H308" s="3">
        <v>48358</v>
      </c>
      <c r="I308" s="3">
        <v>5294</v>
      </c>
      <c r="J308" s="4">
        <v>124.36</v>
      </c>
      <c r="K308" s="3">
        <v>82653</v>
      </c>
      <c r="L308" s="3">
        <v>39357</v>
      </c>
    </row>
    <row r="309" spans="1:12" x14ac:dyDescent="0.25">
      <c r="A309" t="s">
        <v>23</v>
      </c>
      <c r="B309" t="s">
        <v>13</v>
      </c>
      <c r="C309" t="s">
        <v>14</v>
      </c>
      <c r="D309" t="s">
        <v>19</v>
      </c>
      <c r="E309" s="2">
        <v>45870</v>
      </c>
      <c r="F309" s="3">
        <v>131874</v>
      </c>
      <c r="G309" s="3">
        <v>79750</v>
      </c>
      <c r="H309" s="3">
        <v>52124</v>
      </c>
      <c r="I309" s="3">
        <v>5260</v>
      </c>
      <c r="J309" s="4">
        <v>125.68</v>
      </c>
      <c r="K309" s="3">
        <v>90050</v>
      </c>
      <c r="L309" s="3">
        <v>41824</v>
      </c>
    </row>
    <row r="310" spans="1:12" x14ac:dyDescent="0.25">
      <c r="A310" t="s">
        <v>23</v>
      </c>
      <c r="B310" t="s">
        <v>13</v>
      </c>
      <c r="C310" t="s">
        <v>14</v>
      </c>
      <c r="D310" t="s">
        <v>19</v>
      </c>
      <c r="E310" s="2">
        <v>45901</v>
      </c>
      <c r="F310" s="3">
        <v>139239</v>
      </c>
      <c r="G310" s="3">
        <v>85052</v>
      </c>
      <c r="H310" s="3">
        <v>54187</v>
      </c>
      <c r="I310" s="3">
        <v>6056</v>
      </c>
      <c r="J310" s="4">
        <v>116.23</v>
      </c>
      <c r="K310" s="3">
        <v>93139</v>
      </c>
      <c r="L310" s="3">
        <v>46100</v>
      </c>
    </row>
    <row r="311" spans="1:12" x14ac:dyDescent="0.25">
      <c r="A311" t="s">
        <v>23</v>
      </c>
      <c r="B311" t="s">
        <v>13</v>
      </c>
      <c r="C311" t="s">
        <v>14</v>
      </c>
      <c r="D311" t="s">
        <v>19</v>
      </c>
      <c r="E311" s="2">
        <v>45931</v>
      </c>
      <c r="F311" s="3">
        <v>141813</v>
      </c>
      <c r="G311" s="3">
        <v>83290</v>
      </c>
      <c r="H311" s="3">
        <v>58523</v>
      </c>
      <c r="I311" s="3">
        <v>5740</v>
      </c>
      <c r="J311" s="4">
        <v>117.16</v>
      </c>
      <c r="K311" s="3">
        <v>93051</v>
      </c>
      <c r="L311" s="3">
        <v>48762</v>
      </c>
    </row>
    <row r="312" spans="1:12" x14ac:dyDescent="0.25">
      <c r="A312" t="s">
        <v>23</v>
      </c>
      <c r="B312" t="s">
        <v>13</v>
      </c>
      <c r="C312" t="s">
        <v>14</v>
      </c>
      <c r="D312" t="s">
        <v>19</v>
      </c>
      <c r="E312" s="2">
        <v>45962</v>
      </c>
      <c r="F312" s="3">
        <v>146242</v>
      </c>
      <c r="G312" s="3">
        <v>89346</v>
      </c>
      <c r="H312" s="3">
        <v>56896</v>
      </c>
      <c r="I312" s="3">
        <v>5980</v>
      </c>
      <c r="J312" s="4">
        <v>116.54</v>
      </c>
      <c r="K312" s="3">
        <v>96267</v>
      </c>
      <c r="L312" s="3">
        <v>49975</v>
      </c>
    </row>
    <row r="313" spans="1:12" x14ac:dyDescent="0.25">
      <c r="A313" t="s">
        <v>23</v>
      </c>
      <c r="B313" t="s">
        <v>13</v>
      </c>
      <c r="C313" t="s">
        <v>14</v>
      </c>
      <c r="D313" t="s">
        <v>19</v>
      </c>
      <c r="E313" s="2">
        <v>45992</v>
      </c>
      <c r="F313" s="3">
        <v>136519</v>
      </c>
      <c r="G313" s="3">
        <v>80555</v>
      </c>
      <c r="H313" s="3">
        <v>55964</v>
      </c>
      <c r="I313" s="3">
        <v>5652</v>
      </c>
      <c r="J313" s="4">
        <v>123.04</v>
      </c>
      <c r="K313" s="3">
        <v>92091</v>
      </c>
      <c r="L313" s="3">
        <v>44428</v>
      </c>
    </row>
    <row r="314" spans="1:12" x14ac:dyDescent="0.25">
      <c r="A314" t="s">
        <v>23</v>
      </c>
      <c r="B314" t="s">
        <v>13</v>
      </c>
      <c r="C314" t="s">
        <v>14</v>
      </c>
      <c r="D314" t="s">
        <v>20</v>
      </c>
      <c r="E314" s="2">
        <v>45292</v>
      </c>
      <c r="F314" s="3">
        <v>75201</v>
      </c>
      <c r="G314" s="3">
        <v>53996</v>
      </c>
      <c r="H314" s="3">
        <v>21205</v>
      </c>
      <c r="I314" s="3">
        <v>1860</v>
      </c>
      <c r="J314" s="4">
        <v>399.21</v>
      </c>
      <c r="K314" s="3">
        <v>49615</v>
      </c>
      <c r="L314" s="3">
        <v>25586</v>
      </c>
    </row>
    <row r="315" spans="1:12" x14ac:dyDescent="0.25">
      <c r="A315" t="s">
        <v>23</v>
      </c>
      <c r="B315" t="s">
        <v>13</v>
      </c>
      <c r="C315" t="s">
        <v>14</v>
      </c>
      <c r="D315" t="s">
        <v>20</v>
      </c>
      <c r="E315" s="2">
        <v>45323</v>
      </c>
      <c r="F315" s="3">
        <v>73991</v>
      </c>
      <c r="G315" s="3">
        <v>52189</v>
      </c>
      <c r="H315" s="3">
        <v>21802</v>
      </c>
      <c r="I315" s="3">
        <v>1724</v>
      </c>
      <c r="J315" s="4">
        <v>379.59</v>
      </c>
      <c r="K315" s="3">
        <v>49919</v>
      </c>
      <c r="L315" s="3">
        <v>24072</v>
      </c>
    </row>
    <row r="316" spans="1:12" x14ac:dyDescent="0.25">
      <c r="A316" t="s">
        <v>23</v>
      </c>
      <c r="B316" t="s">
        <v>13</v>
      </c>
      <c r="C316" t="s">
        <v>14</v>
      </c>
      <c r="D316" t="s">
        <v>20</v>
      </c>
      <c r="E316" s="2">
        <v>45352</v>
      </c>
      <c r="F316" s="3">
        <v>69261</v>
      </c>
      <c r="G316" s="3">
        <v>49732</v>
      </c>
      <c r="H316" s="3">
        <v>19529</v>
      </c>
      <c r="I316" s="3">
        <v>1610</v>
      </c>
      <c r="J316" s="4">
        <v>385.5</v>
      </c>
      <c r="K316" s="3">
        <v>46321</v>
      </c>
      <c r="L316" s="3">
        <v>22940</v>
      </c>
    </row>
    <row r="317" spans="1:12" x14ac:dyDescent="0.25">
      <c r="A317" t="s">
        <v>23</v>
      </c>
      <c r="B317" t="s">
        <v>13</v>
      </c>
      <c r="C317" t="s">
        <v>14</v>
      </c>
      <c r="D317" t="s">
        <v>20</v>
      </c>
      <c r="E317" s="2">
        <v>45383</v>
      </c>
      <c r="F317" s="3">
        <v>71154</v>
      </c>
      <c r="G317" s="3">
        <v>51456</v>
      </c>
      <c r="H317" s="3">
        <v>19698</v>
      </c>
      <c r="I317" s="3">
        <v>1638</v>
      </c>
      <c r="J317" s="4">
        <v>397.19</v>
      </c>
      <c r="K317" s="3">
        <v>48180</v>
      </c>
      <c r="L317" s="3">
        <v>22974</v>
      </c>
    </row>
    <row r="318" spans="1:12" x14ac:dyDescent="0.25">
      <c r="A318" t="s">
        <v>23</v>
      </c>
      <c r="B318" t="s">
        <v>13</v>
      </c>
      <c r="C318" t="s">
        <v>14</v>
      </c>
      <c r="D318" t="s">
        <v>20</v>
      </c>
      <c r="E318" s="2">
        <v>45413</v>
      </c>
      <c r="F318" s="3">
        <v>70460</v>
      </c>
      <c r="G318" s="3">
        <v>50345</v>
      </c>
      <c r="H318" s="3">
        <v>20115</v>
      </c>
      <c r="I318" s="3">
        <v>1664</v>
      </c>
      <c r="J318" s="4">
        <v>387.69</v>
      </c>
      <c r="K318" s="3">
        <v>46761</v>
      </c>
      <c r="L318" s="3">
        <v>23699</v>
      </c>
    </row>
    <row r="319" spans="1:12" x14ac:dyDescent="0.25">
      <c r="A319" t="s">
        <v>23</v>
      </c>
      <c r="B319" t="s">
        <v>13</v>
      </c>
      <c r="C319" t="s">
        <v>14</v>
      </c>
      <c r="D319" t="s">
        <v>20</v>
      </c>
      <c r="E319" s="2">
        <v>45444</v>
      </c>
      <c r="F319" s="3">
        <v>77973</v>
      </c>
      <c r="G319" s="3">
        <v>55373</v>
      </c>
      <c r="H319" s="3">
        <v>22600</v>
      </c>
      <c r="I319" s="3">
        <v>1901</v>
      </c>
      <c r="J319" s="4">
        <v>368.77</v>
      </c>
      <c r="K319" s="3">
        <v>52109</v>
      </c>
      <c r="L319" s="3">
        <v>25864</v>
      </c>
    </row>
    <row r="320" spans="1:12" x14ac:dyDescent="0.25">
      <c r="A320" t="s">
        <v>23</v>
      </c>
      <c r="B320" t="s">
        <v>13</v>
      </c>
      <c r="C320" t="s">
        <v>14</v>
      </c>
      <c r="D320" t="s">
        <v>20</v>
      </c>
      <c r="E320" s="2">
        <v>45474</v>
      </c>
      <c r="F320" s="3">
        <v>84842</v>
      </c>
      <c r="G320" s="3">
        <v>59540</v>
      </c>
      <c r="H320" s="3">
        <v>25302</v>
      </c>
      <c r="I320" s="3">
        <v>1998</v>
      </c>
      <c r="J320" s="4">
        <v>398.07</v>
      </c>
      <c r="K320" s="3">
        <v>57659</v>
      </c>
      <c r="L320" s="3">
        <v>27183</v>
      </c>
    </row>
    <row r="321" spans="1:12" x14ac:dyDescent="0.25">
      <c r="A321" t="s">
        <v>23</v>
      </c>
      <c r="B321" t="s">
        <v>13</v>
      </c>
      <c r="C321" t="s">
        <v>14</v>
      </c>
      <c r="D321" t="s">
        <v>20</v>
      </c>
      <c r="E321" s="2">
        <v>45505</v>
      </c>
      <c r="F321" s="3">
        <v>81550</v>
      </c>
      <c r="G321" s="3">
        <v>58603</v>
      </c>
      <c r="H321" s="3">
        <v>22947</v>
      </c>
      <c r="I321" s="3">
        <v>1906</v>
      </c>
      <c r="J321" s="4">
        <v>380.05</v>
      </c>
      <c r="K321" s="3">
        <v>54914</v>
      </c>
      <c r="L321" s="3">
        <v>26636</v>
      </c>
    </row>
    <row r="322" spans="1:12" x14ac:dyDescent="0.25">
      <c r="A322" t="s">
        <v>23</v>
      </c>
      <c r="B322" t="s">
        <v>13</v>
      </c>
      <c r="C322" t="s">
        <v>14</v>
      </c>
      <c r="D322" t="s">
        <v>20</v>
      </c>
      <c r="E322" s="2">
        <v>45536</v>
      </c>
      <c r="F322" s="3">
        <v>82909</v>
      </c>
      <c r="G322" s="3">
        <v>58928</v>
      </c>
      <c r="H322" s="3">
        <v>23981</v>
      </c>
      <c r="I322" s="3">
        <v>2057</v>
      </c>
      <c r="J322" s="4">
        <v>381.6</v>
      </c>
      <c r="K322" s="3">
        <v>54316</v>
      </c>
      <c r="L322" s="3">
        <v>28593</v>
      </c>
    </row>
    <row r="323" spans="1:12" x14ac:dyDescent="0.25">
      <c r="A323" t="s">
        <v>23</v>
      </c>
      <c r="B323" t="s">
        <v>13</v>
      </c>
      <c r="C323" t="s">
        <v>14</v>
      </c>
      <c r="D323" t="s">
        <v>20</v>
      </c>
      <c r="E323" s="2">
        <v>45566</v>
      </c>
      <c r="F323" s="3">
        <v>87039</v>
      </c>
      <c r="G323" s="3">
        <v>62563</v>
      </c>
      <c r="H323" s="3">
        <v>24476</v>
      </c>
      <c r="I323" s="3">
        <v>2173</v>
      </c>
      <c r="J323" s="4">
        <v>371.32</v>
      </c>
      <c r="K323" s="3">
        <v>58578</v>
      </c>
      <c r="L323" s="3">
        <v>28461</v>
      </c>
    </row>
    <row r="324" spans="1:12" x14ac:dyDescent="0.25">
      <c r="A324" t="s">
        <v>23</v>
      </c>
      <c r="B324" t="s">
        <v>13</v>
      </c>
      <c r="C324" t="s">
        <v>14</v>
      </c>
      <c r="D324" t="s">
        <v>20</v>
      </c>
      <c r="E324" s="2">
        <v>45597</v>
      </c>
      <c r="F324" s="3">
        <v>83523</v>
      </c>
      <c r="G324" s="3">
        <v>59957</v>
      </c>
      <c r="H324" s="3">
        <v>23566</v>
      </c>
      <c r="I324" s="3">
        <v>2079</v>
      </c>
      <c r="J324" s="4">
        <v>385.44</v>
      </c>
      <c r="K324" s="3">
        <v>56745</v>
      </c>
      <c r="L324" s="3">
        <v>26778</v>
      </c>
    </row>
    <row r="325" spans="1:12" x14ac:dyDescent="0.25">
      <c r="A325" t="s">
        <v>23</v>
      </c>
      <c r="B325" t="s">
        <v>13</v>
      </c>
      <c r="C325" t="s">
        <v>14</v>
      </c>
      <c r="D325" t="s">
        <v>20</v>
      </c>
      <c r="E325" s="2">
        <v>45627</v>
      </c>
      <c r="F325" s="3">
        <v>80881</v>
      </c>
      <c r="G325" s="3">
        <v>58451</v>
      </c>
      <c r="H325" s="3">
        <v>22430</v>
      </c>
      <c r="I325" s="3">
        <v>1962</v>
      </c>
      <c r="J325" s="4">
        <v>378.54</v>
      </c>
      <c r="K325" s="3">
        <v>55332</v>
      </c>
      <c r="L325" s="3">
        <v>25549</v>
      </c>
    </row>
    <row r="326" spans="1:12" x14ac:dyDescent="0.25">
      <c r="A326" t="s">
        <v>23</v>
      </c>
      <c r="B326" t="s">
        <v>13</v>
      </c>
      <c r="C326" t="s">
        <v>14</v>
      </c>
      <c r="D326" t="s">
        <v>20</v>
      </c>
      <c r="E326" s="2">
        <v>45658</v>
      </c>
      <c r="F326" s="3">
        <v>82929</v>
      </c>
      <c r="G326" s="3">
        <v>58089</v>
      </c>
      <c r="H326" s="3">
        <v>24840</v>
      </c>
      <c r="I326" s="3">
        <v>1951</v>
      </c>
      <c r="J326" s="4">
        <v>376.18</v>
      </c>
      <c r="K326" s="3">
        <v>54857</v>
      </c>
      <c r="L326" s="3">
        <v>28072</v>
      </c>
    </row>
    <row r="327" spans="1:12" x14ac:dyDescent="0.25">
      <c r="A327" t="s">
        <v>23</v>
      </c>
      <c r="B327" t="s">
        <v>13</v>
      </c>
      <c r="C327" t="s">
        <v>14</v>
      </c>
      <c r="D327" t="s">
        <v>20</v>
      </c>
      <c r="E327" s="2">
        <v>45689</v>
      </c>
      <c r="F327" s="3">
        <v>73081</v>
      </c>
      <c r="G327" s="3">
        <v>52822</v>
      </c>
      <c r="H327" s="3">
        <v>20259</v>
      </c>
      <c r="I327" s="3">
        <v>1827</v>
      </c>
      <c r="J327" s="4">
        <v>372.39</v>
      </c>
      <c r="K327" s="3">
        <v>47801</v>
      </c>
      <c r="L327" s="3">
        <v>25280</v>
      </c>
    </row>
    <row r="328" spans="1:12" x14ac:dyDescent="0.25">
      <c r="A328" t="s">
        <v>23</v>
      </c>
      <c r="B328" t="s">
        <v>13</v>
      </c>
      <c r="C328" t="s">
        <v>14</v>
      </c>
      <c r="D328" t="s">
        <v>20</v>
      </c>
      <c r="E328" s="2">
        <v>45717</v>
      </c>
      <c r="F328" s="3">
        <v>74633</v>
      </c>
      <c r="G328" s="3">
        <v>54195</v>
      </c>
      <c r="H328" s="3">
        <v>20438</v>
      </c>
      <c r="I328" s="3">
        <v>1819</v>
      </c>
      <c r="J328" s="4">
        <v>380.41</v>
      </c>
      <c r="K328" s="3">
        <v>49322</v>
      </c>
      <c r="L328" s="3">
        <v>25311</v>
      </c>
    </row>
    <row r="329" spans="1:12" x14ac:dyDescent="0.25">
      <c r="A329" t="s">
        <v>23</v>
      </c>
      <c r="B329" t="s">
        <v>13</v>
      </c>
      <c r="C329" t="s">
        <v>14</v>
      </c>
      <c r="D329" t="s">
        <v>20</v>
      </c>
      <c r="E329" s="2">
        <v>45748</v>
      </c>
      <c r="F329" s="3">
        <v>69460</v>
      </c>
      <c r="G329" s="3">
        <v>48835</v>
      </c>
      <c r="H329" s="3">
        <v>20625</v>
      </c>
      <c r="I329" s="3">
        <v>1579</v>
      </c>
      <c r="J329" s="4">
        <v>391.6</v>
      </c>
      <c r="K329" s="3">
        <v>47394</v>
      </c>
      <c r="L329" s="3">
        <v>22066</v>
      </c>
    </row>
    <row r="330" spans="1:12" x14ac:dyDescent="0.25">
      <c r="A330" t="s">
        <v>23</v>
      </c>
      <c r="B330" t="s">
        <v>13</v>
      </c>
      <c r="C330" t="s">
        <v>14</v>
      </c>
      <c r="D330" t="s">
        <v>20</v>
      </c>
      <c r="E330" s="2">
        <v>45778</v>
      </c>
      <c r="F330" s="3">
        <v>74899</v>
      </c>
      <c r="G330" s="3">
        <v>52422</v>
      </c>
      <c r="H330" s="3">
        <v>22477</v>
      </c>
      <c r="I330" s="3">
        <v>1698</v>
      </c>
      <c r="J330" s="4">
        <v>371.96</v>
      </c>
      <c r="K330" s="3">
        <v>49435</v>
      </c>
      <c r="L330" s="3">
        <v>25464</v>
      </c>
    </row>
    <row r="331" spans="1:12" x14ac:dyDescent="0.25">
      <c r="A331" t="s">
        <v>23</v>
      </c>
      <c r="B331" t="s">
        <v>13</v>
      </c>
      <c r="C331" t="s">
        <v>14</v>
      </c>
      <c r="D331" t="s">
        <v>20</v>
      </c>
      <c r="E331" s="2">
        <v>45809</v>
      </c>
      <c r="F331" s="3">
        <v>73039</v>
      </c>
      <c r="G331" s="3">
        <v>52616</v>
      </c>
      <c r="H331" s="3">
        <v>20423</v>
      </c>
      <c r="I331" s="3">
        <v>1782</v>
      </c>
      <c r="J331" s="4">
        <v>389.31</v>
      </c>
      <c r="K331" s="3">
        <v>47888</v>
      </c>
      <c r="L331" s="3">
        <v>25151</v>
      </c>
    </row>
    <row r="332" spans="1:12" x14ac:dyDescent="0.25">
      <c r="A332" t="s">
        <v>23</v>
      </c>
      <c r="B332" t="s">
        <v>13</v>
      </c>
      <c r="C332" t="s">
        <v>14</v>
      </c>
      <c r="D332" t="s">
        <v>20</v>
      </c>
      <c r="E332" s="2">
        <v>45839</v>
      </c>
      <c r="F332" s="3">
        <v>81543</v>
      </c>
      <c r="G332" s="3">
        <v>57036</v>
      </c>
      <c r="H332" s="3">
        <v>24507</v>
      </c>
      <c r="I332" s="3">
        <v>1951</v>
      </c>
      <c r="J332" s="4">
        <v>370.68</v>
      </c>
      <c r="K332" s="3">
        <v>54221</v>
      </c>
      <c r="L332" s="3">
        <v>27322</v>
      </c>
    </row>
    <row r="333" spans="1:12" x14ac:dyDescent="0.25">
      <c r="A333" t="s">
        <v>23</v>
      </c>
      <c r="B333" t="s">
        <v>13</v>
      </c>
      <c r="C333" t="s">
        <v>14</v>
      </c>
      <c r="D333" t="s">
        <v>20</v>
      </c>
      <c r="E333" s="2">
        <v>45870</v>
      </c>
      <c r="F333" s="3">
        <v>79845</v>
      </c>
      <c r="G333" s="3">
        <v>56837</v>
      </c>
      <c r="H333" s="3">
        <v>23008</v>
      </c>
      <c r="I333" s="3">
        <v>1946</v>
      </c>
      <c r="J333" s="4">
        <v>388.24</v>
      </c>
      <c r="K333" s="3">
        <v>54616</v>
      </c>
      <c r="L333" s="3">
        <v>25229</v>
      </c>
    </row>
    <row r="334" spans="1:12" x14ac:dyDescent="0.25">
      <c r="A334" t="s">
        <v>23</v>
      </c>
      <c r="B334" t="s">
        <v>13</v>
      </c>
      <c r="C334" t="s">
        <v>14</v>
      </c>
      <c r="D334" t="s">
        <v>20</v>
      </c>
      <c r="E334" s="2">
        <v>45901</v>
      </c>
      <c r="F334" s="3">
        <v>84199</v>
      </c>
      <c r="G334" s="3">
        <v>61135</v>
      </c>
      <c r="H334" s="3">
        <v>23064</v>
      </c>
      <c r="I334" s="3">
        <v>2089</v>
      </c>
      <c r="J334" s="4">
        <v>372.53</v>
      </c>
      <c r="K334" s="3">
        <v>56953</v>
      </c>
      <c r="L334" s="3">
        <v>27246</v>
      </c>
    </row>
    <row r="335" spans="1:12" x14ac:dyDescent="0.25">
      <c r="A335" t="s">
        <v>23</v>
      </c>
      <c r="B335" t="s">
        <v>13</v>
      </c>
      <c r="C335" t="s">
        <v>14</v>
      </c>
      <c r="D335" t="s">
        <v>20</v>
      </c>
      <c r="E335" s="2">
        <v>45931</v>
      </c>
      <c r="F335" s="3">
        <v>86534</v>
      </c>
      <c r="G335" s="3">
        <v>61916</v>
      </c>
      <c r="H335" s="3">
        <v>24618</v>
      </c>
      <c r="I335" s="3">
        <v>2061</v>
      </c>
      <c r="J335" s="4">
        <v>401.23</v>
      </c>
      <c r="K335" s="3">
        <v>57526</v>
      </c>
      <c r="L335" s="3">
        <v>29008</v>
      </c>
    </row>
    <row r="336" spans="1:12" x14ac:dyDescent="0.25">
      <c r="A336" t="s">
        <v>23</v>
      </c>
      <c r="B336" t="s">
        <v>13</v>
      </c>
      <c r="C336" t="s">
        <v>14</v>
      </c>
      <c r="D336" t="s">
        <v>20</v>
      </c>
      <c r="E336" s="2">
        <v>45962</v>
      </c>
      <c r="F336" s="3">
        <v>85981</v>
      </c>
      <c r="G336" s="3">
        <v>61948</v>
      </c>
      <c r="H336" s="3">
        <v>24033</v>
      </c>
      <c r="I336" s="3">
        <v>2151</v>
      </c>
      <c r="J336" s="4">
        <v>376.43</v>
      </c>
      <c r="K336" s="3">
        <v>56834</v>
      </c>
      <c r="L336" s="3">
        <v>29147</v>
      </c>
    </row>
    <row r="337" spans="1:12" x14ac:dyDescent="0.25">
      <c r="A337" t="s">
        <v>23</v>
      </c>
      <c r="B337" t="s">
        <v>13</v>
      </c>
      <c r="C337" t="s">
        <v>14</v>
      </c>
      <c r="D337" t="s">
        <v>20</v>
      </c>
      <c r="E337" s="2">
        <v>45992</v>
      </c>
      <c r="F337" s="3">
        <v>87746</v>
      </c>
      <c r="G337" s="3">
        <v>62968</v>
      </c>
      <c r="H337" s="3">
        <v>24778</v>
      </c>
      <c r="I337" s="3">
        <v>2136</v>
      </c>
      <c r="J337" s="4">
        <v>379.53</v>
      </c>
      <c r="K337" s="3">
        <v>57691</v>
      </c>
      <c r="L337" s="3">
        <v>30055</v>
      </c>
    </row>
    <row r="338" spans="1:12" x14ac:dyDescent="0.25">
      <c r="A338" t="s">
        <v>23</v>
      </c>
      <c r="B338" t="s">
        <v>13</v>
      </c>
      <c r="C338" t="s">
        <v>14</v>
      </c>
      <c r="D338" t="s">
        <v>21</v>
      </c>
      <c r="E338" s="2">
        <v>45292</v>
      </c>
      <c r="F338" s="3">
        <v>77951</v>
      </c>
      <c r="G338" s="3">
        <v>44133</v>
      </c>
      <c r="H338" s="3">
        <v>33818</v>
      </c>
      <c r="I338" s="3">
        <v>879</v>
      </c>
      <c r="J338" s="4">
        <v>163.33000000000001</v>
      </c>
      <c r="K338" s="3">
        <v>52402</v>
      </c>
      <c r="L338" s="3">
        <v>25549</v>
      </c>
    </row>
    <row r="339" spans="1:12" x14ac:dyDescent="0.25">
      <c r="A339" t="s">
        <v>23</v>
      </c>
      <c r="B339" t="s">
        <v>13</v>
      </c>
      <c r="C339" t="s">
        <v>14</v>
      </c>
      <c r="D339" t="s">
        <v>21</v>
      </c>
      <c r="E339" s="2">
        <v>45323</v>
      </c>
      <c r="F339" s="3">
        <v>73392</v>
      </c>
      <c r="G339" s="3">
        <v>42356</v>
      </c>
      <c r="H339" s="3">
        <v>31036</v>
      </c>
      <c r="I339" s="3">
        <v>836</v>
      </c>
      <c r="J339" s="4">
        <v>164.84</v>
      </c>
      <c r="K339" s="3">
        <v>48892</v>
      </c>
      <c r="L339" s="3">
        <v>24500</v>
      </c>
    </row>
    <row r="340" spans="1:12" x14ac:dyDescent="0.25">
      <c r="A340" t="s">
        <v>23</v>
      </c>
      <c r="B340" t="s">
        <v>13</v>
      </c>
      <c r="C340" t="s">
        <v>14</v>
      </c>
      <c r="D340" t="s">
        <v>21</v>
      </c>
      <c r="E340" s="2">
        <v>45352</v>
      </c>
      <c r="F340" s="3">
        <v>73316</v>
      </c>
      <c r="G340" s="3">
        <v>41544</v>
      </c>
      <c r="H340" s="3">
        <v>31772</v>
      </c>
      <c r="I340" s="3">
        <v>902</v>
      </c>
      <c r="J340" s="4">
        <v>158.65</v>
      </c>
      <c r="K340" s="3">
        <v>50274</v>
      </c>
      <c r="L340" s="3">
        <v>23042</v>
      </c>
    </row>
    <row r="341" spans="1:12" x14ac:dyDescent="0.25">
      <c r="A341" t="s">
        <v>23</v>
      </c>
      <c r="B341" t="s">
        <v>13</v>
      </c>
      <c r="C341" t="s">
        <v>14</v>
      </c>
      <c r="D341" t="s">
        <v>21</v>
      </c>
      <c r="E341" s="2">
        <v>45383</v>
      </c>
      <c r="F341" s="3">
        <v>71763</v>
      </c>
      <c r="G341" s="3">
        <v>41469</v>
      </c>
      <c r="H341" s="3">
        <v>30294</v>
      </c>
      <c r="I341" s="3">
        <v>870</v>
      </c>
      <c r="J341" s="4">
        <v>160.81</v>
      </c>
      <c r="K341" s="3">
        <v>47998</v>
      </c>
      <c r="L341" s="3">
        <v>23765</v>
      </c>
    </row>
    <row r="342" spans="1:12" x14ac:dyDescent="0.25">
      <c r="A342" t="s">
        <v>23</v>
      </c>
      <c r="B342" t="s">
        <v>13</v>
      </c>
      <c r="C342" t="s">
        <v>14</v>
      </c>
      <c r="D342" t="s">
        <v>21</v>
      </c>
      <c r="E342" s="2">
        <v>45413</v>
      </c>
      <c r="F342" s="3">
        <v>74941</v>
      </c>
      <c r="G342" s="3">
        <v>42354</v>
      </c>
      <c r="H342" s="3">
        <v>32587</v>
      </c>
      <c r="I342" s="3">
        <v>868</v>
      </c>
      <c r="J342" s="4">
        <v>157.91999999999999</v>
      </c>
      <c r="K342" s="3">
        <v>51365</v>
      </c>
      <c r="L342" s="3">
        <v>23576</v>
      </c>
    </row>
    <row r="343" spans="1:12" x14ac:dyDescent="0.25">
      <c r="A343" t="s">
        <v>23</v>
      </c>
      <c r="B343" t="s">
        <v>13</v>
      </c>
      <c r="C343" t="s">
        <v>14</v>
      </c>
      <c r="D343" t="s">
        <v>21</v>
      </c>
      <c r="E343" s="2">
        <v>45444</v>
      </c>
      <c r="F343" s="3">
        <v>75098</v>
      </c>
      <c r="G343" s="3">
        <v>43344</v>
      </c>
      <c r="H343" s="3">
        <v>31754</v>
      </c>
      <c r="I343" s="3">
        <v>859</v>
      </c>
      <c r="J343" s="4">
        <v>168.78</v>
      </c>
      <c r="K343" s="3">
        <v>49045</v>
      </c>
      <c r="L343" s="3">
        <v>26053</v>
      </c>
    </row>
    <row r="344" spans="1:12" x14ac:dyDescent="0.25">
      <c r="A344" t="s">
        <v>23</v>
      </c>
      <c r="B344" t="s">
        <v>13</v>
      </c>
      <c r="C344" t="s">
        <v>14</v>
      </c>
      <c r="D344" t="s">
        <v>21</v>
      </c>
      <c r="E344" s="2">
        <v>45474</v>
      </c>
      <c r="F344" s="3">
        <v>77266</v>
      </c>
      <c r="G344" s="3">
        <v>43073</v>
      </c>
      <c r="H344" s="3">
        <v>34193</v>
      </c>
      <c r="I344" s="3">
        <v>873</v>
      </c>
      <c r="J344" s="4">
        <v>164.83</v>
      </c>
      <c r="K344" s="3">
        <v>50586</v>
      </c>
      <c r="L344" s="3">
        <v>26680</v>
      </c>
    </row>
    <row r="345" spans="1:12" x14ac:dyDescent="0.25">
      <c r="A345" t="s">
        <v>23</v>
      </c>
      <c r="B345" t="s">
        <v>13</v>
      </c>
      <c r="C345" t="s">
        <v>14</v>
      </c>
      <c r="D345" t="s">
        <v>21</v>
      </c>
      <c r="E345" s="2">
        <v>45505</v>
      </c>
      <c r="F345" s="3">
        <v>81780</v>
      </c>
      <c r="G345" s="3">
        <v>45572</v>
      </c>
      <c r="H345" s="3">
        <v>36208</v>
      </c>
      <c r="I345" s="3">
        <v>940</v>
      </c>
      <c r="J345" s="4">
        <v>164.47</v>
      </c>
      <c r="K345" s="3">
        <v>55190</v>
      </c>
      <c r="L345" s="3">
        <v>26590</v>
      </c>
    </row>
    <row r="346" spans="1:12" x14ac:dyDescent="0.25">
      <c r="A346" t="s">
        <v>23</v>
      </c>
      <c r="B346" t="s">
        <v>13</v>
      </c>
      <c r="C346" t="s">
        <v>14</v>
      </c>
      <c r="D346" t="s">
        <v>21</v>
      </c>
      <c r="E346" s="2">
        <v>45536</v>
      </c>
      <c r="F346" s="3">
        <v>87043</v>
      </c>
      <c r="G346" s="3">
        <v>49107</v>
      </c>
      <c r="H346" s="3">
        <v>37936</v>
      </c>
      <c r="I346" s="3">
        <v>1016</v>
      </c>
      <c r="J346" s="4">
        <v>157.4</v>
      </c>
      <c r="K346" s="3">
        <v>59103</v>
      </c>
      <c r="L346" s="3">
        <v>27940</v>
      </c>
    </row>
    <row r="347" spans="1:12" x14ac:dyDescent="0.25">
      <c r="A347" t="s">
        <v>23</v>
      </c>
      <c r="B347" t="s">
        <v>13</v>
      </c>
      <c r="C347" t="s">
        <v>14</v>
      </c>
      <c r="D347" t="s">
        <v>21</v>
      </c>
      <c r="E347" s="2">
        <v>45566</v>
      </c>
      <c r="F347" s="3">
        <v>86196</v>
      </c>
      <c r="G347" s="3">
        <v>48343</v>
      </c>
      <c r="H347" s="3">
        <v>37853</v>
      </c>
      <c r="I347" s="3">
        <v>984</v>
      </c>
      <c r="J347" s="4">
        <v>165.52</v>
      </c>
      <c r="K347" s="3">
        <v>58077</v>
      </c>
      <c r="L347" s="3">
        <v>28119</v>
      </c>
    </row>
    <row r="348" spans="1:12" x14ac:dyDescent="0.25">
      <c r="A348" t="s">
        <v>23</v>
      </c>
      <c r="B348" t="s">
        <v>13</v>
      </c>
      <c r="C348" t="s">
        <v>14</v>
      </c>
      <c r="D348" t="s">
        <v>21</v>
      </c>
      <c r="E348" s="2">
        <v>45597</v>
      </c>
      <c r="F348" s="3">
        <v>93837</v>
      </c>
      <c r="G348" s="3">
        <v>52947</v>
      </c>
      <c r="H348" s="3">
        <v>40890</v>
      </c>
      <c r="I348" s="3">
        <v>1063</v>
      </c>
      <c r="J348" s="4">
        <v>164.07</v>
      </c>
      <c r="K348" s="3">
        <v>62511</v>
      </c>
      <c r="L348" s="3">
        <v>31326</v>
      </c>
    </row>
    <row r="349" spans="1:12" x14ac:dyDescent="0.25">
      <c r="A349" t="s">
        <v>23</v>
      </c>
      <c r="B349" t="s">
        <v>13</v>
      </c>
      <c r="C349" t="s">
        <v>14</v>
      </c>
      <c r="D349" t="s">
        <v>21</v>
      </c>
      <c r="E349" s="2">
        <v>45627</v>
      </c>
      <c r="F349" s="3">
        <v>92610</v>
      </c>
      <c r="G349" s="3">
        <v>52143</v>
      </c>
      <c r="H349" s="3">
        <v>40467</v>
      </c>
      <c r="I349" s="3">
        <v>1046</v>
      </c>
      <c r="J349" s="4">
        <v>162.52000000000001</v>
      </c>
      <c r="K349" s="3">
        <v>62786</v>
      </c>
      <c r="L349" s="3">
        <v>29824</v>
      </c>
    </row>
    <row r="350" spans="1:12" x14ac:dyDescent="0.25">
      <c r="A350" t="s">
        <v>23</v>
      </c>
      <c r="B350" t="s">
        <v>13</v>
      </c>
      <c r="C350" t="s">
        <v>14</v>
      </c>
      <c r="D350" t="s">
        <v>21</v>
      </c>
      <c r="E350" s="2">
        <v>45658</v>
      </c>
      <c r="F350" s="3">
        <v>82902</v>
      </c>
      <c r="G350" s="3">
        <v>46949</v>
      </c>
      <c r="H350" s="3">
        <v>35953</v>
      </c>
      <c r="I350" s="3">
        <v>993</v>
      </c>
      <c r="J350" s="4">
        <v>162.34</v>
      </c>
      <c r="K350" s="3">
        <v>54858</v>
      </c>
      <c r="L350" s="3">
        <v>28044</v>
      </c>
    </row>
    <row r="351" spans="1:12" x14ac:dyDescent="0.25">
      <c r="A351" t="s">
        <v>23</v>
      </c>
      <c r="B351" t="s">
        <v>13</v>
      </c>
      <c r="C351" t="s">
        <v>14</v>
      </c>
      <c r="D351" t="s">
        <v>21</v>
      </c>
      <c r="E351" s="2">
        <v>45689</v>
      </c>
      <c r="F351" s="3">
        <v>84940</v>
      </c>
      <c r="G351" s="3">
        <v>47344</v>
      </c>
      <c r="H351" s="3">
        <v>37596</v>
      </c>
      <c r="I351" s="3">
        <v>989</v>
      </c>
      <c r="J351" s="4">
        <v>155.57</v>
      </c>
      <c r="K351" s="3">
        <v>57710</v>
      </c>
      <c r="L351" s="3">
        <v>27230</v>
      </c>
    </row>
    <row r="352" spans="1:12" x14ac:dyDescent="0.25">
      <c r="A352" t="s">
        <v>23</v>
      </c>
      <c r="B352" t="s">
        <v>13</v>
      </c>
      <c r="C352" t="s">
        <v>14</v>
      </c>
      <c r="D352" t="s">
        <v>21</v>
      </c>
      <c r="E352" s="2">
        <v>45717</v>
      </c>
      <c r="F352" s="3">
        <v>77949</v>
      </c>
      <c r="G352" s="3">
        <v>45727</v>
      </c>
      <c r="H352" s="3">
        <v>32222</v>
      </c>
      <c r="I352" s="3">
        <v>903</v>
      </c>
      <c r="J352" s="4">
        <v>156.16</v>
      </c>
      <c r="K352" s="3">
        <v>53174</v>
      </c>
      <c r="L352" s="3">
        <v>24775</v>
      </c>
    </row>
    <row r="353" spans="1:12" x14ac:dyDescent="0.25">
      <c r="A353" t="s">
        <v>23</v>
      </c>
      <c r="B353" t="s">
        <v>13</v>
      </c>
      <c r="C353" t="s">
        <v>14</v>
      </c>
      <c r="D353" t="s">
        <v>21</v>
      </c>
      <c r="E353" s="2">
        <v>45748</v>
      </c>
      <c r="F353" s="3">
        <v>74584</v>
      </c>
      <c r="G353" s="3">
        <v>43515</v>
      </c>
      <c r="H353" s="3">
        <v>31069</v>
      </c>
      <c r="I353" s="3">
        <v>865</v>
      </c>
      <c r="J353" s="4">
        <v>158.47</v>
      </c>
      <c r="K353" s="3">
        <v>48802</v>
      </c>
      <c r="L353" s="3">
        <v>25782</v>
      </c>
    </row>
    <row r="354" spans="1:12" x14ac:dyDescent="0.25">
      <c r="A354" t="s">
        <v>23</v>
      </c>
      <c r="B354" t="s">
        <v>13</v>
      </c>
      <c r="C354" t="s">
        <v>14</v>
      </c>
      <c r="D354" t="s">
        <v>21</v>
      </c>
      <c r="E354" s="2">
        <v>45778</v>
      </c>
      <c r="F354" s="3">
        <v>76139</v>
      </c>
      <c r="G354" s="3">
        <v>42842</v>
      </c>
      <c r="H354" s="3">
        <v>33297</v>
      </c>
      <c r="I354" s="3">
        <v>922</v>
      </c>
      <c r="J354" s="4">
        <v>154.79</v>
      </c>
      <c r="K354" s="3">
        <v>50820</v>
      </c>
      <c r="L354" s="3">
        <v>25319</v>
      </c>
    </row>
    <row r="355" spans="1:12" x14ac:dyDescent="0.25">
      <c r="A355" t="s">
        <v>23</v>
      </c>
      <c r="B355" t="s">
        <v>13</v>
      </c>
      <c r="C355" t="s">
        <v>14</v>
      </c>
      <c r="D355" t="s">
        <v>21</v>
      </c>
      <c r="E355" s="2">
        <v>45809</v>
      </c>
      <c r="F355" s="3">
        <v>85255</v>
      </c>
      <c r="G355" s="3">
        <v>49011</v>
      </c>
      <c r="H355" s="3">
        <v>36244</v>
      </c>
      <c r="I355" s="3">
        <v>1010</v>
      </c>
      <c r="J355" s="4">
        <v>159.76</v>
      </c>
      <c r="K355" s="3">
        <v>58168</v>
      </c>
      <c r="L355" s="3">
        <v>27087</v>
      </c>
    </row>
    <row r="356" spans="1:12" x14ac:dyDescent="0.25">
      <c r="A356" t="s">
        <v>23</v>
      </c>
      <c r="B356" t="s">
        <v>13</v>
      </c>
      <c r="C356" t="s">
        <v>14</v>
      </c>
      <c r="D356" t="s">
        <v>21</v>
      </c>
      <c r="E356" s="2">
        <v>45839</v>
      </c>
      <c r="F356" s="3">
        <v>86504</v>
      </c>
      <c r="G356" s="3">
        <v>49803</v>
      </c>
      <c r="H356" s="3">
        <v>36701</v>
      </c>
      <c r="I356" s="3">
        <v>1007</v>
      </c>
      <c r="J356" s="4">
        <v>154.47999999999999</v>
      </c>
      <c r="K356" s="3">
        <v>58017</v>
      </c>
      <c r="L356" s="3">
        <v>28487</v>
      </c>
    </row>
    <row r="357" spans="1:12" x14ac:dyDescent="0.25">
      <c r="A357" t="s">
        <v>23</v>
      </c>
      <c r="B357" t="s">
        <v>13</v>
      </c>
      <c r="C357" t="s">
        <v>14</v>
      </c>
      <c r="D357" t="s">
        <v>21</v>
      </c>
      <c r="E357" s="2">
        <v>45870</v>
      </c>
      <c r="F357" s="3">
        <v>94793</v>
      </c>
      <c r="G357" s="3">
        <v>53063</v>
      </c>
      <c r="H357" s="3">
        <v>41730</v>
      </c>
      <c r="I357" s="3">
        <v>1104</v>
      </c>
      <c r="J357" s="4">
        <v>162.16999999999999</v>
      </c>
      <c r="K357" s="3">
        <v>63791</v>
      </c>
      <c r="L357" s="3">
        <v>31002</v>
      </c>
    </row>
    <row r="358" spans="1:12" x14ac:dyDescent="0.25">
      <c r="A358" t="s">
        <v>23</v>
      </c>
      <c r="B358" t="s">
        <v>13</v>
      </c>
      <c r="C358" t="s">
        <v>14</v>
      </c>
      <c r="D358" t="s">
        <v>21</v>
      </c>
      <c r="E358" s="2">
        <v>45901</v>
      </c>
      <c r="F358" s="3">
        <v>97958</v>
      </c>
      <c r="G358" s="3">
        <v>55359</v>
      </c>
      <c r="H358" s="3">
        <v>42599</v>
      </c>
      <c r="I358" s="3">
        <v>1104</v>
      </c>
      <c r="J358" s="4">
        <v>164.73</v>
      </c>
      <c r="K358" s="3">
        <v>64813</v>
      </c>
      <c r="L358" s="3">
        <v>33145</v>
      </c>
    </row>
    <row r="359" spans="1:12" x14ac:dyDescent="0.25">
      <c r="A359" t="s">
        <v>23</v>
      </c>
      <c r="B359" t="s">
        <v>13</v>
      </c>
      <c r="C359" t="s">
        <v>14</v>
      </c>
      <c r="D359" t="s">
        <v>21</v>
      </c>
      <c r="E359" s="2">
        <v>45931</v>
      </c>
      <c r="F359" s="3">
        <v>106284</v>
      </c>
      <c r="G359" s="3">
        <v>61394</v>
      </c>
      <c r="H359" s="3">
        <v>44890</v>
      </c>
      <c r="I359" s="3">
        <v>1242</v>
      </c>
      <c r="J359" s="4">
        <v>169.69</v>
      </c>
      <c r="K359" s="3">
        <v>70091</v>
      </c>
      <c r="L359" s="3">
        <v>36193</v>
      </c>
    </row>
    <row r="360" spans="1:12" x14ac:dyDescent="0.25">
      <c r="A360" t="s">
        <v>23</v>
      </c>
      <c r="B360" t="s">
        <v>13</v>
      </c>
      <c r="C360" t="s">
        <v>14</v>
      </c>
      <c r="D360" t="s">
        <v>21</v>
      </c>
      <c r="E360" s="2">
        <v>45962</v>
      </c>
      <c r="F360" s="3">
        <v>99280</v>
      </c>
      <c r="G360" s="3">
        <v>55472</v>
      </c>
      <c r="H360" s="3">
        <v>43808</v>
      </c>
      <c r="I360" s="3">
        <v>1177</v>
      </c>
      <c r="J360" s="4">
        <v>169.1</v>
      </c>
      <c r="K360" s="3">
        <v>65149</v>
      </c>
      <c r="L360" s="3">
        <v>34131</v>
      </c>
    </row>
    <row r="361" spans="1:12" x14ac:dyDescent="0.25">
      <c r="A361" t="s">
        <v>23</v>
      </c>
      <c r="B361" t="s">
        <v>13</v>
      </c>
      <c r="C361" t="s">
        <v>14</v>
      </c>
      <c r="D361" t="s">
        <v>21</v>
      </c>
      <c r="E361" s="2">
        <v>45992</v>
      </c>
      <c r="F361" s="3">
        <v>95232</v>
      </c>
      <c r="G361" s="3">
        <v>55104</v>
      </c>
      <c r="H361" s="3">
        <v>40128</v>
      </c>
      <c r="I361" s="3">
        <v>1090</v>
      </c>
      <c r="J361" s="4">
        <v>162.30000000000001</v>
      </c>
      <c r="K361" s="3">
        <v>64988</v>
      </c>
      <c r="L361" s="3">
        <v>30244</v>
      </c>
    </row>
    <row r="362" spans="1:12" x14ac:dyDescent="0.25">
      <c r="A362" t="s">
        <v>23</v>
      </c>
      <c r="B362" t="s">
        <v>13</v>
      </c>
      <c r="C362" t="s">
        <v>14</v>
      </c>
      <c r="D362" t="s">
        <v>22</v>
      </c>
      <c r="E362" s="2">
        <v>45292</v>
      </c>
      <c r="F362" s="3">
        <v>44694</v>
      </c>
      <c r="G362" s="3">
        <v>24075</v>
      </c>
      <c r="H362" s="3">
        <v>20619</v>
      </c>
      <c r="I362" s="3">
        <v>4889</v>
      </c>
      <c r="J362" s="4">
        <v>73.92</v>
      </c>
      <c r="K362" s="3">
        <v>29307</v>
      </c>
      <c r="L362" s="3">
        <v>15387</v>
      </c>
    </row>
    <row r="363" spans="1:12" x14ac:dyDescent="0.25">
      <c r="A363" t="s">
        <v>23</v>
      </c>
      <c r="B363" t="s">
        <v>13</v>
      </c>
      <c r="C363" t="s">
        <v>14</v>
      </c>
      <c r="D363" t="s">
        <v>22</v>
      </c>
      <c r="E363" s="2">
        <v>45323</v>
      </c>
      <c r="F363" s="3">
        <v>41684</v>
      </c>
      <c r="G363" s="3">
        <v>22069</v>
      </c>
      <c r="H363" s="3">
        <v>19615</v>
      </c>
      <c r="I363" s="3">
        <v>4787</v>
      </c>
      <c r="J363" s="4">
        <v>72.55</v>
      </c>
      <c r="K363" s="3">
        <v>28270</v>
      </c>
      <c r="L363" s="3">
        <v>13414</v>
      </c>
    </row>
    <row r="364" spans="1:12" x14ac:dyDescent="0.25">
      <c r="A364" t="s">
        <v>23</v>
      </c>
      <c r="B364" t="s">
        <v>13</v>
      </c>
      <c r="C364" t="s">
        <v>14</v>
      </c>
      <c r="D364" t="s">
        <v>22</v>
      </c>
      <c r="E364" s="2">
        <v>45352</v>
      </c>
      <c r="F364" s="3">
        <v>39918</v>
      </c>
      <c r="G364" s="3">
        <v>22128</v>
      </c>
      <c r="H364" s="3">
        <v>17790</v>
      </c>
      <c r="I364" s="3">
        <v>4497</v>
      </c>
      <c r="J364" s="4">
        <v>76.78</v>
      </c>
      <c r="K364" s="3">
        <v>26803</v>
      </c>
      <c r="L364" s="3">
        <v>13115</v>
      </c>
    </row>
    <row r="365" spans="1:12" x14ac:dyDescent="0.25">
      <c r="A365" t="s">
        <v>23</v>
      </c>
      <c r="B365" t="s">
        <v>13</v>
      </c>
      <c r="C365" t="s">
        <v>14</v>
      </c>
      <c r="D365" t="s">
        <v>22</v>
      </c>
      <c r="E365" s="2">
        <v>45383</v>
      </c>
      <c r="F365" s="3">
        <v>40805</v>
      </c>
      <c r="G365" s="3">
        <v>22628</v>
      </c>
      <c r="H365" s="3">
        <v>18177</v>
      </c>
      <c r="I365" s="3">
        <v>4615</v>
      </c>
      <c r="J365" s="4">
        <v>78.44</v>
      </c>
      <c r="K365" s="3">
        <v>27775</v>
      </c>
      <c r="L365" s="3">
        <v>13030</v>
      </c>
    </row>
    <row r="366" spans="1:12" x14ac:dyDescent="0.25">
      <c r="A366" t="s">
        <v>23</v>
      </c>
      <c r="B366" t="s">
        <v>13</v>
      </c>
      <c r="C366" t="s">
        <v>14</v>
      </c>
      <c r="D366" t="s">
        <v>22</v>
      </c>
      <c r="E366" s="2">
        <v>45413</v>
      </c>
      <c r="F366" s="3">
        <v>40977</v>
      </c>
      <c r="G366" s="3">
        <v>21718</v>
      </c>
      <c r="H366" s="3">
        <v>19259</v>
      </c>
      <c r="I366" s="3">
        <v>4530</v>
      </c>
      <c r="J366" s="4">
        <v>78.819999999999993</v>
      </c>
      <c r="K366" s="3">
        <v>27362</v>
      </c>
      <c r="L366" s="3">
        <v>13615</v>
      </c>
    </row>
    <row r="367" spans="1:12" x14ac:dyDescent="0.25">
      <c r="A367" t="s">
        <v>23</v>
      </c>
      <c r="B367" t="s">
        <v>13</v>
      </c>
      <c r="C367" t="s">
        <v>14</v>
      </c>
      <c r="D367" t="s">
        <v>22</v>
      </c>
      <c r="E367" s="2">
        <v>45444</v>
      </c>
      <c r="F367" s="3">
        <v>44856</v>
      </c>
      <c r="G367" s="3">
        <v>24272</v>
      </c>
      <c r="H367" s="3">
        <v>20584</v>
      </c>
      <c r="I367" s="3">
        <v>4799</v>
      </c>
      <c r="J367" s="4">
        <v>76.8</v>
      </c>
      <c r="K367" s="3">
        <v>30403</v>
      </c>
      <c r="L367" s="3">
        <v>14453</v>
      </c>
    </row>
    <row r="368" spans="1:12" x14ac:dyDescent="0.25">
      <c r="A368" t="s">
        <v>23</v>
      </c>
      <c r="B368" t="s">
        <v>13</v>
      </c>
      <c r="C368" t="s">
        <v>14</v>
      </c>
      <c r="D368" t="s">
        <v>22</v>
      </c>
      <c r="E368" s="2">
        <v>45474</v>
      </c>
      <c r="F368" s="3">
        <v>47936</v>
      </c>
      <c r="G368" s="3">
        <v>26550</v>
      </c>
      <c r="H368" s="3">
        <v>21386</v>
      </c>
      <c r="I368" s="3">
        <v>5307</v>
      </c>
      <c r="J368" s="4">
        <v>77.02</v>
      </c>
      <c r="K368" s="3">
        <v>32864</v>
      </c>
      <c r="L368" s="3">
        <v>15072</v>
      </c>
    </row>
    <row r="369" spans="1:12" x14ac:dyDescent="0.25">
      <c r="A369" t="s">
        <v>23</v>
      </c>
      <c r="B369" t="s">
        <v>13</v>
      </c>
      <c r="C369" t="s">
        <v>14</v>
      </c>
      <c r="D369" t="s">
        <v>22</v>
      </c>
      <c r="E369" s="2">
        <v>45505</v>
      </c>
      <c r="F369" s="3">
        <v>46026</v>
      </c>
      <c r="G369" s="3">
        <v>24373</v>
      </c>
      <c r="H369" s="3">
        <v>21653</v>
      </c>
      <c r="I369" s="3">
        <v>4872</v>
      </c>
      <c r="J369" s="4">
        <v>72.52</v>
      </c>
      <c r="K369" s="3">
        <v>31226</v>
      </c>
      <c r="L369" s="3">
        <v>14800</v>
      </c>
    </row>
    <row r="370" spans="1:12" x14ac:dyDescent="0.25">
      <c r="A370" t="s">
        <v>23</v>
      </c>
      <c r="B370" t="s">
        <v>13</v>
      </c>
      <c r="C370" t="s">
        <v>14</v>
      </c>
      <c r="D370" t="s">
        <v>22</v>
      </c>
      <c r="E370" s="2">
        <v>45536</v>
      </c>
      <c r="F370" s="3">
        <v>49153</v>
      </c>
      <c r="G370" s="3">
        <v>27282</v>
      </c>
      <c r="H370" s="3">
        <v>21871</v>
      </c>
      <c r="I370" s="3">
        <v>5719</v>
      </c>
      <c r="J370" s="4">
        <v>73.12</v>
      </c>
      <c r="K370" s="3">
        <v>33354</v>
      </c>
      <c r="L370" s="3">
        <v>15799</v>
      </c>
    </row>
    <row r="371" spans="1:12" x14ac:dyDescent="0.25">
      <c r="A371" t="s">
        <v>23</v>
      </c>
      <c r="B371" t="s">
        <v>13</v>
      </c>
      <c r="C371" t="s">
        <v>14</v>
      </c>
      <c r="D371" t="s">
        <v>22</v>
      </c>
      <c r="E371" s="2">
        <v>45566</v>
      </c>
      <c r="F371" s="3">
        <v>51948</v>
      </c>
      <c r="G371" s="3">
        <v>28359</v>
      </c>
      <c r="H371" s="3">
        <v>23589</v>
      </c>
      <c r="I371" s="3">
        <v>6020</v>
      </c>
      <c r="J371" s="4">
        <v>76.28</v>
      </c>
      <c r="K371" s="3">
        <v>35422</v>
      </c>
      <c r="L371" s="3">
        <v>16526</v>
      </c>
    </row>
    <row r="372" spans="1:12" x14ac:dyDescent="0.25">
      <c r="A372" t="s">
        <v>23</v>
      </c>
      <c r="B372" t="s">
        <v>13</v>
      </c>
      <c r="C372" t="s">
        <v>14</v>
      </c>
      <c r="D372" t="s">
        <v>22</v>
      </c>
      <c r="E372" s="2">
        <v>45597</v>
      </c>
      <c r="F372" s="3">
        <v>48974</v>
      </c>
      <c r="G372" s="3">
        <v>25857</v>
      </c>
      <c r="H372" s="3">
        <v>23117</v>
      </c>
      <c r="I372" s="3">
        <v>5495</v>
      </c>
      <c r="J372" s="4">
        <v>79.42</v>
      </c>
      <c r="K372" s="3">
        <v>32678</v>
      </c>
      <c r="L372" s="3">
        <v>16296</v>
      </c>
    </row>
    <row r="373" spans="1:12" x14ac:dyDescent="0.25">
      <c r="A373" t="s">
        <v>23</v>
      </c>
      <c r="B373" t="s">
        <v>13</v>
      </c>
      <c r="C373" t="s">
        <v>14</v>
      </c>
      <c r="D373" t="s">
        <v>22</v>
      </c>
      <c r="E373" s="2">
        <v>45627</v>
      </c>
      <c r="F373" s="3">
        <v>51199</v>
      </c>
      <c r="G373" s="3">
        <v>27667</v>
      </c>
      <c r="H373" s="3">
        <v>23532</v>
      </c>
      <c r="I373" s="3">
        <v>5509</v>
      </c>
      <c r="J373" s="4">
        <v>77.05</v>
      </c>
      <c r="K373" s="3">
        <v>34618</v>
      </c>
      <c r="L373" s="3">
        <v>16581</v>
      </c>
    </row>
    <row r="374" spans="1:12" x14ac:dyDescent="0.25">
      <c r="A374" t="s">
        <v>23</v>
      </c>
      <c r="B374" t="s">
        <v>13</v>
      </c>
      <c r="C374" t="s">
        <v>14</v>
      </c>
      <c r="D374" t="s">
        <v>22</v>
      </c>
      <c r="E374" s="2">
        <v>45658</v>
      </c>
      <c r="F374" s="3">
        <v>48635</v>
      </c>
      <c r="G374" s="3">
        <v>26355</v>
      </c>
      <c r="H374" s="3">
        <v>22280</v>
      </c>
      <c r="I374" s="3">
        <v>5333</v>
      </c>
      <c r="J374" s="4">
        <v>73.239999999999995</v>
      </c>
      <c r="K374" s="3">
        <v>33264</v>
      </c>
      <c r="L374" s="3">
        <v>15371</v>
      </c>
    </row>
    <row r="375" spans="1:12" x14ac:dyDescent="0.25">
      <c r="A375" t="s">
        <v>23</v>
      </c>
      <c r="B375" t="s">
        <v>13</v>
      </c>
      <c r="C375" t="s">
        <v>14</v>
      </c>
      <c r="D375" t="s">
        <v>22</v>
      </c>
      <c r="E375" s="2">
        <v>45689</v>
      </c>
      <c r="F375" s="3">
        <v>43898</v>
      </c>
      <c r="G375" s="3">
        <v>23318</v>
      </c>
      <c r="H375" s="3">
        <v>20580</v>
      </c>
      <c r="I375" s="3">
        <v>4907</v>
      </c>
      <c r="J375" s="4">
        <v>76.680000000000007</v>
      </c>
      <c r="K375" s="3">
        <v>29744</v>
      </c>
      <c r="L375" s="3">
        <v>14154</v>
      </c>
    </row>
    <row r="376" spans="1:12" x14ac:dyDescent="0.25">
      <c r="A376" t="s">
        <v>23</v>
      </c>
      <c r="B376" t="s">
        <v>13</v>
      </c>
      <c r="C376" t="s">
        <v>14</v>
      </c>
      <c r="D376" t="s">
        <v>22</v>
      </c>
      <c r="E376" s="2">
        <v>45717</v>
      </c>
      <c r="F376" s="3">
        <v>45175</v>
      </c>
      <c r="G376" s="3">
        <v>24989</v>
      </c>
      <c r="H376" s="3">
        <v>20186</v>
      </c>
      <c r="I376" s="3">
        <v>5234</v>
      </c>
      <c r="J376" s="4">
        <v>73.069999999999993</v>
      </c>
      <c r="K376" s="3">
        <v>29767</v>
      </c>
      <c r="L376" s="3">
        <v>15408</v>
      </c>
    </row>
    <row r="377" spans="1:12" x14ac:dyDescent="0.25">
      <c r="A377" t="s">
        <v>23</v>
      </c>
      <c r="B377" t="s">
        <v>13</v>
      </c>
      <c r="C377" t="s">
        <v>14</v>
      </c>
      <c r="D377" t="s">
        <v>22</v>
      </c>
      <c r="E377" s="2">
        <v>45748</v>
      </c>
      <c r="F377" s="3">
        <v>44514</v>
      </c>
      <c r="G377" s="3">
        <v>24443</v>
      </c>
      <c r="H377" s="3">
        <v>20071</v>
      </c>
      <c r="I377" s="3">
        <v>5043</v>
      </c>
      <c r="J377" s="4">
        <v>77.760000000000005</v>
      </c>
      <c r="K377" s="3">
        <v>29354</v>
      </c>
      <c r="L377" s="3">
        <v>15160</v>
      </c>
    </row>
    <row r="378" spans="1:12" x14ac:dyDescent="0.25">
      <c r="A378" t="s">
        <v>23</v>
      </c>
      <c r="B378" t="s">
        <v>13</v>
      </c>
      <c r="C378" t="s">
        <v>14</v>
      </c>
      <c r="D378" t="s">
        <v>22</v>
      </c>
      <c r="E378" s="2">
        <v>45778</v>
      </c>
      <c r="F378" s="3">
        <v>43535</v>
      </c>
      <c r="G378" s="3">
        <v>24041</v>
      </c>
      <c r="H378" s="3">
        <v>19494</v>
      </c>
      <c r="I378" s="3">
        <v>4822</v>
      </c>
      <c r="J378" s="4">
        <v>78.34</v>
      </c>
      <c r="K378" s="3">
        <v>28805</v>
      </c>
      <c r="L378" s="3">
        <v>14730</v>
      </c>
    </row>
    <row r="379" spans="1:12" x14ac:dyDescent="0.25">
      <c r="A379" t="s">
        <v>23</v>
      </c>
      <c r="B379" t="s">
        <v>13</v>
      </c>
      <c r="C379" t="s">
        <v>14</v>
      </c>
      <c r="D379" t="s">
        <v>22</v>
      </c>
      <c r="E379" s="2">
        <v>45809</v>
      </c>
      <c r="F379" s="3">
        <v>46047</v>
      </c>
      <c r="G379" s="3">
        <v>24849</v>
      </c>
      <c r="H379" s="3">
        <v>21198</v>
      </c>
      <c r="I379" s="3">
        <v>5098</v>
      </c>
      <c r="J379" s="4">
        <v>74.06</v>
      </c>
      <c r="K379" s="3">
        <v>30888</v>
      </c>
      <c r="L379" s="3">
        <v>15159</v>
      </c>
    </row>
    <row r="380" spans="1:12" x14ac:dyDescent="0.25">
      <c r="A380" t="s">
        <v>23</v>
      </c>
      <c r="B380" t="s">
        <v>13</v>
      </c>
      <c r="C380" t="s">
        <v>14</v>
      </c>
      <c r="D380" t="s">
        <v>22</v>
      </c>
      <c r="E380" s="2">
        <v>45839</v>
      </c>
      <c r="F380" s="3">
        <v>46719</v>
      </c>
      <c r="G380" s="3">
        <v>25140</v>
      </c>
      <c r="H380" s="3">
        <v>21579</v>
      </c>
      <c r="I380" s="3">
        <v>5152</v>
      </c>
      <c r="J380" s="4">
        <v>78.77</v>
      </c>
      <c r="K380" s="3">
        <v>30734</v>
      </c>
      <c r="L380" s="3">
        <v>15985</v>
      </c>
    </row>
    <row r="381" spans="1:12" x14ac:dyDescent="0.25">
      <c r="A381" t="s">
        <v>23</v>
      </c>
      <c r="B381" t="s">
        <v>13</v>
      </c>
      <c r="C381" t="s">
        <v>14</v>
      </c>
      <c r="D381" t="s">
        <v>22</v>
      </c>
      <c r="E381" s="2">
        <v>45870</v>
      </c>
      <c r="F381" s="3">
        <v>48791</v>
      </c>
      <c r="G381" s="3">
        <v>25782</v>
      </c>
      <c r="H381" s="3">
        <v>23009</v>
      </c>
      <c r="I381" s="3">
        <v>5272</v>
      </c>
      <c r="J381" s="4">
        <v>75.989999999999995</v>
      </c>
      <c r="K381" s="3">
        <v>32592</v>
      </c>
      <c r="L381" s="3">
        <v>16199</v>
      </c>
    </row>
    <row r="382" spans="1:12" x14ac:dyDescent="0.25">
      <c r="A382" t="s">
        <v>23</v>
      </c>
      <c r="B382" t="s">
        <v>13</v>
      </c>
      <c r="C382" t="s">
        <v>14</v>
      </c>
      <c r="D382" t="s">
        <v>22</v>
      </c>
      <c r="E382" s="2">
        <v>45901</v>
      </c>
      <c r="F382" s="3">
        <v>51031</v>
      </c>
      <c r="G382" s="3">
        <v>26924</v>
      </c>
      <c r="H382" s="3">
        <v>24107</v>
      </c>
      <c r="I382" s="3">
        <v>5856</v>
      </c>
      <c r="J382" s="4">
        <v>78.959999999999994</v>
      </c>
      <c r="K382" s="3">
        <v>33329</v>
      </c>
      <c r="L382" s="3">
        <v>17702</v>
      </c>
    </row>
    <row r="383" spans="1:12" x14ac:dyDescent="0.25">
      <c r="A383" t="s">
        <v>23</v>
      </c>
      <c r="B383" t="s">
        <v>13</v>
      </c>
      <c r="C383" t="s">
        <v>14</v>
      </c>
      <c r="D383" t="s">
        <v>22</v>
      </c>
      <c r="E383" s="2">
        <v>45931</v>
      </c>
      <c r="F383" s="3">
        <v>52716</v>
      </c>
      <c r="G383" s="3">
        <v>28402</v>
      </c>
      <c r="H383" s="3">
        <v>24314</v>
      </c>
      <c r="I383" s="3">
        <v>6045</v>
      </c>
      <c r="J383" s="4">
        <v>78.2</v>
      </c>
      <c r="K383" s="3">
        <v>36023</v>
      </c>
      <c r="L383" s="3">
        <v>16693</v>
      </c>
    </row>
    <row r="384" spans="1:12" x14ac:dyDescent="0.25">
      <c r="A384" t="s">
        <v>23</v>
      </c>
      <c r="B384" t="s">
        <v>13</v>
      </c>
      <c r="C384" t="s">
        <v>14</v>
      </c>
      <c r="D384" t="s">
        <v>22</v>
      </c>
      <c r="E384" s="2">
        <v>45962</v>
      </c>
      <c r="F384" s="3">
        <v>51208</v>
      </c>
      <c r="G384" s="3">
        <v>27885</v>
      </c>
      <c r="H384" s="3">
        <v>23323</v>
      </c>
      <c r="I384" s="3">
        <v>5769</v>
      </c>
      <c r="J384" s="4">
        <v>79.12</v>
      </c>
      <c r="K384" s="3">
        <v>34594</v>
      </c>
      <c r="L384" s="3">
        <v>16614</v>
      </c>
    </row>
    <row r="385" spans="1:12" x14ac:dyDescent="0.25">
      <c r="A385" t="s">
        <v>23</v>
      </c>
      <c r="B385" t="s">
        <v>13</v>
      </c>
      <c r="C385" t="s">
        <v>14</v>
      </c>
      <c r="D385" t="s">
        <v>22</v>
      </c>
      <c r="E385" s="2">
        <v>45992</v>
      </c>
      <c r="F385" s="3">
        <v>52835</v>
      </c>
      <c r="G385" s="3">
        <v>28385</v>
      </c>
      <c r="H385" s="3">
        <v>24450</v>
      </c>
      <c r="I385" s="3">
        <v>6016</v>
      </c>
      <c r="J385" s="4">
        <v>74.22</v>
      </c>
      <c r="K385" s="3">
        <v>35867</v>
      </c>
      <c r="L385" s="3">
        <v>16968</v>
      </c>
    </row>
    <row r="386" spans="1:12" x14ac:dyDescent="0.25">
      <c r="A386" t="s">
        <v>24</v>
      </c>
      <c r="B386" t="s">
        <v>24</v>
      </c>
      <c r="C386" t="s">
        <v>25</v>
      </c>
      <c r="D386" t="s">
        <v>15</v>
      </c>
      <c r="E386" s="2">
        <v>45292</v>
      </c>
      <c r="F386" s="3">
        <v>505564</v>
      </c>
      <c r="G386" s="3">
        <v>385649</v>
      </c>
      <c r="H386" s="3">
        <v>119915</v>
      </c>
      <c r="I386" s="3">
        <v>14478</v>
      </c>
      <c r="J386" s="4">
        <v>413.87</v>
      </c>
      <c r="K386" s="3">
        <v>388650</v>
      </c>
      <c r="L386" s="3">
        <v>116914</v>
      </c>
    </row>
    <row r="387" spans="1:12" x14ac:dyDescent="0.25">
      <c r="A387" t="s">
        <v>24</v>
      </c>
      <c r="B387" t="s">
        <v>24</v>
      </c>
      <c r="C387" t="s">
        <v>25</v>
      </c>
      <c r="D387" t="s">
        <v>15</v>
      </c>
      <c r="E387" s="2">
        <v>45323</v>
      </c>
      <c r="F387" s="3">
        <v>445208</v>
      </c>
      <c r="G387" s="3">
        <v>343334</v>
      </c>
      <c r="H387" s="3">
        <v>101874</v>
      </c>
      <c r="I387" s="3">
        <v>13310</v>
      </c>
      <c r="J387" s="4">
        <v>396.63</v>
      </c>
      <c r="K387" s="3">
        <v>339802</v>
      </c>
      <c r="L387" s="3">
        <v>105406</v>
      </c>
    </row>
    <row r="388" spans="1:12" x14ac:dyDescent="0.25">
      <c r="A388" t="s">
        <v>24</v>
      </c>
      <c r="B388" t="s">
        <v>24</v>
      </c>
      <c r="C388" t="s">
        <v>25</v>
      </c>
      <c r="D388" t="s">
        <v>15</v>
      </c>
      <c r="E388" s="2">
        <v>45352</v>
      </c>
      <c r="F388" s="3">
        <v>439800</v>
      </c>
      <c r="G388" s="3">
        <v>343697</v>
      </c>
      <c r="H388" s="3">
        <v>96103</v>
      </c>
      <c r="I388" s="3">
        <v>12648</v>
      </c>
      <c r="J388" s="4">
        <v>393.22</v>
      </c>
      <c r="K388" s="3">
        <v>335662</v>
      </c>
      <c r="L388" s="3">
        <v>104138</v>
      </c>
    </row>
    <row r="389" spans="1:12" x14ac:dyDescent="0.25">
      <c r="A389" t="s">
        <v>24</v>
      </c>
      <c r="B389" t="s">
        <v>24</v>
      </c>
      <c r="C389" t="s">
        <v>25</v>
      </c>
      <c r="D389" t="s">
        <v>15</v>
      </c>
      <c r="E389" s="2">
        <v>45383</v>
      </c>
      <c r="F389" s="3">
        <v>419002</v>
      </c>
      <c r="G389" s="3">
        <v>325687</v>
      </c>
      <c r="H389" s="3">
        <v>93315</v>
      </c>
      <c r="I389" s="3">
        <v>12490</v>
      </c>
      <c r="J389" s="4">
        <v>413.96</v>
      </c>
      <c r="K389" s="3">
        <v>314830</v>
      </c>
      <c r="L389" s="3">
        <v>104172</v>
      </c>
    </row>
    <row r="390" spans="1:12" x14ac:dyDescent="0.25">
      <c r="A390" t="s">
        <v>24</v>
      </c>
      <c r="B390" t="s">
        <v>24</v>
      </c>
      <c r="C390" t="s">
        <v>25</v>
      </c>
      <c r="D390" t="s">
        <v>15</v>
      </c>
      <c r="E390" s="2">
        <v>45413</v>
      </c>
      <c r="F390" s="3">
        <v>470920</v>
      </c>
      <c r="G390" s="3">
        <v>360942</v>
      </c>
      <c r="H390" s="3">
        <v>109978</v>
      </c>
      <c r="I390" s="3">
        <v>13567</v>
      </c>
      <c r="J390" s="4">
        <v>380.02</v>
      </c>
      <c r="K390" s="3">
        <v>355164</v>
      </c>
      <c r="L390" s="3">
        <v>115756</v>
      </c>
    </row>
    <row r="391" spans="1:12" x14ac:dyDescent="0.25">
      <c r="A391" t="s">
        <v>24</v>
      </c>
      <c r="B391" t="s">
        <v>24</v>
      </c>
      <c r="C391" t="s">
        <v>25</v>
      </c>
      <c r="D391" t="s">
        <v>15</v>
      </c>
      <c r="E391" s="2">
        <v>45444</v>
      </c>
      <c r="F391" s="3">
        <v>454906</v>
      </c>
      <c r="G391" s="3">
        <v>349279</v>
      </c>
      <c r="H391" s="3">
        <v>105627</v>
      </c>
      <c r="I391" s="3">
        <v>12750</v>
      </c>
      <c r="J391" s="4">
        <v>379.48</v>
      </c>
      <c r="K391" s="3">
        <v>344653</v>
      </c>
      <c r="L391" s="3">
        <v>110253</v>
      </c>
    </row>
    <row r="392" spans="1:12" x14ac:dyDescent="0.25">
      <c r="A392" t="s">
        <v>24</v>
      </c>
      <c r="B392" t="s">
        <v>24</v>
      </c>
      <c r="C392" t="s">
        <v>25</v>
      </c>
      <c r="D392" t="s">
        <v>15</v>
      </c>
      <c r="E392" s="2">
        <v>45474</v>
      </c>
      <c r="F392" s="3">
        <v>477568</v>
      </c>
      <c r="G392" s="3">
        <v>368370</v>
      </c>
      <c r="H392" s="3">
        <v>109198</v>
      </c>
      <c r="I392" s="3">
        <v>14565</v>
      </c>
      <c r="J392" s="4">
        <v>377.52</v>
      </c>
      <c r="K392" s="3">
        <v>364025</v>
      </c>
      <c r="L392" s="3">
        <v>113543</v>
      </c>
    </row>
    <row r="393" spans="1:12" x14ac:dyDescent="0.25">
      <c r="A393" t="s">
        <v>24</v>
      </c>
      <c r="B393" t="s">
        <v>24</v>
      </c>
      <c r="C393" t="s">
        <v>25</v>
      </c>
      <c r="D393" t="s">
        <v>15</v>
      </c>
      <c r="E393" s="2">
        <v>45505</v>
      </c>
      <c r="F393" s="3">
        <v>541486</v>
      </c>
      <c r="G393" s="3">
        <v>422208</v>
      </c>
      <c r="H393" s="3">
        <v>119278</v>
      </c>
      <c r="I393" s="3">
        <v>15611</v>
      </c>
      <c r="J393" s="4">
        <v>403.59</v>
      </c>
      <c r="K393" s="3">
        <v>412616</v>
      </c>
      <c r="L393" s="3">
        <v>128870</v>
      </c>
    </row>
    <row r="394" spans="1:12" x14ac:dyDescent="0.25">
      <c r="A394" t="s">
        <v>24</v>
      </c>
      <c r="B394" t="s">
        <v>24</v>
      </c>
      <c r="C394" t="s">
        <v>25</v>
      </c>
      <c r="D394" t="s">
        <v>15</v>
      </c>
      <c r="E394" s="2">
        <v>45536</v>
      </c>
      <c r="F394" s="3">
        <v>530332</v>
      </c>
      <c r="G394" s="3">
        <v>409877</v>
      </c>
      <c r="H394" s="3">
        <v>120455</v>
      </c>
      <c r="I394" s="3">
        <v>15764</v>
      </c>
      <c r="J394" s="4">
        <v>409.64</v>
      </c>
      <c r="K394" s="3">
        <v>405381</v>
      </c>
      <c r="L394" s="3">
        <v>124951</v>
      </c>
    </row>
    <row r="395" spans="1:12" x14ac:dyDescent="0.25">
      <c r="A395" t="s">
        <v>24</v>
      </c>
      <c r="B395" t="s">
        <v>24</v>
      </c>
      <c r="C395" t="s">
        <v>25</v>
      </c>
      <c r="D395" t="s">
        <v>15</v>
      </c>
      <c r="E395" s="2">
        <v>45566</v>
      </c>
      <c r="F395" s="3">
        <v>567843</v>
      </c>
      <c r="G395" s="3">
        <v>430915</v>
      </c>
      <c r="H395" s="3">
        <v>136928</v>
      </c>
      <c r="I395" s="3">
        <v>17124</v>
      </c>
      <c r="J395" s="4">
        <v>399.1</v>
      </c>
      <c r="K395" s="3">
        <v>428781</v>
      </c>
      <c r="L395" s="3">
        <v>139062</v>
      </c>
    </row>
    <row r="396" spans="1:12" x14ac:dyDescent="0.25">
      <c r="A396" t="s">
        <v>24</v>
      </c>
      <c r="B396" t="s">
        <v>24</v>
      </c>
      <c r="C396" t="s">
        <v>25</v>
      </c>
      <c r="D396" t="s">
        <v>15</v>
      </c>
      <c r="E396" s="2">
        <v>45597</v>
      </c>
      <c r="F396" s="3">
        <v>571968</v>
      </c>
      <c r="G396" s="3">
        <v>433932</v>
      </c>
      <c r="H396" s="3">
        <v>138036</v>
      </c>
      <c r="I396" s="3">
        <v>16080</v>
      </c>
      <c r="J396" s="4">
        <v>387.61</v>
      </c>
      <c r="K396" s="3">
        <v>441438</v>
      </c>
      <c r="L396" s="3">
        <v>130530</v>
      </c>
    </row>
    <row r="397" spans="1:12" x14ac:dyDescent="0.25">
      <c r="A397" t="s">
        <v>24</v>
      </c>
      <c r="B397" t="s">
        <v>24</v>
      </c>
      <c r="C397" t="s">
        <v>25</v>
      </c>
      <c r="D397" t="s">
        <v>15</v>
      </c>
      <c r="E397" s="2">
        <v>45627</v>
      </c>
      <c r="F397" s="3">
        <v>535471</v>
      </c>
      <c r="G397" s="3">
        <v>414639</v>
      </c>
      <c r="H397" s="3">
        <v>120832</v>
      </c>
      <c r="I397" s="3">
        <v>16202</v>
      </c>
      <c r="J397" s="4">
        <v>409.4</v>
      </c>
      <c r="K397" s="3">
        <v>402756</v>
      </c>
      <c r="L397" s="3">
        <v>132715</v>
      </c>
    </row>
    <row r="398" spans="1:12" x14ac:dyDescent="0.25">
      <c r="A398" t="s">
        <v>24</v>
      </c>
      <c r="B398" t="s">
        <v>24</v>
      </c>
      <c r="C398" t="s">
        <v>25</v>
      </c>
      <c r="D398" t="s">
        <v>15</v>
      </c>
      <c r="E398" s="2">
        <v>45658</v>
      </c>
      <c r="F398" s="3">
        <v>522031</v>
      </c>
      <c r="G398" s="3">
        <v>403750</v>
      </c>
      <c r="H398" s="3">
        <v>118281</v>
      </c>
      <c r="I398" s="3">
        <v>16009</v>
      </c>
      <c r="J398" s="4">
        <v>394.89</v>
      </c>
      <c r="K398" s="3">
        <v>392512</v>
      </c>
      <c r="L398" s="3">
        <v>129519</v>
      </c>
    </row>
    <row r="399" spans="1:12" x14ac:dyDescent="0.25">
      <c r="A399" t="s">
        <v>24</v>
      </c>
      <c r="B399" t="s">
        <v>24</v>
      </c>
      <c r="C399" t="s">
        <v>25</v>
      </c>
      <c r="D399" t="s">
        <v>15</v>
      </c>
      <c r="E399" s="2">
        <v>45689</v>
      </c>
      <c r="F399" s="3">
        <v>479238</v>
      </c>
      <c r="G399" s="3">
        <v>374906</v>
      </c>
      <c r="H399" s="3">
        <v>104332</v>
      </c>
      <c r="I399" s="3">
        <v>13694</v>
      </c>
      <c r="J399" s="4">
        <v>404.95</v>
      </c>
      <c r="K399" s="3">
        <v>363662</v>
      </c>
      <c r="L399" s="3">
        <v>115576</v>
      </c>
    </row>
    <row r="400" spans="1:12" x14ac:dyDescent="0.25">
      <c r="A400" t="s">
        <v>24</v>
      </c>
      <c r="B400" t="s">
        <v>24</v>
      </c>
      <c r="C400" t="s">
        <v>25</v>
      </c>
      <c r="D400" t="s">
        <v>15</v>
      </c>
      <c r="E400" s="2">
        <v>45717</v>
      </c>
      <c r="F400" s="3">
        <v>470434</v>
      </c>
      <c r="G400" s="3">
        <v>365903</v>
      </c>
      <c r="H400" s="3">
        <v>104531</v>
      </c>
      <c r="I400" s="3">
        <v>13243</v>
      </c>
      <c r="J400" s="4">
        <v>411.94</v>
      </c>
      <c r="K400" s="3">
        <v>353658</v>
      </c>
      <c r="L400" s="3">
        <v>116776</v>
      </c>
    </row>
    <row r="401" spans="1:12" x14ac:dyDescent="0.25">
      <c r="A401" t="s">
        <v>24</v>
      </c>
      <c r="B401" t="s">
        <v>24</v>
      </c>
      <c r="C401" t="s">
        <v>25</v>
      </c>
      <c r="D401" t="s">
        <v>15</v>
      </c>
      <c r="E401" s="2">
        <v>45748</v>
      </c>
      <c r="F401" s="3">
        <v>513113</v>
      </c>
      <c r="G401" s="3">
        <v>389335</v>
      </c>
      <c r="H401" s="3">
        <v>123778</v>
      </c>
      <c r="I401" s="3">
        <v>14421</v>
      </c>
      <c r="J401" s="4">
        <v>402.04</v>
      </c>
      <c r="K401" s="3">
        <v>386752</v>
      </c>
      <c r="L401" s="3">
        <v>126361</v>
      </c>
    </row>
    <row r="402" spans="1:12" x14ac:dyDescent="0.25">
      <c r="A402" t="s">
        <v>24</v>
      </c>
      <c r="B402" t="s">
        <v>24</v>
      </c>
      <c r="C402" t="s">
        <v>25</v>
      </c>
      <c r="D402" t="s">
        <v>15</v>
      </c>
      <c r="E402" s="2">
        <v>45778</v>
      </c>
      <c r="F402" s="3">
        <v>525067</v>
      </c>
      <c r="G402" s="3">
        <v>399756</v>
      </c>
      <c r="H402" s="3">
        <v>125311</v>
      </c>
      <c r="I402" s="3">
        <v>15797</v>
      </c>
      <c r="J402" s="4">
        <v>386.36</v>
      </c>
      <c r="K402" s="3">
        <v>405427</v>
      </c>
      <c r="L402" s="3">
        <v>119640</v>
      </c>
    </row>
    <row r="403" spans="1:12" x14ac:dyDescent="0.25">
      <c r="A403" t="s">
        <v>24</v>
      </c>
      <c r="B403" t="s">
        <v>24</v>
      </c>
      <c r="C403" t="s">
        <v>25</v>
      </c>
      <c r="D403" t="s">
        <v>15</v>
      </c>
      <c r="E403" s="2">
        <v>45809</v>
      </c>
      <c r="F403" s="3">
        <v>551691</v>
      </c>
      <c r="G403" s="3">
        <v>427391</v>
      </c>
      <c r="H403" s="3">
        <v>124300</v>
      </c>
      <c r="I403" s="3">
        <v>15669</v>
      </c>
      <c r="J403" s="4">
        <v>406.27</v>
      </c>
      <c r="K403" s="3">
        <v>416667</v>
      </c>
      <c r="L403" s="3">
        <v>135024</v>
      </c>
    </row>
    <row r="404" spans="1:12" x14ac:dyDescent="0.25">
      <c r="A404" t="s">
        <v>24</v>
      </c>
      <c r="B404" t="s">
        <v>24</v>
      </c>
      <c r="C404" t="s">
        <v>25</v>
      </c>
      <c r="D404" t="s">
        <v>15</v>
      </c>
      <c r="E404" s="2">
        <v>45839</v>
      </c>
      <c r="F404" s="3">
        <v>538348</v>
      </c>
      <c r="G404" s="3">
        <v>420247</v>
      </c>
      <c r="H404" s="3">
        <v>118101</v>
      </c>
      <c r="I404" s="3">
        <v>15405</v>
      </c>
      <c r="J404" s="4">
        <v>403.95</v>
      </c>
      <c r="K404" s="3">
        <v>414924</v>
      </c>
      <c r="L404" s="3">
        <v>123424</v>
      </c>
    </row>
    <row r="405" spans="1:12" x14ac:dyDescent="0.25">
      <c r="A405" t="s">
        <v>24</v>
      </c>
      <c r="B405" t="s">
        <v>24</v>
      </c>
      <c r="C405" t="s">
        <v>25</v>
      </c>
      <c r="D405" t="s">
        <v>15</v>
      </c>
      <c r="E405" s="2">
        <v>45870</v>
      </c>
      <c r="F405" s="3">
        <v>568588</v>
      </c>
      <c r="G405" s="3">
        <v>437711</v>
      </c>
      <c r="H405" s="3">
        <v>130877</v>
      </c>
      <c r="I405" s="3">
        <v>16244</v>
      </c>
      <c r="J405" s="4">
        <v>409.98</v>
      </c>
      <c r="K405" s="3">
        <v>434259</v>
      </c>
      <c r="L405" s="3">
        <v>134329</v>
      </c>
    </row>
    <row r="406" spans="1:12" x14ac:dyDescent="0.25">
      <c r="A406" t="s">
        <v>24</v>
      </c>
      <c r="B406" t="s">
        <v>24</v>
      </c>
      <c r="C406" t="s">
        <v>25</v>
      </c>
      <c r="D406" t="s">
        <v>15</v>
      </c>
      <c r="E406" s="2">
        <v>45901</v>
      </c>
      <c r="F406" s="3">
        <v>585214</v>
      </c>
      <c r="G406" s="3">
        <v>456670</v>
      </c>
      <c r="H406" s="3">
        <v>128544</v>
      </c>
      <c r="I406" s="3">
        <v>17562</v>
      </c>
      <c r="J406" s="4">
        <v>396.58</v>
      </c>
      <c r="K406" s="3">
        <v>448545</v>
      </c>
      <c r="L406" s="3">
        <v>136669</v>
      </c>
    </row>
    <row r="407" spans="1:12" x14ac:dyDescent="0.25">
      <c r="A407" t="s">
        <v>24</v>
      </c>
      <c r="B407" t="s">
        <v>24</v>
      </c>
      <c r="C407" t="s">
        <v>25</v>
      </c>
      <c r="D407" t="s">
        <v>15</v>
      </c>
      <c r="E407" s="2">
        <v>45931</v>
      </c>
      <c r="F407" s="3">
        <v>609696</v>
      </c>
      <c r="G407" s="3">
        <v>461242</v>
      </c>
      <c r="H407" s="3">
        <v>148454</v>
      </c>
      <c r="I407" s="3">
        <v>18547</v>
      </c>
      <c r="J407" s="4">
        <v>416.59</v>
      </c>
      <c r="K407" s="3">
        <v>469676</v>
      </c>
      <c r="L407" s="3">
        <v>140020</v>
      </c>
    </row>
    <row r="408" spans="1:12" x14ac:dyDescent="0.25">
      <c r="A408" t="s">
        <v>24</v>
      </c>
      <c r="B408" t="s">
        <v>24</v>
      </c>
      <c r="C408" t="s">
        <v>25</v>
      </c>
      <c r="D408" t="s">
        <v>15</v>
      </c>
      <c r="E408" s="2">
        <v>45962</v>
      </c>
      <c r="F408" s="3">
        <v>607661</v>
      </c>
      <c r="G408" s="3">
        <v>475416</v>
      </c>
      <c r="H408" s="3">
        <v>132245</v>
      </c>
      <c r="I408" s="3">
        <v>18665</v>
      </c>
      <c r="J408" s="4">
        <v>379.96</v>
      </c>
      <c r="K408" s="3">
        <v>469276</v>
      </c>
      <c r="L408" s="3">
        <v>138385</v>
      </c>
    </row>
    <row r="409" spans="1:12" x14ac:dyDescent="0.25">
      <c r="A409" t="s">
        <v>24</v>
      </c>
      <c r="B409" t="s">
        <v>24</v>
      </c>
      <c r="C409" t="s">
        <v>25</v>
      </c>
      <c r="D409" t="s">
        <v>15</v>
      </c>
      <c r="E409" s="2">
        <v>45992</v>
      </c>
      <c r="F409" s="3">
        <v>585842</v>
      </c>
      <c r="G409" s="3">
        <v>443243</v>
      </c>
      <c r="H409" s="3">
        <v>142599</v>
      </c>
      <c r="I409" s="3">
        <v>17463</v>
      </c>
      <c r="J409" s="4">
        <v>411.5</v>
      </c>
      <c r="K409" s="3">
        <v>450072</v>
      </c>
      <c r="L409" s="3">
        <v>135770</v>
      </c>
    </row>
    <row r="410" spans="1:12" x14ac:dyDescent="0.25">
      <c r="A410" t="s">
        <v>24</v>
      </c>
      <c r="B410" t="s">
        <v>24</v>
      </c>
      <c r="C410" t="s">
        <v>25</v>
      </c>
      <c r="D410" t="s">
        <v>16</v>
      </c>
      <c r="E410" s="2">
        <v>45292</v>
      </c>
      <c r="F410" s="3">
        <v>239392</v>
      </c>
      <c r="G410" s="3">
        <v>157713</v>
      </c>
      <c r="H410" s="3">
        <v>81679</v>
      </c>
      <c r="I410" s="3">
        <v>4046</v>
      </c>
      <c r="J410" s="4">
        <v>632.99</v>
      </c>
      <c r="K410" s="3">
        <v>183583</v>
      </c>
      <c r="L410" s="3">
        <v>55809</v>
      </c>
    </row>
    <row r="411" spans="1:12" x14ac:dyDescent="0.25">
      <c r="A411" t="s">
        <v>24</v>
      </c>
      <c r="B411" t="s">
        <v>24</v>
      </c>
      <c r="C411" t="s">
        <v>25</v>
      </c>
      <c r="D411" t="s">
        <v>16</v>
      </c>
      <c r="E411" s="2">
        <v>45323</v>
      </c>
      <c r="F411" s="3">
        <v>236952</v>
      </c>
      <c r="G411" s="3">
        <v>152708</v>
      </c>
      <c r="H411" s="3">
        <v>84244</v>
      </c>
      <c r="I411" s="3">
        <v>3974</v>
      </c>
      <c r="J411" s="4">
        <v>629.69000000000005</v>
      </c>
      <c r="K411" s="3">
        <v>183111</v>
      </c>
      <c r="L411" s="3">
        <v>53841</v>
      </c>
    </row>
    <row r="412" spans="1:12" x14ac:dyDescent="0.25">
      <c r="A412" t="s">
        <v>24</v>
      </c>
      <c r="B412" t="s">
        <v>24</v>
      </c>
      <c r="C412" t="s">
        <v>25</v>
      </c>
      <c r="D412" t="s">
        <v>16</v>
      </c>
      <c r="E412" s="2">
        <v>45352</v>
      </c>
      <c r="F412" s="3">
        <v>247170</v>
      </c>
      <c r="G412" s="3">
        <v>159348</v>
      </c>
      <c r="H412" s="3">
        <v>87822</v>
      </c>
      <c r="I412" s="3">
        <v>4448</v>
      </c>
      <c r="J412" s="4">
        <v>654.37</v>
      </c>
      <c r="K412" s="3">
        <v>186893</v>
      </c>
      <c r="L412" s="3">
        <v>60277</v>
      </c>
    </row>
    <row r="413" spans="1:12" x14ac:dyDescent="0.25">
      <c r="A413" t="s">
        <v>24</v>
      </c>
      <c r="B413" t="s">
        <v>24</v>
      </c>
      <c r="C413" t="s">
        <v>25</v>
      </c>
      <c r="D413" t="s">
        <v>16</v>
      </c>
      <c r="E413" s="2">
        <v>45383</v>
      </c>
      <c r="F413" s="3">
        <v>225469</v>
      </c>
      <c r="G413" s="3">
        <v>145543</v>
      </c>
      <c r="H413" s="3">
        <v>79926</v>
      </c>
      <c r="I413" s="3">
        <v>4064</v>
      </c>
      <c r="J413" s="4">
        <v>656.33</v>
      </c>
      <c r="K413" s="3">
        <v>169939</v>
      </c>
      <c r="L413" s="3">
        <v>55530</v>
      </c>
    </row>
    <row r="414" spans="1:12" x14ac:dyDescent="0.25">
      <c r="A414" t="s">
        <v>24</v>
      </c>
      <c r="B414" t="s">
        <v>24</v>
      </c>
      <c r="C414" t="s">
        <v>25</v>
      </c>
      <c r="D414" t="s">
        <v>16</v>
      </c>
      <c r="E414" s="2">
        <v>45413</v>
      </c>
      <c r="F414" s="3">
        <v>246537</v>
      </c>
      <c r="G414" s="3">
        <v>161891</v>
      </c>
      <c r="H414" s="3">
        <v>84646</v>
      </c>
      <c r="I414" s="3">
        <v>4468</v>
      </c>
      <c r="J414" s="4">
        <v>650.21</v>
      </c>
      <c r="K414" s="3">
        <v>187380</v>
      </c>
      <c r="L414" s="3">
        <v>59157</v>
      </c>
    </row>
    <row r="415" spans="1:12" x14ac:dyDescent="0.25">
      <c r="A415" t="s">
        <v>24</v>
      </c>
      <c r="B415" t="s">
        <v>24</v>
      </c>
      <c r="C415" t="s">
        <v>25</v>
      </c>
      <c r="D415" t="s">
        <v>16</v>
      </c>
      <c r="E415" s="2">
        <v>45444</v>
      </c>
      <c r="F415" s="3">
        <v>254485</v>
      </c>
      <c r="G415" s="3">
        <v>167839</v>
      </c>
      <c r="H415" s="3">
        <v>86646</v>
      </c>
      <c r="I415" s="3">
        <v>4489</v>
      </c>
      <c r="J415" s="4">
        <v>646.71</v>
      </c>
      <c r="K415" s="3">
        <v>192303</v>
      </c>
      <c r="L415" s="3">
        <v>62182</v>
      </c>
    </row>
    <row r="416" spans="1:12" x14ac:dyDescent="0.25">
      <c r="A416" t="s">
        <v>24</v>
      </c>
      <c r="B416" t="s">
        <v>24</v>
      </c>
      <c r="C416" t="s">
        <v>25</v>
      </c>
      <c r="D416" t="s">
        <v>16</v>
      </c>
      <c r="E416" s="2">
        <v>45474</v>
      </c>
      <c r="F416" s="3">
        <v>272907</v>
      </c>
      <c r="G416" s="3">
        <v>174841</v>
      </c>
      <c r="H416" s="3">
        <v>98066</v>
      </c>
      <c r="I416" s="3">
        <v>4673</v>
      </c>
      <c r="J416" s="4">
        <v>622.16999999999996</v>
      </c>
      <c r="K416" s="3">
        <v>207584</v>
      </c>
      <c r="L416" s="3">
        <v>65323</v>
      </c>
    </row>
    <row r="417" spans="1:12" x14ac:dyDescent="0.25">
      <c r="A417" t="s">
        <v>24</v>
      </c>
      <c r="B417" t="s">
        <v>24</v>
      </c>
      <c r="C417" t="s">
        <v>25</v>
      </c>
      <c r="D417" t="s">
        <v>16</v>
      </c>
      <c r="E417" s="2">
        <v>45505</v>
      </c>
      <c r="F417" s="3">
        <v>307483</v>
      </c>
      <c r="G417" s="3">
        <v>197833</v>
      </c>
      <c r="H417" s="3">
        <v>109650</v>
      </c>
      <c r="I417" s="3">
        <v>5508</v>
      </c>
      <c r="J417" s="4">
        <v>632.37</v>
      </c>
      <c r="K417" s="3">
        <v>232831</v>
      </c>
      <c r="L417" s="3">
        <v>74652</v>
      </c>
    </row>
    <row r="418" spans="1:12" x14ac:dyDescent="0.25">
      <c r="A418" t="s">
        <v>24</v>
      </c>
      <c r="B418" t="s">
        <v>24</v>
      </c>
      <c r="C418" t="s">
        <v>25</v>
      </c>
      <c r="D418" t="s">
        <v>16</v>
      </c>
      <c r="E418" s="2">
        <v>45536</v>
      </c>
      <c r="F418" s="3">
        <v>299861</v>
      </c>
      <c r="G418" s="3">
        <v>191069</v>
      </c>
      <c r="H418" s="3">
        <v>108792</v>
      </c>
      <c r="I418" s="3">
        <v>5212</v>
      </c>
      <c r="J418" s="4">
        <v>647.71</v>
      </c>
      <c r="K418" s="3">
        <v>231442</v>
      </c>
      <c r="L418" s="3">
        <v>68419</v>
      </c>
    </row>
    <row r="419" spans="1:12" x14ac:dyDescent="0.25">
      <c r="A419" t="s">
        <v>24</v>
      </c>
      <c r="B419" t="s">
        <v>24</v>
      </c>
      <c r="C419" t="s">
        <v>25</v>
      </c>
      <c r="D419" t="s">
        <v>16</v>
      </c>
      <c r="E419" s="2">
        <v>45566</v>
      </c>
      <c r="F419" s="3">
        <v>313065</v>
      </c>
      <c r="G419" s="3">
        <v>201589</v>
      </c>
      <c r="H419" s="3">
        <v>111476</v>
      </c>
      <c r="I419" s="3">
        <v>5486</v>
      </c>
      <c r="J419" s="4">
        <v>652.41</v>
      </c>
      <c r="K419" s="3">
        <v>240429</v>
      </c>
      <c r="L419" s="3">
        <v>72636</v>
      </c>
    </row>
    <row r="420" spans="1:12" x14ac:dyDescent="0.25">
      <c r="A420" t="s">
        <v>24</v>
      </c>
      <c r="B420" t="s">
        <v>24</v>
      </c>
      <c r="C420" t="s">
        <v>25</v>
      </c>
      <c r="D420" t="s">
        <v>16</v>
      </c>
      <c r="E420" s="2">
        <v>45597</v>
      </c>
      <c r="F420" s="3">
        <v>326956</v>
      </c>
      <c r="G420" s="3">
        <v>216261</v>
      </c>
      <c r="H420" s="3">
        <v>110695</v>
      </c>
      <c r="I420" s="3">
        <v>5890</v>
      </c>
      <c r="J420" s="4">
        <v>682.47</v>
      </c>
      <c r="K420" s="3">
        <v>248562</v>
      </c>
      <c r="L420" s="3">
        <v>78394</v>
      </c>
    </row>
    <row r="421" spans="1:12" x14ac:dyDescent="0.25">
      <c r="A421" t="s">
        <v>24</v>
      </c>
      <c r="B421" t="s">
        <v>24</v>
      </c>
      <c r="C421" t="s">
        <v>25</v>
      </c>
      <c r="D421" t="s">
        <v>16</v>
      </c>
      <c r="E421" s="2">
        <v>45627</v>
      </c>
      <c r="F421" s="3">
        <v>303142</v>
      </c>
      <c r="G421" s="3">
        <v>193800</v>
      </c>
      <c r="H421" s="3">
        <v>109342</v>
      </c>
      <c r="I421" s="3">
        <v>5163</v>
      </c>
      <c r="J421" s="4">
        <v>660.2</v>
      </c>
      <c r="K421" s="3">
        <v>229288</v>
      </c>
      <c r="L421" s="3">
        <v>73854</v>
      </c>
    </row>
    <row r="422" spans="1:12" x14ac:dyDescent="0.25">
      <c r="A422" t="s">
        <v>24</v>
      </c>
      <c r="B422" t="s">
        <v>24</v>
      </c>
      <c r="C422" t="s">
        <v>25</v>
      </c>
      <c r="D422" t="s">
        <v>16</v>
      </c>
      <c r="E422" s="2">
        <v>45658</v>
      </c>
      <c r="F422" s="3">
        <v>301235</v>
      </c>
      <c r="G422" s="3">
        <v>193070</v>
      </c>
      <c r="H422" s="3">
        <v>108165</v>
      </c>
      <c r="I422" s="3">
        <v>5416</v>
      </c>
      <c r="J422" s="4">
        <v>684.41</v>
      </c>
      <c r="K422" s="3">
        <v>231183</v>
      </c>
      <c r="L422" s="3">
        <v>70052</v>
      </c>
    </row>
    <row r="423" spans="1:12" x14ac:dyDescent="0.25">
      <c r="A423" t="s">
        <v>24</v>
      </c>
      <c r="B423" t="s">
        <v>24</v>
      </c>
      <c r="C423" t="s">
        <v>25</v>
      </c>
      <c r="D423" t="s">
        <v>16</v>
      </c>
      <c r="E423" s="2">
        <v>45689</v>
      </c>
      <c r="F423" s="3">
        <v>309533</v>
      </c>
      <c r="G423" s="3">
        <v>206058</v>
      </c>
      <c r="H423" s="3">
        <v>103475</v>
      </c>
      <c r="I423" s="3">
        <v>5532</v>
      </c>
      <c r="J423" s="4">
        <v>673.54</v>
      </c>
      <c r="K423" s="3">
        <v>232297</v>
      </c>
      <c r="L423" s="3">
        <v>77236</v>
      </c>
    </row>
    <row r="424" spans="1:12" x14ac:dyDescent="0.25">
      <c r="A424" t="s">
        <v>24</v>
      </c>
      <c r="B424" t="s">
        <v>24</v>
      </c>
      <c r="C424" t="s">
        <v>25</v>
      </c>
      <c r="D424" t="s">
        <v>16</v>
      </c>
      <c r="E424" s="2">
        <v>45717</v>
      </c>
      <c r="F424" s="3">
        <v>276549</v>
      </c>
      <c r="G424" s="3">
        <v>179526</v>
      </c>
      <c r="H424" s="3">
        <v>97023</v>
      </c>
      <c r="I424" s="3">
        <v>5001</v>
      </c>
      <c r="J424" s="4">
        <v>644.66</v>
      </c>
      <c r="K424" s="3">
        <v>213300</v>
      </c>
      <c r="L424" s="3">
        <v>63249</v>
      </c>
    </row>
    <row r="425" spans="1:12" x14ac:dyDescent="0.25">
      <c r="A425" t="s">
        <v>24</v>
      </c>
      <c r="B425" t="s">
        <v>24</v>
      </c>
      <c r="C425" t="s">
        <v>25</v>
      </c>
      <c r="D425" t="s">
        <v>16</v>
      </c>
      <c r="E425" s="2">
        <v>45748</v>
      </c>
      <c r="F425" s="3">
        <v>303510</v>
      </c>
      <c r="G425" s="3">
        <v>194649</v>
      </c>
      <c r="H425" s="3">
        <v>108861</v>
      </c>
      <c r="I425" s="3">
        <v>5167</v>
      </c>
      <c r="J425" s="4">
        <v>655.91</v>
      </c>
      <c r="K425" s="3">
        <v>230847</v>
      </c>
      <c r="L425" s="3">
        <v>72663</v>
      </c>
    </row>
    <row r="426" spans="1:12" x14ac:dyDescent="0.25">
      <c r="A426" t="s">
        <v>24</v>
      </c>
      <c r="B426" t="s">
        <v>24</v>
      </c>
      <c r="C426" t="s">
        <v>25</v>
      </c>
      <c r="D426" t="s">
        <v>16</v>
      </c>
      <c r="E426" s="2">
        <v>45778</v>
      </c>
      <c r="F426" s="3">
        <v>289552</v>
      </c>
      <c r="G426" s="3">
        <v>189309</v>
      </c>
      <c r="H426" s="3">
        <v>100243</v>
      </c>
      <c r="I426" s="3">
        <v>4968</v>
      </c>
      <c r="J426" s="4">
        <v>682.84</v>
      </c>
      <c r="K426" s="3">
        <v>220589</v>
      </c>
      <c r="L426" s="3">
        <v>68963</v>
      </c>
    </row>
    <row r="427" spans="1:12" x14ac:dyDescent="0.25">
      <c r="A427" t="s">
        <v>24</v>
      </c>
      <c r="B427" t="s">
        <v>24</v>
      </c>
      <c r="C427" t="s">
        <v>25</v>
      </c>
      <c r="D427" t="s">
        <v>16</v>
      </c>
      <c r="E427" s="2">
        <v>45809</v>
      </c>
      <c r="F427" s="3">
        <v>320212</v>
      </c>
      <c r="G427" s="3">
        <v>209466</v>
      </c>
      <c r="H427" s="3">
        <v>110746</v>
      </c>
      <c r="I427" s="3">
        <v>5506</v>
      </c>
      <c r="J427" s="4">
        <v>661.13</v>
      </c>
      <c r="K427" s="3">
        <v>242713</v>
      </c>
      <c r="L427" s="3">
        <v>77499</v>
      </c>
    </row>
    <row r="428" spans="1:12" x14ac:dyDescent="0.25">
      <c r="A428" t="s">
        <v>24</v>
      </c>
      <c r="B428" t="s">
        <v>24</v>
      </c>
      <c r="C428" t="s">
        <v>25</v>
      </c>
      <c r="D428" t="s">
        <v>16</v>
      </c>
      <c r="E428" s="2">
        <v>45839</v>
      </c>
      <c r="F428" s="3">
        <v>341956</v>
      </c>
      <c r="G428" s="3">
        <v>224297</v>
      </c>
      <c r="H428" s="3">
        <v>117659</v>
      </c>
      <c r="I428" s="3">
        <v>5617</v>
      </c>
      <c r="J428" s="4">
        <v>636.72</v>
      </c>
      <c r="K428" s="3">
        <v>258320</v>
      </c>
      <c r="L428" s="3">
        <v>83636</v>
      </c>
    </row>
    <row r="429" spans="1:12" x14ac:dyDescent="0.25">
      <c r="A429" t="s">
        <v>24</v>
      </c>
      <c r="B429" t="s">
        <v>24</v>
      </c>
      <c r="C429" t="s">
        <v>25</v>
      </c>
      <c r="D429" t="s">
        <v>16</v>
      </c>
      <c r="E429" s="2">
        <v>45870</v>
      </c>
      <c r="F429" s="3">
        <v>360085</v>
      </c>
      <c r="G429" s="3">
        <v>237309</v>
      </c>
      <c r="H429" s="3">
        <v>122776</v>
      </c>
      <c r="I429" s="3">
        <v>6444</v>
      </c>
      <c r="J429" s="4">
        <v>656.51</v>
      </c>
      <c r="K429" s="3">
        <v>274205</v>
      </c>
      <c r="L429" s="3">
        <v>85880</v>
      </c>
    </row>
    <row r="430" spans="1:12" x14ac:dyDescent="0.25">
      <c r="A430" t="s">
        <v>24</v>
      </c>
      <c r="B430" t="s">
        <v>24</v>
      </c>
      <c r="C430" t="s">
        <v>25</v>
      </c>
      <c r="D430" t="s">
        <v>16</v>
      </c>
      <c r="E430" s="2">
        <v>45901</v>
      </c>
      <c r="F430" s="3">
        <v>387599</v>
      </c>
      <c r="G430" s="3">
        <v>250685</v>
      </c>
      <c r="H430" s="3">
        <v>136914</v>
      </c>
      <c r="I430" s="3">
        <v>6413</v>
      </c>
      <c r="J430" s="4">
        <v>679.02</v>
      </c>
      <c r="K430" s="3">
        <v>294206</v>
      </c>
      <c r="L430" s="3">
        <v>93393</v>
      </c>
    </row>
    <row r="431" spans="1:12" x14ac:dyDescent="0.25">
      <c r="A431" t="s">
        <v>24</v>
      </c>
      <c r="B431" t="s">
        <v>24</v>
      </c>
      <c r="C431" t="s">
        <v>25</v>
      </c>
      <c r="D431" t="s">
        <v>16</v>
      </c>
      <c r="E431" s="2">
        <v>45931</v>
      </c>
      <c r="F431" s="3">
        <v>389064</v>
      </c>
      <c r="G431" s="3">
        <v>258548</v>
      </c>
      <c r="H431" s="3">
        <v>130516</v>
      </c>
      <c r="I431" s="3">
        <v>6782</v>
      </c>
      <c r="J431" s="4">
        <v>653.24</v>
      </c>
      <c r="K431" s="3">
        <v>293782</v>
      </c>
      <c r="L431" s="3">
        <v>95282</v>
      </c>
    </row>
    <row r="432" spans="1:12" x14ac:dyDescent="0.25">
      <c r="A432" t="s">
        <v>24</v>
      </c>
      <c r="B432" t="s">
        <v>24</v>
      </c>
      <c r="C432" t="s">
        <v>25</v>
      </c>
      <c r="D432" t="s">
        <v>16</v>
      </c>
      <c r="E432" s="2">
        <v>45962</v>
      </c>
      <c r="F432" s="3">
        <v>389151</v>
      </c>
      <c r="G432" s="3">
        <v>254251</v>
      </c>
      <c r="H432" s="3">
        <v>134900</v>
      </c>
      <c r="I432" s="3">
        <v>6817</v>
      </c>
      <c r="J432" s="4">
        <v>651.02</v>
      </c>
      <c r="K432" s="3">
        <v>294312</v>
      </c>
      <c r="L432" s="3">
        <v>94839</v>
      </c>
    </row>
    <row r="433" spans="1:12" x14ac:dyDescent="0.25">
      <c r="A433" t="s">
        <v>24</v>
      </c>
      <c r="B433" t="s">
        <v>24</v>
      </c>
      <c r="C433" t="s">
        <v>25</v>
      </c>
      <c r="D433" t="s">
        <v>16</v>
      </c>
      <c r="E433" s="2">
        <v>45992</v>
      </c>
      <c r="F433" s="3">
        <v>369249</v>
      </c>
      <c r="G433" s="3">
        <v>239164</v>
      </c>
      <c r="H433" s="3">
        <v>130085</v>
      </c>
      <c r="I433" s="3">
        <v>6637</v>
      </c>
      <c r="J433" s="4">
        <v>678.26</v>
      </c>
      <c r="K433" s="3">
        <v>280978</v>
      </c>
      <c r="L433" s="3">
        <v>88271</v>
      </c>
    </row>
    <row r="434" spans="1:12" x14ac:dyDescent="0.25">
      <c r="A434" t="s">
        <v>24</v>
      </c>
      <c r="B434" t="s">
        <v>24</v>
      </c>
      <c r="C434" t="s">
        <v>25</v>
      </c>
      <c r="D434" t="s">
        <v>17</v>
      </c>
      <c r="E434" s="2">
        <v>45292</v>
      </c>
      <c r="F434" s="3">
        <v>184940</v>
      </c>
      <c r="G434" s="3">
        <v>114493</v>
      </c>
      <c r="H434" s="3">
        <v>70447</v>
      </c>
      <c r="I434" s="3">
        <v>1134</v>
      </c>
      <c r="J434" s="4">
        <v>334.82</v>
      </c>
      <c r="K434" s="3">
        <v>142804</v>
      </c>
      <c r="L434" s="3">
        <v>42136</v>
      </c>
    </row>
    <row r="435" spans="1:12" x14ac:dyDescent="0.25">
      <c r="A435" t="s">
        <v>24</v>
      </c>
      <c r="B435" t="s">
        <v>24</v>
      </c>
      <c r="C435" t="s">
        <v>25</v>
      </c>
      <c r="D435" t="s">
        <v>17</v>
      </c>
      <c r="E435" s="2">
        <v>45323</v>
      </c>
      <c r="F435" s="3">
        <v>172753</v>
      </c>
      <c r="G435" s="3">
        <v>106377</v>
      </c>
      <c r="H435" s="3">
        <v>66376</v>
      </c>
      <c r="I435" s="3">
        <v>1059</v>
      </c>
      <c r="J435" s="4">
        <v>325.49</v>
      </c>
      <c r="K435" s="3">
        <v>130987</v>
      </c>
      <c r="L435" s="3">
        <v>41766</v>
      </c>
    </row>
    <row r="436" spans="1:12" x14ac:dyDescent="0.25">
      <c r="A436" t="s">
        <v>24</v>
      </c>
      <c r="B436" t="s">
        <v>24</v>
      </c>
      <c r="C436" t="s">
        <v>25</v>
      </c>
      <c r="D436" t="s">
        <v>17</v>
      </c>
      <c r="E436" s="2">
        <v>45352</v>
      </c>
      <c r="F436" s="3">
        <v>177268</v>
      </c>
      <c r="G436" s="3">
        <v>108597</v>
      </c>
      <c r="H436" s="3">
        <v>68671</v>
      </c>
      <c r="I436" s="3">
        <v>1043</v>
      </c>
      <c r="J436" s="4">
        <v>330.01</v>
      </c>
      <c r="K436" s="3">
        <v>135411</v>
      </c>
      <c r="L436" s="3">
        <v>41857</v>
      </c>
    </row>
    <row r="437" spans="1:12" x14ac:dyDescent="0.25">
      <c r="A437" t="s">
        <v>24</v>
      </c>
      <c r="B437" t="s">
        <v>24</v>
      </c>
      <c r="C437" t="s">
        <v>25</v>
      </c>
      <c r="D437" t="s">
        <v>17</v>
      </c>
      <c r="E437" s="2">
        <v>45383</v>
      </c>
      <c r="F437" s="3">
        <v>178482</v>
      </c>
      <c r="G437" s="3">
        <v>111574</v>
      </c>
      <c r="H437" s="3">
        <v>66908</v>
      </c>
      <c r="I437" s="3">
        <v>1117</v>
      </c>
      <c r="J437" s="4">
        <v>348.34</v>
      </c>
      <c r="K437" s="3">
        <v>137953</v>
      </c>
      <c r="L437" s="3">
        <v>40529</v>
      </c>
    </row>
    <row r="438" spans="1:12" x14ac:dyDescent="0.25">
      <c r="A438" t="s">
        <v>24</v>
      </c>
      <c r="B438" t="s">
        <v>24</v>
      </c>
      <c r="C438" t="s">
        <v>25</v>
      </c>
      <c r="D438" t="s">
        <v>17</v>
      </c>
      <c r="E438" s="2">
        <v>45413</v>
      </c>
      <c r="F438" s="3">
        <v>175088</v>
      </c>
      <c r="G438" s="3">
        <v>107235</v>
      </c>
      <c r="H438" s="3">
        <v>67853</v>
      </c>
      <c r="I438" s="3">
        <v>1043</v>
      </c>
      <c r="J438" s="4">
        <v>343.26</v>
      </c>
      <c r="K438" s="3">
        <v>132574</v>
      </c>
      <c r="L438" s="3">
        <v>42514</v>
      </c>
    </row>
    <row r="439" spans="1:12" x14ac:dyDescent="0.25">
      <c r="A439" t="s">
        <v>24</v>
      </c>
      <c r="B439" t="s">
        <v>24</v>
      </c>
      <c r="C439" t="s">
        <v>25</v>
      </c>
      <c r="D439" t="s">
        <v>17</v>
      </c>
      <c r="E439" s="2">
        <v>45444</v>
      </c>
      <c r="F439" s="3">
        <v>174210</v>
      </c>
      <c r="G439" s="3">
        <v>107865</v>
      </c>
      <c r="H439" s="3">
        <v>66345</v>
      </c>
      <c r="I439" s="3">
        <v>1085</v>
      </c>
      <c r="J439" s="4">
        <v>327.14999999999998</v>
      </c>
      <c r="K439" s="3">
        <v>134648</v>
      </c>
      <c r="L439" s="3">
        <v>39562</v>
      </c>
    </row>
    <row r="440" spans="1:12" x14ac:dyDescent="0.25">
      <c r="A440" t="s">
        <v>24</v>
      </c>
      <c r="B440" t="s">
        <v>24</v>
      </c>
      <c r="C440" t="s">
        <v>25</v>
      </c>
      <c r="D440" t="s">
        <v>17</v>
      </c>
      <c r="E440" s="2">
        <v>45474</v>
      </c>
      <c r="F440" s="3">
        <v>199053</v>
      </c>
      <c r="G440" s="3">
        <v>123312</v>
      </c>
      <c r="H440" s="3">
        <v>75741</v>
      </c>
      <c r="I440" s="3">
        <v>1244</v>
      </c>
      <c r="J440" s="4">
        <v>339.57</v>
      </c>
      <c r="K440" s="3">
        <v>152479</v>
      </c>
      <c r="L440" s="3">
        <v>46574</v>
      </c>
    </row>
    <row r="441" spans="1:12" x14ac:dyDescent="0.25">
      <c r="A441" t="s">
        <v>24</v>
      </c>
      <c r="B441" t="s">
        <v>24</v>
      </c>
      <c r="C441" t="s">
        <v>25</v>
      </c>
      <c r="D441" t="s">
        <v>17</v>
      </c>
      <c r="E441" s="2">
        <v>45505</v>
      </c>
      <c r="F441" s="3">
        <v>207284</v>
      </c>
      <c r="G441" s="3">
        <v>127898</v>
      </c>
      <c r="H441" s="3">
        <v>79386</v>
      </c>
      <c r="I441" s="3">
        <v>1245</v>
      </c>
      <c r="J441" s="4">
        <v>355.52</v>
      </c>
      <c r="K441" s="3">
        <v>156606</v>
      </c>
      <c r="L441" s="3">
        <v>50678</v>
      </c>
    </row>
    <row r="442" spans="1:12" x14ac:dyDescent="0.25">
      <c r="A442" t="s">
        <v>24</v>
      </c>
      <c r="B442" t="s">
        <v>24</v>
      </c>
      <c r="C442" t="s">
        <v>25</v>
      </c>
      <c r="D442" t="s">
        <v>17</v>
      </c>
      <c r="E442" s="2">
        <v>45536</v>
      </c>
      <c r="F442" s="3">
        <v>224198</v>
      </c>
      <c r="G442" s="3">
        <v>138592</v>
      </c>
      <c r="H442" s="3">
        <v>85606</v>
      </c>
      <c r="I442" s="3">
        <v>1424</v>
      </c>
      <c r="J442" s="4">
        <v>356.59</v>
      </c>
      <c r="K442" s="3">
        <v>170405</v>
      </c>
      <c r="L442" s="3">
        <v>53793</v>
      </c>
    </row>
    <row r="443" spans="1:12" x14ac:dyDescent="0.25">
      <c r="A443" t="s">
        <v>24</v>
      </c>
      <c r="B443" t="s">
        <v>24</v>
      </c>
      <c r="C443" t="s">
        <v>25</v>
      </c>
      <c r="D443" t="s">
        <v>17</v>
      </c>
      <c r="E443" s="2">
        <v>45566</v>
      </c>
      <c r="F443" s="3">
        <v>217176</v>
      </c>
      <c r="G443" s="3">
        <v>130722</v>
      </c>
      <c r="H443" s="3">
        <v>86454</v>
      </c>
      <c r="I443" s="3">
        <v>1285</v>
      </c>
      <c r="J443" s="4">
        <v>333.61</v>
      </c>
      <c r="K443" s="3">
        <v>163102</v>
      </c>
      <c r="L443" s="3">
        <v>54074</v>
      </c>
    </row>
    <row r="444" spans="1:12" x14ac:dyDescent="0.25">
      <c r="A444" t="s">
        <v>24</v>
      </c>
      <c r="B444" t="s">
        <v>24</v>
      </c>
      <c r="C444" t="s">
        <v>25</v>
      </c>
      <c r="D444" t="s">
        <v>17</v>
      </c>
      <c r="E444" s="2">
        <v>45597</v>
      </c>
      <c r="F444" s="3">
        <v>229620</v>
      </c>
      <c r="G444" s="3">
        <v>143313</v>
      </c>
      <c r="H444" s="3">
        <v>86307</v>
      </c>
      <c r="I444" s="3">
        <v>1373</v>
      </c>
      <c r="J444" s="4">
        <v>347.11</v>
      </c>
      <c r="K444" s="3">
        <v>176226</v>
      </c>
      <c r="L444" s="3">
        <v>53394</v>
      </c>
    </row>
    <row r="445" spans="1:12" x14ac:dyDescent="0.25">
      <c r="A445" t="s">
        <v>24</v>
      </c>
      <c r="B445" t="s">
        <v>24</v>
      </c>
      <c r="C445" t="s">
        <v>25</v>
      </c>
      <c r="D445" t="s">
        <v>17</v>
      </c>
      <c r="E445" s="2">
        <v>45627</v>
      </c>
      <c r="F445" s="3">
        <v>226299</v>
      </c>
      <c r="G445" s="3">
        <v>138481</v>
      </c>
      <c r="H445" s="3">
        <v>87818</v>
      </c>
      <c r="I445" s="3">
        <v>1373</v>
      </c>
      <c r="J445" s="4">
        <v>355.98</v>
      </c>
      <c r="K445" s="3">
        <v>169911</v>
      </c>
      <c r="L445" s="3">
        <v>56388</v>
      </c>
    </row>
    <row r="446" spans="1:12" x14ac:dyDescent="0.25">
      <c r="A446" t="s">
        <v>24</v>
      </c>
      <c r="B446" t="s">
        <v>24</v>
      </c>
      <c r="C446" t="s">
        <v>25</v>
      </c>
      <c r="D446" t="s">
        <v>17</v>
      </c>
      <c r="E446" s="2">
        <v>45658</v>
      </c>
      <c r="F446" s="3">
        <v>206950</v>
      </c>
      <c r="G446" s="3">
        <v>125084</v>
      </c>
      <c r="H446" s="3">
        <v>81866</v>
      </c>
      <c r="I446" s="3">
        <v>1269</v>
      </c>
      <c r="J446" s="4">
        <v>342.28</v>
      </c>
      <c r="K446" s="3">
        <v>155785</v>
      </c>
      <c r="L446" s="3">
        <v>51165</v>
      </c>
    </row>
    <row r="447" spans="1:12" x14ac:dyDescent="0.25">
      <c r="A447" t="s">
        <v>24</v>
      </c>
      <c r="B447" t="s">
        <v>24</v>
      </c>
      <c r="C447" t="s">
        <v>25</v>
      </c>
      <c r="D447" t="s">
        <v>17</v>
      </c>
      <c r="E447" s="2">
        <v>45689</v>
      </c>
      <c r="F447" s="3">
        <v>193350</v>
      </c>
      <c r="G447" s="3">
        <v>116725</v>
      </c>
      <c r="H447" s="3">
        <v>76625</v>
      </c>
      <c r="I447" s="3">
        <v>1121</v>
      </c>
      <c r="J447" s="4">
        <v>336.58</v>
      </c>
      <c r="K447" s="3">
        <v>146249</v>
      </c>
      <c r="L447" s="3">
        <v>47101</v>
      </c>
    </row>
    <row r="448" spans="1:12" x14ac:dyDescent="0.25">
      <c r="A448" t="s">
        <v>24</v>
      </c>
      <c r="B448" t="s">
        <v>24</v>
      </c>
      <c r="C448" t="s">
        <v>25</v>
      </c>
      <c r="D448" t="s">
        <v>17</v>
      </c>
      <c r="E448" s="2">
        <v>45717</v>
      </c>
      <c r="F448" s="3">
        <v>189850</v>
      </c>
      <c r="G448" s="3">
        <v>113965</v>
      </c>
      <c r="H448" s="3">
        <v>75885</v>
      </c>
      <c r="I448" s="3">
        <v>1139</v>
      </c>
      <c r="J448" s="4">
        <v>345.92</v>
      </c>
      <c r="K448" s="3">
        <v>144124</v>
      </c>
      <c r="L448" s="3">
        <v>45726</v>
      </c>
    </row>
    <row r="449" spans="1:12" x14ac:dyDescent="0.25">
      <c r="A449" t="s">
        <v>24</v>
      </c>
      <c r="B449" t="s">
        <v>24</v>
      </c>
      <c r="C449" t="s">
        <v>25</v>
      </c>
      <c r="D449" t="s">
        <v>17</v>
      </c>
      <c r="E449" s="2">
        <v>45748</v>
      </c>
      <c r="F449" s="3">
        <v>187828</v>
      </c>
      <c r="G449" s="3">
        <v>116765</v>
      </c>
      <c r="H449" s="3">
        <v>71063</v>
      </c>
      <c r="I449" s="3">
        <v>1144</v>
      </c>
      <c r="J449" s="4">
        <v>351.71</v>
      </c>
      <c r="K449" s="3">
        <v>142679</v>
      </c>
      <c r="L449" s="3">
        <v>45149</v>
      </c>
    </row>
    <row r="450" spans="1:12" x14ac:dyDescent="0.25">
      <c r="A450" t="s">
        <v>24</v>
      </c>
      <c r="B450" t="s">
        <v>24</v>
      </c>
      <c r="C450" t="s">
        <v>25</v>
      </c>
      <c r="D450" t="s">
        <v>17</v>
      </c>
      <c r="E450" s="2">
        <v>45778</v>
      </c>
      <c r="F450" s="3">
        <v>199644</v>
      </c>
      <c r="G450" s="3">
        <v>123005</v>
      </c>
      <c r="H450" s="3">
        <v>76639</v>
      </c>
      <c r="I450" s="3">
        <v>1269</v>
      </c>
      <c r="J450" s="4">
        <v>326.39999999999998</v>
      </c>
      <c r="K450" s="3">
        <v>153185</v>
      </c>
      <c r="L450" s="3">
        <v>46459</v>
      </c>
    </row>
    <row r="451" spans="1:12" x14ac:dyDescent="0.25">
      <c r="A451" t="s">
        <v>24</v>
      </c>
      <c r="B451" t="s">
        <v>24</v>
      </c>
      <c r="C451" t="s">
        <v>25</v>
      </c>
      <c r="D451" t="s">
        <v>17</v>
      </c>
      <c r="E451" s="2">
        <v>45809</v>
      </c>
      <c r="F451" s="3">
        <v>213820</v>
      </c>
      <c r="G451" s="3">
        <v>128252</v>
      </c>
      <c r="H451" s="3">
        <v>85568</v>
      </c>
      <c r="I451" s="3">
        <v>1315</v>
      </c>
      <c r="J451" s="4">
        <v>326.89</v>
      </c>
      <c r="K451" s="3">
        <v>160830</v>
      </c>
      <c r="L451" s="3">
        <v>52990</v>
      </c>
    </row>
    <row r="452" spans="1:12" x14ac:dyDescent="0.25">
      <c r="A452" t="s">
        <v>24</v>
      </c>
      <c r="B452" t="s">
        <v>24</v>
      </c>
      <c r="C452" t="s">
        <v>25</v>
      </c>
      <c r="D452" t="s">
        <v>17</v>
      </c>
      <c r="E452" s="2">
        <v>45839</v>
      </c>
      <c r="F452" s="3">
        <v>234837</v>
      </c>
      <c r="G452" s="3">
        <v>146465</v>
      </c>
      <c r="H452" s="3">
        <v>88372</v>
      </c>
      <c r="I452" s="3">
        <v>1462</v>
      </c>
      <c r="J452" s="4">
        <v>354.5</v>
      </c>
      <c r="K452" s="3">
        <v>176556</v>
      </c>
      <c r="L452" s="3">
        <v>58281</v>
      </c>
    </row>
    <row r="453" spans="1:12" x14ac:dyDescent="0.25">
      <c r="A453" t="s">
        <v>24</v>
      </c>
      <c r="B453" t="s">
        <v>24</v>
      </c>
      <c r="C453" t="s">
        <v>25</v>
      </c>
      <c r="D453" t="s">
        <v>17</v>
      </c>
      <c r="E453" s="2">
        <v>45870</v>
      </c>
      <c r="F453" s="3">
        <v>244534</v>
      </c>
      <c r="G453" s="3">
        <v>148652</v>
      </c>
      <c r="H453" s="3">
        <v>95882</v>
      </c>
      <c r="I453" s="3">
        <v>1483</v>
      </c>
      <c r="J453" s="4">
        <v>327.44</v>
      </c>
      <c r="K453" s="3">
        <v>188724</v>
      </c>
      <c r="L453" s="3">
        <v>55810</v>
      </c>
    </row>
    <row r="454" spans="1:12" x14ac:dyDescent="0.25">
      <c r="A454" t="s">
        <v>24</v>
      </c>
      <c r="B454" t="s">
        <v>24</v>
      </c>
      <c r="C454" t="s">
        <v>25</v>
      </c>
      <c r="D454" t="s">
        <v>17</v>
      </c>
      <c r="E454" s="2">
        <v>45901</v>
      </c>
      <c r="F454" s="3">
        <v>237864</v>
      </c>
      <c r="G454" s="3">
        <v>146110</v>
      </c>
      <c r="H454" s="3">
        <v>91754</v>
      </c>
      <c r="I454" s="3">
        <v>1380</v>
      </c>
      <c r="J454" s="4">
        <v>342.29</v>
      </c>
      <c r="K454" s="3">
        <v>179838</v>
      </c>
      <c r="L454" s="3">
        <v>58026</v>
      </c>
    </row>
    <row r="455" spans="1:12" x14ac:dyDescent="0.25">
      <c r="A455" t="s">
        <v>24</v>
      </c>
      <c r="B455" t="s">
        <v>24</v>
      </c>
      <c r="C455" t="s">
        <v>25</v>
      </c>
      <c r="D455" t="s">
        <v>17</v>
      </c>
      <c r="E455" s="2">
        <v>45931</v>
      </c>
      <c r="F455" s="3">
        <v>258552</v>
      </c>
      <c r="G455" s="3">
        <v>157526</v>
      </c>
      <c r="H455" s="3">
        <v>101026</v>
      </c>
      <c r="I455" s="3">
        <v>1535</v>
      </c>
      <c r="J455" s="4">
        <v>354.65</v>
      </c>
      <c r="K455" s="3">
        <v>199322</v>
      </c>
      <c r="L455" s="3">
        <v>59230</v>
      </c>
    </row>
    <row r="456" spans="1:12" x14ac:dyDescent="0.25">
      <c r="A456" t="s">
        <v>24</v>
      </c>
      <c r="B456" t="s">
        <v>24</v>
      </c>
      <c r="C456" t="s">
        <v>25</v>
      </c>
      <c r="D456" t="s">
        <v>17</v>
      </c>
      <c r="E456" s="2">
        <v>45962</v>
      </c>
      <c r="F456" s="3">
        <v>257251</v>
      </c>
      <c r="G456" s="3">
        <v>155419</v>
      </c>
      <c r="H456" s="3">
        <v>101832</v>
      </c>
      <c r="I456" s="3">
        <v>1614</v>
      </c>
      <c r="J456" s="4">
        <v>330.7</v>
      </c>
      <c r="K456" s="3">
        <v>195902</v>
      </c>
      <c r="L456" s="3">
        <v>61349</v>
      </c>
    </row>
    <row r="457" spans="1:12" x14ac:dyDescent="0.25">
      <c r="A457" t="s">
        <v>24</v>
      </c>
      <c r="B457" t="s">
        <v>24</v>
      </c>
      <c r="C457" t="s">
        <v>25</v>
      </c>
      <c r="D457" t="s">
        <v>17</v>
      </c>
      <c r="E457" s="2">
        <v>45992</v>
      </c>
      <c r="F457" s="3">
        <v>260262</v>
      </c>
      <c r="G457" s="3">
        <v>161732</v>
      </c>
      <c r="H457" s="3">
        <v>98530</v>
      </c>
      <c r="I457" s="3">
        <v>1655</v>
      </c>
      <c r="J457" s="4">
        <v>344.35</v>
      </c>
      <c r="K457" s="3">
        <v>199215</v>
      </c>
      <c r="L457" s="3">
        <v>61047</v>
      </c>
    </row>
    <row r="458" spans="1:12" x14ac:dyDescent="0.25">
      <c r="A458" t="s">
        <v>24</v>
      </c>
      <c r="B458" t="s">
        <v>24</v>
      </c>
      <c r="C458" t="s">
        <v>25</v>
      </c>
      <c r="D458" t="s">
        <v>18</v>
      </c>
      <c r="E458" s="2">
        <v>45292</v>
      </c>
      <c r="F458" s="3">
        <v>147659</v>
      </c>
      <c r="G458" s="3">
        <v>91103</v>
      </c>
      <c r="H458" s="3">
        <v>56556</v>
      </c>
      <c r="I458" s="3">
        <v>5183</v>
      </c>
      <c r="J458" s="4">
        <v>205.56</v>
      </c>
      <c r="K458" s="3">
        <v>112763</v>
      </c>
      <c r="L458" s="3">
        <v>34896</v>
      </c>
    </row>
    <row r="459" spans="1:12" x14ac:dyDescent="0.25">
      <c r="A459" t="s">
        <v>24</v>
      </c>
      <c r="B459" t="s">
        <v>24</v>
      </c>
      <c r="C459" t="s">
        <v>25</v>
      </c>
      <c r="D459" t="s">
        <v>18</v>
      </c>
      <c r="E459" s="2">
        <v>45323</v>
      </c>
      <c r="F459" s="3">
        <v>134617</v>
      </c>
      <c r="G459" s="3">
        <v>86330</v>
      </c>
      <c r="H459" s="3">
        <v>48287</v>
      </c>
      <c r="I459" s="3">
        <v>4866</v>
      </c>
      <c r="J459" s="4">
        <v>199.84</v>
      </c>
      <c r="K459" s="3">
        <v>102536</v>
      </c>
      <c r="L459" s="3">
        <v>32081</v>
      </c>
    </row>
    <row r="460" spans="1:12" x14ac:dyDescent="0.25">
      <c r="A460" t="s">
        <v>24</v>
      </c>
      <c r="B460" t="s">
        <v>24</v>
      </c>
      <c r="C460" t="s">
        <v>25</v>
      </c>
      <c r="D460" t="s">
        <v>18</v>
      </c>
      <c r="E460" s="2">
        <v>45352</v>
      </c>
      <c r="F460" s="3">
        <v>142984</v>
      </c>
      <c r="G460" s="3">
        <v>90266</v>
      </c>
      <c r="H460" s="3">
        <v>52718</v>
      </c>
      <c r="I460" s="3">
        <v>5275</v>
      </c>
      <c r="J460" s="4">
        <v>201.47</v>
      </c>
      <c r="K460" s="3">
        <v>109431</v>
      </c>
      <c r="L460" s="3">
        <v>33553</v>
      </c>
    </row>
    <row r="461" spans="1:12" x14ac:dyDescent="0.25">
      <c r="A461" t="s">
        <v>24</v>
      </c>
      <c r="B461" t="s">
        <v>24</v>
      </c>
      <c r="C461" t="s">
        <v>25</v>
      </c>
      <c r="D461" t="s">
        <v>18</v>
      </c>
      <c r="E461" s="2">
        <v>45383</v>
      </c>
      <c r="F461" s="3">
        <v>138916</v>
      </c>
      <c r="G461" s="3">
        <v>86733</v>
      </c>
      <c r="H461" s="3">
        <v>52183</v>
      </c>
      <c r="I461" s="3">
        <v>5046</v>
      </c>
      <c r="J461" s="4">
        <v>200.64</v>
      </c>
      <c r="K461" s="3">
        <v>105891</v>
      </c>
      <c r="L461" s="3">
        <v>33025</v>
      </c>
    </row>
    <row r="462" spans="1:12" x14ac:dyDescent="0.25">
      <c r="A462" t="s">
        <v>24</v>
      </c>
      <c r="B462" t="s">
        <v>24</v>
      </c>
      <c r="C462" t="s">
        <v>25</v>
      </c>
      <c r="D462" t="s">
        <v>18</v>
      </c>
      <c r="E462" s="2">
        <v>45413</v>
      </c>
      <c r="F462" s="3">
        <v>134576</v>
      </c>
      <c r="G462" s="3">
        <v>84749</v>
      </c>
      <c r="H462" s="3">
        <v>49827</v>
      </c>
      <c r="I462" s="3">
        <v>4592</v>
      </c>
      <c r="J462" s="4">
        <v>206.88</v>
      </c>
      <c r="K462" s="3">
        <v>103210</v>
      </c>
      <c r="L462" s="3">
        <v>31366</v>
      </c>
    </row>
    <row r="463" spans="1:12" x14ac:dyDescent="0.25">
      <c r="A463" t="s">
        <v>24</v>
      </c>
      <c r="B463" t="s">
        <v>24</v>
      </c>
      <c r="C463" t="s">
        <v>25</v>
      </c>
      <c r="D463" t="s">
        <v>18</v>
      </c>
      <c r="E463" s="2">
        <v>45444</v>
      </c>
      <c r="F463" s="3">
        <v>146616</v>
      </c>
      <c r="G463" s="3">
        <v>93659</v>
      </c>
      <c r="H463" s="3">
        <v>52957</v>
      </c>
      <c r="I463" s="3">
        <v>5135</v>
      </c>
      <c r="J463" s="4">
        <v>201.12</v>
      </c>
      <c r="K463" s="3">
        <v>110819</v>
      </c>
      <c r="L463" s="3">
        <v>35797</v>
      </c>
    </row>
    <row r="464" spans="1:12" x14ac:dyDescent="0.25">
      <c r="A464" t="s">
        <v>24</v>
      </c>
      <c r="B464" t="s">
        <v>24</v>
      </c>
      <c r="C464" t="s">
        <v>25</v>
      </c>
      <c r="D464" t="s">
        <v>18</v>
      </c>
      <c r="E464" s="2">
        <v>45474</v>
      </c>
      <c r="F464" s="3">
        <v>151058</v>
      </c>
      <c r="G464" s="3">
        <v>93404</v>
      </c>
      <c r="H464" s="3">
        <v>57654</v>
      </c>
      <c r="I464" s="3">
        <v>5517</v>
      </c>
      <c r="J464" s="4">
        <v>195</v>
      </c>
      <c r="K464" s="3">
        <v>113852</v>
      </c>
      <c r="L464" s="3">
        <v>37206</v>
      </c>
    </row>
    <row r="465" spans="1:12" x14ac:dyDescent="0.25">
      <c r="A465" t="s">
        <v>24</v>
      </c>
      <c r="B465" t="s">
        <v>24</v>
      </c>
      <c r="C465" t="s">
        <v>25</v>
      </c>
      <c r="D465" t="s">
        <v>18</v>
      </c>
      <c r="E465" s="2">
        <v>45505</v>
      </c>
      <c r="F465" s="3">
        <v>165001</v>
      </c>
      <c r="G465" s="3">
        <v>105889</v>
      </c>
      <c r="H465" s="3">
        <v>59112</v>
      </c>
      <c r="I465" s="3">
        <v>5678</v>
      </c>
      <c r="J465" s="4">
        <v>201.73</v>
      </c>
      <c r="K465" s="3">
        <v>123974</v>
      </c>
      <c r="L465" s="3">
        <v>41027</v>
      </c>
    </row>
    <row r="466" spans="1:12" x14ac:dyDescent="0.25">
      <c r="A466" t="s">
        <v>24</v>
      </c>
      <c r="B466" t="s">
        <v>24</v>
      </c>
      <c r="C466" t="s">
        <v>25</v>
      </c>
      <c r="D466" t="s">
        <v>18</v>
      </c>
      <c r="E466" s="2">
        <v>45536</v>
      </c>
      <c r="F466" s="3">
        <v>174403</v>
      </c>
      <c r="G466" s="3">
        <v>107524</v>
      </c>
      <c r="H466" s="3">
        <v>66879</v>
      </c>
      <c r="I466" s="3">
        <v>6325</v>
      </c>
      <c r="J466" s="4">
        <v>188.92</v>
      </c>
      <c r="K466" s="3">
        <v>133939</v>
      </c>
      <c r="L466" s="3">
        <v>40464</v>
      </c>
    </row>
    <row r="467" spans="1:12" x14ac:dyDescent="0.25">
      <c r="A467" t="s">
        <v>24</v>
      </c>
      <c r="B467" t="s">
        <v>24</v>
      </c>
      <c r="C467" t="s">
        <v>25</v>
      </c>
      <c r="D467" t="s">
        <v>18</v>
      </c>
      <c r="E467" s="2">
        <v>45566</v>
      </c>
      <c r="F467" s="3">
        <v>178883</v>
      </c>
      <c r="G467" s="3">
        <v>111259</v>
      </c>
      <c r="H467" s="3">
        <v>67624</v>
      </c>
      <c r="I467" s="3">
        <v>6544</v>
      </c>
      <c r="J467" s="4">
        <v>190.71</v>
      </c>
      <c r="K467" s="3">
        <v>136820</v>
      </c>
      <c r="L467" s="3">
        <v>42063</v>
      </c>
    </row>
    <row r="468" spans="1:12" x14ac:dyDescent="0.25">
      <c r="A468" t="s">
        <v>24</v>
      </c>
      <c r="B468" t="s">
        <v>24</v>
      </c>
      <c r="C468" t="s">
        <v>25</v>
      </c>
      <c r="D468" t="s">
        <v>18</v>
      </c>
      <c r="E468" s="2">
        <v>45597</v>
      </c>
      <c r="F468" s="3">
        <v>183475</v>
      </c>
      <c r="G468" s="3">
        <v>118115</v>
      </c>
      <c r="H468" s="3">
        <v>65360</v>
      </c>
      <c r="I468" s="3">
        <v>6856</v>
      </c>
      <c r="J468" s="4">
        <v>191.66</v>
      </c>
      <c r="K468" s="3">
        <v>138429</v>
      </c>
      <c r="L468" s="3">
        <v>45046</v>
      </c>
    </row>
    <row r="469" spans="1:12" x14ac:dyDescent="0.25">
      <c r="A469" t="s">
        <v>24</v>
      </c>
      <c r="B469" t="s">
        <v>24</v>
      </c>
      <c r="C469" t="s">
        <v>25</v>
      </c>
      <c r="D469" t="s">
        <v>18</v>
      </c>
      <c r="E469" s="2">
        <v>45627</v>
      </c>
      <c r="F469" s="3">
        <v>173675</v>
      </c>
      <c r="G469" s="3">
        <v>111710</v>
      </c>
      <c r="H469" s="3">
        <v>61965</v>
      </c>
      <c r="I469" s="3">
        <v>6423</v>
      </c>
      <c r="J469" s="4">
        <v>201.2</v>
      </c>
      <c r="K469" s="3">
        <v>132021</v>
      </c>
      <c r="L469" s="3">
        <v>41654</v>
      </c>
    </row>
    <row r="470" spans="1:12" x14ac:dyDescent="0.25">
      <c r="A470" t="s">
        <v>24</v>
      </c>
      <c r="B470" t="s">
        <v>24</v>
      </c>
      <c r="C470" t="s">
        <v>25</v>
      </c>
      <c r="D470" t="s">
        <v>18</v>
      </c>
      <c r="E470" s="2">
        <v>45658</v>
      </c>
      <c r="F470" s="3">
        <v>163323</v>
      </c>
      <c r="G470" s="3">
        <v>101168</v>
      </c>
      <c r="H470" s="3">
        <v>62155</v>
      </c>
      <c r="I470" s="3">
        <v>5843</v>
      </c>
      <c r="J470" s="4">
        <v>195.72</v>
      </c>
      <c r="K470" s="3">
        <v>124139</v>
      </c>
      <c r="L470" s="3">
        <v>39184</v>
      </c>
    </row>
    <row r="471" spans="1:12" x14ac:dyDescent="0.25">
      <c r="A471" t="s">
        <v>24</v>
      </c>
      <c r="B471" t="s">
        <v>24</v>
      </c>
      <c r="C471" t="s">
        <v>25</v>
      </c>
      <c r="D471" t="s">
        <v>18</v>
      </c>
      <c r="E471" s="2">
        <v>45689</v>
      </c>
      <c r="F471" s="3">
        <v>163129</v>
      </c>
      <c r="G471" s="3">
        <v>104512</v>
      </c>
      <c r="H471" s="3">
        <v>58617</v>
      </c>
      <c r="I471" s="3">
        <v>5694</v>
      </c>
      <c r="J471" s="4">
        <v>192.74</v>
      </c>
      <c r="K471" s="3">
        <v>124926</v>
      </c>
      <c r="L471" s="3">
        <v>38203</v>
      </c>
    </row>
    <row r="472" spans="1:12" x14ac:dyDescent="0.25">
      <c r="A472" t="s">
        <v>24</v>
      </c>
      <c r="B472" t="s">
        <v>24</v>
      </c>
      <c r="C472" t="s">
        <v>25</v>
      </c>
      <c r="D472" t="s">
        <v>18</v>
      </c>
      <c r="E472" s="2">
        <v>45717</v>
      </c>
      <c r="F472" s="3">
        <v>155570</v>
      </c>
      <c r="G472" s="3">
        <v>98898</v>
      </c>
      <c r="H472" s="3">
        <v>56672</v>
      </c>
      <c r="I472" s="3">
        <v>5688</v>
      </c>
      <c r="J472" s="4">
        <v>201.95</v>
      </c>
      <c r="K472" s="3">
        <v>118889</v>
      </c>
      <c r="L472" s="3">
        <v>36681</v>
      </c>
    </row>
    <row r="473" spans="1:12" x14ac:dyDescent="0.25">
      <c r="A473" t="s">
        <v>24</v>
      </c>
      <c r="B473" t="s">
        <v>24</v>
      </c>
      <c r="C473" t="s">
        <v>25</v>
      </c>
      <c r="D473" t="s">
        <v>18</v>
      </c>
      <c r="E473" s="2">
        <v>45748</v>
      </c>
      <c r="F473" s="3">
        <v>160856</v>
      </c>
      <c r="G473" s="3">
        <v>103062</v>
      </c>
      <c r="H473" s="3">
        <v>57794</v>
      </c>
      <c r="I473" s="3">
        <v>5890</v>
      </c>
      <c r="J473" s="4">
        <v>206.45</v>
      </c>
      <c r="K473" s="3">
        <v>123207</v>
      </c>
      <c r="L473" s="3">
        <v>37649</v>
      </c>
    </row>
    <row r="474" spans="1:12" x14ac:dyDescent="0.25">
      <c r="A474" t="s">
        <v>24</v>
      </c>
      <c r="B474" t="s">
        <v>24</v>
      </c>
      <c r="C474" t="s">
        <v>25</v>
      </c>
      <c r="D474" t="s">
        <v>18</v>
      </c>
      <c r="E474" s="2">
        <v>45778</v>
      </c>
      <c r="F474" s="3">
        <v>160310</v>
      </c>
      <c r="G474" s="3">
        <v>99201</v>
      </c>
      <c r="H474" s="3">
        <v>61109</v>
      </c>
      <c r="I474" s="3">
        <v>5607</v>
      </c>
      <c r="J474" s="4">
        <v>205.51</v>
      </c>
      <c r="K474" s="3">
        <v>123281</v>
      </c>
      <c r="L474" s="3">
        <v>37029</v>
      </c>
    </row>
    <row r="475" spans="1:12" x14ac:dyDescent="0.25">
      <c r="A475" t="s">
        <v>24</v>
      </c>
      <c r="B475" t="s">
        <v>24</v>
      </c>
      <c r="C475" t="s">
        <v>25</v>
      </c>
      <c r="D475" t="s">
        <v>18</v>
      </c>
      <c r="E475" s="2">
        <v>45809</v>
      </c>
      <c r="F475" s="3">
        <v>172714</v>
      </c>
      <c r="G475" s="3">
        <v>106925</v>
      </c>
      <c r="H475" s="3">
        <v>65789</v>
      </c>
      <c r="I475" s="3">
        <v>5887</v>
      </c>
      <c r="J475" s="4">
        <v>194.97</v>
      </c>
      <c r="K475" s="3">
        <v>131322</v>
      </c>
      <c r="L475" s="3">
        <v>41392</v>
      </c>
    </row>
    <row r="476" spans="1:12" x14ac:dyDescent="0.25">
      <c r="A476" t="s">
        <v>24</v>
      </c>
      <c r="B476" t="s">
        <v>24</v>
      </c>
      <c r="C476" t="s">
        <v>25</v>
      </c>
      <c r="D476" t="s">
        <v>18</v>
      </c>
      <c r="E476" s="2">
        <v>45839</v>
      </c>
      <c r="F476" s="3">
        <v>176324</v>
      </c>
      <c r="G476" s="3">
        <v>109033</v>
      </c>
      <c r="H476" s="3">
        <v>67291</v>
      </c>
      <c r="I476" s="3">
        <v>6337</v>
      </c>
      <c r="J476" s="4">
        <v>195.31</v>
      </c>
      <c r="K476" s="3">
        <v>136107</v>
      </c>
      <c r="L476" s="3">
        <v>40217</v>
      </c>
    </row>
    <row r="477" spans="1:12" x14ac:dyDescent="0.25">
      <c r="A477" t="s">
        <v>24</v>
      </c>
      <c r="B477" t="s">
        <v>24</v>
      </c>
      <c r="C477" t="s">
        <v>25</v>
      </c>
      <c r="D477" t="s">
        <v>18</v>
      </c>
      <c r="E477" s="2">
        <v>45870</v>
      </c>
      <c r="F477" s="3">
        <v>190527</v>
      </c>
      <c r="G477" s="3">
        <v>122563</v>
      </c>
      <c r="H477" s="3">
        <v>67964</v>
      </c>
      <c r="I477" s="3">
        <v>6563</v>
      </c>
      <c r="J477" s="4">
        <v>197.6</v>
      </c>
      <c r="K477" s="3">
        <v>142819</v>
      </c>
      <c r="L477" s="3">
        <v>47708</v>
      </c>
    </row>
    <row r="478" spans="1:12" x14ac:dyDescent="0.25">
      <c r="A478" t="s">
        <v>24</v>
      </c>
      <c r="B478" t="s">
        <v>24</v>
      </c>
      <c r="C478" t="s">
        <v>25</v>
      </c>
      <c r="D478" t="s">
        <v>18</v>
      </c>
      <c r="E478" s="2">
        <v>45901</v>
      </c>
      <c r="F478" s="3">
        <v>182597</v>
      </c>
      <c r="G478" s="3">
        <v>117054</v>
      </c>
      <c r="H478" s="3">
        <v>65543</v>
      </c>
      <c r="I478" s="3">
        <v>6468</v>
      </c>
      <c r="J478" s="4">
        <v>190.82</v>
      </c>
      <c r="K478" s="3">
        <v>138166</v>
      </c>
      <c r="L478" s="3">
        <v>44431</v>
      </c>
    </row>
    <row r="479" spans="1:12" x14ac:dyDescent="0.25">
      <c r="A479" t="s">
        <v>24</v>
      </c>
      <c r="B479" t="s">
        <v>24</v>
      </c>
      <c r="C479" t="s">
        <v>25</v>
      </c>
      <c r="D479" t="s">
        <v>18</v>
      </c>
      <c r="E479" s="2">
        <v>45931</v>
      </c>
      <c r="F479" s="3">
        <v>206981</v>
      </c>
      <c r="G479" s="3">
        <v>132646</v>
      </c>
      <c r="H479" s="3">
        <v>74335</v>
      </c>
      <c r="I479" s="3">
        <v>7650</v>
      </c>
      <c r="J479" s="4">
        <v>196.63</v>
      </c>
      <c r="K479" s="3">
        <v>157661</v>
      </c>
      <c r="L479" s="3">
        <v>49320</v>
      </c>
    </row>
    <row r="480" spans="1:12" x14ac:dyDescent="0.25">
      <c r="A480" t="s">
        <v>24</v>
      </c>
      <c r="B480" t="s">
        <v>24</v>
      </c>
      <c r="C480" t="s">
        <v>25</v>
      </c>
      <c r="D480" t="s">
        <v>18</v>
      </c>
      <c r="E480" s="2">
        <v>45962</v>
      </c>
      <c r="F480" s="3">
        <v>209001</v>
      </c>
      <c r="G480" s="3">
        <v>130720</v>
      </c>
      <c r="H480" s="3">
        <v>78281</v>
      </c>
      <c r="I480" s="3">
        <v>7648</v>
      </c>
      <c r="J480" s="4">
        <v>195.25</v>
      </c>
      <c r="K480" s="3">
        <v>159483</v>
      </c>
      <c r="L480" s="3">
        <v>49518</v>
      </c>
    </row>
    <row r="481" spans="1:12" x14ac:dyDescent="0.25">
      <c r="A481" t="s">
        <v>24</v>
      </c>
      <c r="B481" t="s">
        <v>24</v>
      </c>
      <c r="C481" t="s">
        <v>25</v>
      </c>
      <c r="D481" t="s">
        <v>18</v>
      </c>
      <c r="E481" s="2">
        <v>45992</v>
      </c>
      <c r="F481" s="3">
        <v>203258</v>
      </c>
      <c r="G481" s="3">
        <v>129022</v>
      </c>
      <c r="H481" s="3">
        <v>74236</v>
      </c>
      <c r="I481" s="3">
        <v>7616</v>
      </c>
      <c r="J481" s="4">
        <v>207.91</v>
      </c>
      <c r="K481" s="3">
        <v>152960</v>
      </c>
      <c r="L481" s="3">
        <v>50298</v>
      </c>
    </row>
    <row r="482" spans="1:12" x14ac:dyDescent="0.25">
      <c r="A482" t="s">
        <v>24</v>
      </c>
      <c r="B482" t="s">
        <v>24</v>
      </c>
      <c r="C482" t="s">
        <v>25</v>
      </c>
      <c r="D482" t="s">
        <v>19</v>
      </c>
      <c r="E482" s="2">
        <v>45292</v>
      </c>
      <c r="F482" s="3">
        <v>140261</v>
      </c>
      <c r="G482" s="3">
        <v>83651</v>
      </c>
      <c r="H482" s="3">
        <v>56610</v>
      </c>
      <c r="I482" s="3">
        <v>5719</v>
      </c>
      <c r="J482" s="4">
        <v>113.57</v>
      </c>
      <c r="K482" s="3">
        <v>106170</v>
      </c>
      <c r="L482" s="3">
        <v>34091</v>
      </c>
    </row>
    <row r="483" spans="1:12" x14ac:dyDescent="0.25">
      <c r="A483" t="s">
        <v>24</v>
      </c>
      <c r="B483" t="s">
        <v>24</v>
      </c>
      <c r="C483" t="s">
        <v>25</v>
      </c>
      <c r="D483" t="s">
        <v>19</v>
      </c>
      <c r="E483" s="2">
        <v>45323</v>
      </c>
      <c r="F483" s="3">
        <v>122126</v>
      </c>
      <c r="G483" s="3">
        <v>73070</v>
      </c>
      <c r="H483" s="3">
        <v>49056</v>
      </c>
      <c r="I483" s="3">
        <v>5016</v>
      </c>
      <c r="J483" s="4">
        <v>115.91</v>
      </c>
      <c r="K483" s="3">
        <v>93717</v>
      </c>
      <c r="L483" s="3">
        <v>28409</v>
      </c>
    </row>
    <row r="484" spans="1:12" x14ac:dyDescent="0.25">
      <c r="A484" t="s">
        <v>24</v>
      </c>
      <c r="B484" t="s">
        <v>24</v>
      </c>
      <c r="C484" t="s">
        <v>25</v>
      </c>
      <c r="D484" t="s">
        <v>19</v>
      </c>
      <c r="E484" s="2">
        <v>45352</v>
      </c>
      <c r="F484" s="3">
        <v>122075</v>
      </c>
      <c r="G484" s="3">
        <v>70842</v>
      </c>
      <c r="H484" s="3">
        <v>51233</v>
      </c>
      <c r="I484" s="3">
        <v>4946</v>
      </c>
      <c r="J484" s="4">
        <v>111.24</v>
      </c>
      <c r="K484" s="3">
        <v>94005</v>
      </c>
      <c r="L484" s="3">
        <v>28070</v>
      </c>
    </row>
    <row r="485" spans="1:12" x14ac:dyDescent="0.25">
      <c r="A485" t="s">
        <v>24</v>
      </c>
      <c r="B485" t="s">
        <v>24</v>
      </c>
      <c r="C485" t="s">
        <v>25</v>
      </c>
      <c r="D485" t="s">
        <v>19</v>
      </c>
      <c r="E485" s="2">
        <v>45383</v>
      </c>
      <c r="F485" s="3">
        <v>124285</v>
      </c>
      <c r="G485" s="3">
        <v>72757</v>
      </c>
      <c r="H485" s="3">
        <v>51528</v>
      </c>
      <c r="I485" s="3">
        <v>5339</v>
      </c>
      <c r="J485" s="4">
        <v>112.45</v>
      </c>
      <c r="K485" s="3">
        <v>94632</v>
      </c>
      <c r="L485" s="3">
        <v>29653</v>
      </c>
    </row>
    <row r="486" spans="1:12" x14ac:dyDescent="0.25">
      <c r="A486" t="s">
        <v>24</v>
      </c>
      <c r="B486" t="s">
        <v>24</v>
      </c>
      <c r="C486" t="s">
        <v>25</v>
      </c>
      <c r="D486" t="s">
        <v>19</v>
      </c>
      <c r="E486" s="2">
        <v>45413</v>
      </c>
      <c r="F486" s="3">
        <v>121229</v>
      </c>
      <c r="G486" s="3">
        <v>71970</v>
      </c>
      <c r="H486" s="3">
        <v>49259</v>
      </c>
      <c r="I486" s="3">
        <v>4866</v>
      </c>
      <c r="J486" s="4">
        <v>113.18</v>
      </c>
      <c r="K486" s="3">
        <v>93075</v>
      </c>
      <c r="L486" s="3">
        <v>28154</v>
      </c>
    </row>
    <row r="487" spans="1:12" x14ac:dyDescent="0.25">
      <c r="A487" t="s">
        <v>24</v>
      </c>
      <c r="B487" t="s">
        <v>24</v>
      </c>
      <c r="C487" t="s">
        <v>25</v>
      </c>
      <c r="D487" t="s">
        <v>19</v>
      </c>
      <c r="E487" s="2">
        <v>45444</v>
      </c>
      <c r="F487" s="3">
        <v>130743</v>
      </c>
      <c r="G487" s="3">
        <v>77680</v>
      </c>
      <c r="H487" s="3">
        <v>53063</v>
      </c>
      <c r="I487" s="3">
        <v>5618</v>
      </c>
      <c r="J487" s="4">
        <v>109.99</v>
      </c>
      <c r="K487" s="3">
        <v>99694</v>
      </c>
      <c r="L487" s="3">
        <v>31049</v>
      </c>
    </row>
    <row r="488" spans="1:12" x14ac:dyDescent="0.25">
      <c r="A488" t="s">
        <v>24</v>
      </c>
      <c r="B488" t="s">
        <v>24</v>
      </c>
      <c r="C488" t="s">
        <v>25</v>
      </c>
      <c r="D488" t="s">
        <v>19</v>
      </c>
      <c r="E488" s="2">
        <v>45474</v>
      </c>
      <c r="F488" s="3">
        <v>151185</v>
      </c>
      <c r="G488" s="3">
        <v>90298</v>
      </c>
      <c r="H488" s="3">
        <v>60887</v>
      </c>
      <c r="I488" s="3">
        <v>6598</v>
      </c>
      <c r="J488" s="4">
        <v>107.78</v>
      </c>
      <c r="K488" s="3">
        <v>115051</v>
      </c>
      <c r="L488" s="3">
        <v>36134</v>
      </c>
    </row>
    <row r="489" spans="1:12" x14ac:dyDescent="0.25">
      <c r="A489" t="s">
        <v>24</v>
      </c>
      <c r="B489" t="s">
        <v>24</v>
      </c>
      <c r="C489" t="s">
        <v>25</v>
      </c>
      <c r="D489" t="s">
        <v>19</v>
      </c>
      <c r="E489" s="2">
        <v>45505</v>
      </c>
      <c r="F489" s="3">
        <v>152862</v>
      </c>
      <c r="G489" s="3">
        <v>92212</v>
      </c>
      <c r="H489" s="3">
        <v>60650</v>
      </c>
      <c r="I489" s="3">
        <v>6077</v>
      </c>
      <c r="J489" s="4">
        <v>110.52</v>
      </c>
      <c r="K489" s="3">
        <v>115926</v>
      </c>
      <c r="L489" s="3">
        <v>36936</v>
      </c>
    </row>
    <row r="490" spans="1:12" x14ac:dyDescent="0.25">
      <c r="A490" t="s">
        <v>24</v>
      </c>
      <c r="B490" t="s">
        <v>24</v>
      </c>
      <c r="C490" t="s">
        <v>25</v>
      </c>
      <c r="D490" t="s">
        <v>19</v>
      </c>
      <c r="E490" s="2">
        <v>45536</v>
      </c>
      <c r="F490" s="3">
        <v>162618</v>
      </c>
      <c r="G490" s="3">
        <v>98294</v>
      </c>
      <c r="H490" s="3">
        <v>64324</v>
      </c>
      <c r="I490" s="3">
        <v>6743</v>
      </c>
      <c r="J490" s="4">
        <v>116.05</v>
      </c>
      <c r="K490" s="3">
        <v>125167</v>
      </c>
      <c r="L490" s="3">
        <v>37451</v>
      </c>
    </row>
    <row r="491" spans="1:12" x14ac:dyDescent="0.25">
      <c r="A491" t="s">
        <v>24</v>
      </c>
      <c r="B491" t="s">
        <v>24</v>
      </c>
      <c r="C491" t="s">
        <v>25</v>
      </c>
      <c r="D491" t="s">
        <v>19</v>
      </c>
      <c r="E491" s="2">
        <v>45566</v>
      </c>
      <c r="F491" s="3">
        <v>155592</v>
      </c>
      <c r="G491" s="3">
        <v>91656</v>
      </c>
      <c r="H491" s="3">
        <v>63936</v>
      </c>
      <c r="I491" s="3">
        <v>6461</v>
      </c>
      <c r="J491" s="4">
        <v>111.38</v>
      </c>
      <c r="K491" s="3">
        <v>118922</v>
      </c>
      <c r="L491" s="3">
        <v>36670</v>
      </c>
    </row>
    <row r="492" spans="1:12" x14ac:dyDescent="0.25">
      <c r="A492" t="s">
        <v>24</v>
      </c>
      <c r="B492" t="s">
        <v>24</v>
      </c>
      <c r="C492" t="s">
        <v>25</v>
      </c>
      <c r="D492" t="s">
        <v>19</v>
      </c>
      <c r="E492" s="2">
        <v>45597</v>
      </c>
      <c r="F492" s="3">
        <v>168548</v>
      </c>
      <c r="G492" s="3">
        <v>98430</v>
      </c>
      <c r="H492" s="3">
        <v>70118</v>
      </c>
      <c r="I492" s="3">
        <v>7235</v>
      </c>
      <c r="J492" s="4">
        <v>111.18</v>
      </c>
      <c r="K492" s="3">
        <v>129351</v>
      </c>
      <c r="L492" s="3">
        <v>39197</v>
      </c>
    </row>
    <row r="493" spans="1:12" x14ac:dyDescent="0.25">
      <c r="A493" t="s">
        <v>24</v>
      </c>
      <c r="B493" t="s">
        <v>24</v>
      </c>
      <c r="C493" t="s">
        <v>25</v>
      </c>
      <c r="D493" t="s">
        <v>19</v>
      </c>
      <c r="E493" s="2">
        <v>45627</v>
      </c>
      <c r="F493" s="3">
        <v>162728</v>
      </c>
      <c r="G493" s="3">
        <v>97037</v>
      </c>
      <c r="H493" s="3">
        <v>65691</v>
      </c>
      <c r="I493" s="3">
        <v>7003</v>
      </c>
      <c r="J493" s="4">
        <v>118.17</v>
      </c>
      <c r="K493" s="3">
        <v>123951</v>
      </c>
      <c r="L493" s="3">
        <v>38777</v>
      </c>
    </row>
    <row r="494" spans="1:12" x14ac:dyDescent="0.25">
      <c r="A494" t="s">
        <v>24</v>
      </c>
      <c r="B494" t="s">
        <v>24</v>
      </c>
      <c r="C494" t="s">
        <v>25</v>
      </c>
      <c r="D494" t="s">
        <v>19</v>
      </c>
      <c r="E494" s="2">
        <v>45658</v>
      </c>
      <c r="F494" s="3">
        <v>151130</v>
      </c>
      <c r="G494" s="3">
        <v>91219</v>
      </c>
      <c r="H494" s="3">
        <v>59911</v>
      </c>
      <c r="I494" s="3">
        <v>6068</v>
      </c>
      <c r="J494" s="4">
        <v>115.86</v>
      </c>
      <c r="K494" s="3">
        <v>113750</v>
      </c>
      <c r="L494" s="3">
        <v>37380</v>
      </c>
    </row>
    <row r="495" spans="1:12" x14ac:dyDescent="0.25">
      <c r="A495" t="s">
        <v>24</v>
      </c>
      <c r="B495" t="s">
        <v>24</v>
      </c>
      <c r="C495" t="s">
        <v>25</v>
      </c>
      <c r="D495" t="s">
        <v>19</v>
      </c>
      <c r="E495" s="2">
        <v>45689</v>
      </c>
      <c r="F495" s="3">
        <v>151031</v>
      </c>
      <c r="G495" s="3">
        <v>88175</v>
      </c>
      <c r="H495" s="3">
        <v>62856</v>
      </c>
      <c r="I495" s="3">
        <v>6248</v>
      </c>
      <c r="J495" s="4">
        <v>117.17</v>
      </c>
      <c r="K495" s="3">
        <v>115005</v>
      </c>
      <c r="L495" s="3">
        <v>36026</v>
      </c>
    </row>
    <row r="496" spans="1:12" x14ac:dyDescent="0.25">
      <c r="A496" t="s">
        <v>24</v>
      </c>
      <c r="B496" t="s">
        <v>24</v>
      </c>
      <c r="C496" t="s">
        <v>25</v>
      </c>
      <c r="D496" t="s">
        <v>19</v>
      </c>
      <c r="E496" s="2">
        <v>45717</v>
      </c>
      <c r="F496" s="3">
        <v>139717</v>
      </c>
      <c r="G496" s="3">
        <v>80974</v>
      </c>
      <c r="H496" s="3">
        <v>58743</v>
      </c>
      <c r="I496" s="3">
        <v>5662</v>
      </c>
      <c r="J496" s="4">
        <v>114.6</v>
      </c>
      <c r="K496" s="3">
        <v>105707</v>
      </c>
      <c r="L496" s="3">
        <v>34010</v>
      </c>
    </row>
    <row r="497" spans="1:12" x14ac:dyDescent="0.25">
      <c r="A497" t="s">
        <v>24</v>
      </c>
      <c r="B497" t="s">
        <v>24</v>
      </c>
      <c r="C497" t="s">
        <v>25</v>
      </c>
      <c r="D497" t="s">
        <v>19</v>
      </c>
      <c r="E497" s="2">
        <v>45748</v>
      </c>
      <c r="F497" s="3">
        <v>142520</v>
      </c>
      <c r="G497" s="3">
        <v>84308</v>
      </c>
      <c r="H497" s="3">
        <v>58212</v>
      </c>
      <c r="I497" s="3">
        <v>5989</v>
      </c>
      <c r="J497" s="4">
        <v>115.4</v>
      </c>
      <c r="K497" s="3">
        <v>109043</v>
      </c>
      <c r="L497" s="3">
        <v>33477</v>
      </c>
    </row>
    <row r="498" spans="1:12" x14ac:dyDescent="0.25">
      <c r="A498" t="s">
        <v>24</v>
      </c>
      <c r="B498" t="s">
        <v>24</v>
      </c>
      <c r="C498" t="s">
        <v>25</v>
      </c>
      <c r="D498" t="s">
        <v>19</v>
      </c>
      <c r="E498" s="2">
        <v>45778</v>
      </c>
      <c r="F498" s="3">
        <v>154101</v>
      </c>
      <c r="G498" s="3">
        <v>92220</v>
      </c>
      <c r="H498" s="3">
        <v>61881</v>
      </c>
      <c r="I498" s="3">
        <v>6496</v>
      </c>
      <c r="J498" s="4">
        <v>118.17</v>
      </c>
      <c r="K498" s="3">
        <v>117625</v>
      </c>
      <c r="L498" s="3">
        <v>36476</v>
      </c>
    </row>
    <row r="499" spans="1:12" x14ac:dyDescent="0.25">
      <c r="A499" t="s">
        <v>24</v>
      </c>
      <c r="B499" t="s">
        <v>24</v>
      </c>
      <c r="C499" t="s">
        <v>25</v>
      </c>
      <c r="D499" t="s">
        <v>19</v>
      </c>
      <c r="E499" s="2">
        <v>45809</v>
      </c>
      <c r="F499" s="3">
        <v>160285</v>
      </c>
      <c r="G499" s="3">
        <v>92775</v>
      </c>
      <c r="H499" s="3">
        <v>67510</v>
      </c>
      <c r="I499" s="3">
        <v>6726</v>
      </c>
      <c r="J499" s="4">
        <v>109.32</v>
      </c>
      <c r="K499" s="3">
        <v>120139</v>
      </c>
      <c r="L499" s="3">
        <v>40146</v>
      </c>
    </row>
    <row r="500" spans="1:12" x14ac:dyDescent="0.25">
      <c r="A500" t="s">
        <v>24</v>
      </c>
      <c r="B500" t="s">
        <v>24</v>
      </c>
      <c r="C500" t="s">
        <v>25</v>
      </c>
      <c r="D500" t="s">
        <v>19</v>
      </c>
      <c r="E500" s="2">
        <v>45839</v>
      </c>
      <c r="F500" s="3">
        <v>169598</v>
      </c>
      <c r="G500" s="3">
        <v>99703</v>
      </c>
      <c r="H500" s="3">
        <v>69895</v>
      </c>
      <c r="I500" s="3">
        <v>7360</v>
      </c>
      <c r="J500" s="4">
        <v>107.87</v>
      </c>
      <c r="K500" s="3">
        <v>130174</v>
      </c>
      <c r="L500" s="3">
        <v>39424</v>
      </c>
    </row>
    <row r="501" spans="1:12" x14ac:dyDescent="0.25">
      <c r="A501" t="s">
        <v>24</v>
      </c>
      <c r="B501" t="s">
        <v>24</v>
      </c>
      <c r="C501" t="s">
        <v>25</v>
      </c>
      <c r="D501" t="s">
        <v>19</v>
      </c>
      <c r="E501" s="2">
        <v>45870</v>
      </c>
      <c r="F501" s="3">
        <v>166141</v>
      </c>
      <c r="G501" s="3">
        <v>99895</v>
      </c>
      <c r="H501" s="3">
        <v>66246</v>
      </c>
      <c r="I501" s="3">
        <v>6606</v>
      </c>
      <c r="J501" s="4">
        <v>110.55</v>
      </c>
      <c r="K501" s="3">
        <v>125976</v>
      </c>
      <c r="L501" s="3">
        <v>40165</v>
      </c>
    </row>
    <row r="502" spans="1:12" x14ac:dyDescent="0.25">
      <c r="A502" t="s">
        <v>24</v>
      </c>
      <c r="B502" t="s">
        <v>24</v>
      </c>
      <c r="C502" t="s">
        <v>25</v>
      </c>
      <c r="D502" t="s">
        <v>19</v>
      </c>
      <c r="E502" s="2">
        <v>45901</v>
      </c>
      <c r="F502" s="3">
        <v>181492</v>
      </c>
      <c r="G502" s="3">
        <v>109613</v>
      </c>
      <c r="H502" s="3">
        <v>71879</v>
      </c>
      <c r="I502" s="3">
        <v>7814</v>
      </c>
      <c r="J502" s="4">
        <v>111.33</v>
      </c>
      <c r="K502" s="3">
        <v>137785</v>
      </c>
      <c r="L502" s="3">
        <v>43707</v>
      </c>
    </row>
    <row r="503" spans="1:12" x14ac:dyDescent="0.25">
      <c r="A503" t="s">
        <v>24</v>
      </c>
      <c r="B503" t="s">
        <v>24</v>
      </c>
      <c r="C503" t="s">
        <v>25</v>
      </c>
      <c r="D503" t="s">
        <v>19</v>
      </c>
      <c r="E503" s="2">
        <v>45931</v>
      </c>
      <c r="F503" s="3">
        <v>182386</v>
      </c>
      <c r="G503" s="3">
        <v>107658</v>
      </c>
      <c r="H503" s="3">
        <v>74728</v>
      </c>
      <c r="I503" s="3">
        <v>7512</v>
      </c>
      <c r="J503" s="4">
        <v>116.18</v>
      </c>
      <c r="K503" s="3">
        <v>139444</v>
      </c>
      <c r="L503" s="3">
        <v>42942</v>
      </c>
    </row>
    <row r="504" spans="1:12" x14ac:dyDescent="0.25">
      <c r="A504" t="s">
        <v>24</v>
      </c>
      <c r="B504" t="s">
        <v>24</v>
      </c>
      <c r="C504" t="s">
        <v>25</v>
      </c>
      <c r="D504" t="s">
        <v>19</v>
      </c>
      <c r="E504" s="2">
        <v>45962</v>
      </c>
      <c r="F504" s="3">
        <v>193224</v>
      </c>
      <c r="G504" s="3">
        <v>116166</v>
      </c>
      <c r="H504" s="3">
        <v>77058</v>
      </c>
      <c r="I504" s="3">
        <v>8016</v>
      </c>
      <c r="J504" s="4">
        <v>111.35</v>
      </c>
      <c r="K504" s="3">
        <v>148770</v>
      </c>
      <c r="L504" s="3">
        <v>44454</v>
      </c>
    </row>
    <row r="505" spans="1:12" x14ac:dyDescent="0.25">
      <c r="A505" t="s">
        <v>24</v>
      </c>
      <c r="B505" t="s">
        <v>24</v>
      </c>
      <c r="C505" t="s">
        <v>25</v>
      </c>
      <c r="D505" t="s">
        <v>19</v>
      </c>
      <c r="E505" s="2">
        <v>45992</v>
      </c>
      <c r="F505" s="3">
        <v>181034</v>
      </c>
      <c r="G505" s="3">
        <v>107399</v>
      </c>
      <c r="H505" s="3">
        <v>73635</v>
      </c>
      <c r="I505" s="3">
        <v>7759</v>
      </c>
      <c r="J505" s="4">
        <v>114.54</v>
      </c>
      <c r="K505" s="3">
        <v>137742</v>
      </c>
      <c r="L505" s="3">
        <v>43292</v>
      </c>
    </row>
    <row r="506" spans="1:12" x14ac:dyDescent="0.25">
      <c r="A506" t="s">
        <v>24</v>
      </c>
      <c r="B506" t="s">
        <v>24</v>
      </c>
      <c r="C506" t="s">
        <v>25</v>
      </c>
      <c r="D506" t="s">
        <v>20</v>
      </c>
      <c r="E506" s="2">
        <v>45292</v>
      </c>
      <c r="F506" s="3">
        <v>103437</v>
      </c>
      <c r="G506" s="3">
        <v>72997</v>
      </c>
      <c r="H506" s="3">
        <v>30440</v>
      </c>
      <c r="I506" s="3">
        <v>2566</v>
      </c>
      <c r="J506" s="4">
        <v>363.8</v>
      </c>
      <c r="K506" s="3">
        <v>78567</v>
      </c>
      <c r="L506" s="3">
        <v>24870</v>
      </c>
    </row>
    <row r="507" spans="1:12" x14ac:dyDescent="0.25">
      <c r="A507" t="s">
        <v>24</v>
      </c>
      <c r="B507" t="s">
        <v>24</v>
      </c>
      <c r="C507" t="s">
        <v>25</v>
      </c>
      <c r="D507" t="s">
        <v>20</v>
      </c>
      <c r="E507" s="2">
        <v>45323</v>
      </c>
      <c r="F507" s="3">
        <v>98856</v>
      </c>
      <c r="G507" s="3">
        <v>68788</v>
      </c>
      <c r="H507" s="3">
        <v>30068</v>
      </c>
      <c r="I507" s="3">
        <v>2382</v>
      </c>
      <c r="J507" s="4">
        <v>360.71</v>
      </c>
      <c r="K507" s="3">
        <v>74881</v>
      </c>
      <c r="L507" s="3">
        <v>23975</v>
      </c>
    </row>
    <row r="508" spans="1:12" x14ac:dyDescent="0.25">
      <c r="A508" t="s">
        <v>24</v>
      </c>
      <c r="B508" t="s">
        <v>24</v>
      </c>
      <c r="C508" t="s">
        <v>25</v>
      </c>
      <c r="D508" t="s">
        <v>20</v>
      </c>
      <c r="E508" s="2">
        <v>45352</v>
      </c>
      <c r="F508" s="3">
        <v>100397</v>
      </c>
      <c r="G508" s="3">
        <v>69605</v>
      </c>
      <c r="H508" s="3">
        <v>30792</v>
      </c>
      <c r="I508" s="3">
        <v>2353</v>
      </c>
      <c r="J508" s="4">
        <v>350.13</v>
      </c>
      <c r="K508" s="3">
        <v>76712</v>
      </c>
      <c r="L508" s="3">
        <v>23685</v>
      </c>
    </row>
    <row r="509" spans="1:12" x14ac:dyDescent="0.25">
      <c r="A509" t="s">
        <v>24</v>
      </c>
      <c r="B509" t="s">
        <v>24</v>
      </c>
      <c r="C509" t="s">
        <v>25</v>
      </c>
      <c r="D509" t="s">
        <v>20</v>
      </c>
      <c r="E509" s="2">
        <v>45383</v>
      </c>
      <c r="F509" s="3">
        <v>97043</v>
      </c>
      <c r="G509" s="3">
        <v>67483</v>
      </c>
      <c r="H509" s="3">
        <v>29560</v>
      </c>
      <c r="I509" s="3">
        <v>2403</v>
      </c>
      <c r="J509" s="4">
        <v>350.43</v>
      </c>
      <c r="K509" s="3">
        <v>74394</v>
      </c>
      <c r="L509" s="3">
        <v>22649</v>
      </c>
    </row>
    <row r="510" spans="1:12" x14ac:dyDescent="0.25">
      <c r="A510" t="s">
        <v>24</v>
      </c>
      <c r="B510" t="s">
        <v>24</v>
      </c>
      <c r="C510" t="s">
        <v>25</v>
      </c>
      <c r="D510" t="s">
        <v>20</v>
      </c>
      <c r="E510" s="2">
        <v>45413</v>
      </c>
      <c r="F510" s="3">
        <v>96501</v>
      </c>
      <c r="G510" s="3">
        <v>67381</v>
      </c>
      <c r="H510" s="3">
        <v>29120</v>
      </c>
      <c r="I510" s="3">
        <v>2273</v>
      </c>
      <c r="J510" s="4">
        <v>365.02</v>
      </c>
      <c r="K510" s="3">
        <v>74175</v>
      </c>
      <c r="L510" s="3">
        <v>22326</v>
      </c>
    </row>
    <row r="511" spans="1:12" x14ac:dyDescent="0.25">
      <c r="A511" t="s">
        <v>24</v>
      </c>
      <c r="B511" t="s">
        <v>24</v>
      </c>
      <c r="C511" t="s">
        <v>25</v>
      </c>
      <c r="D511" t="s">
        <v>20</v>
      </c>
      <c r="E511" s="2">
        <v>45444</v>
      </c>
      <c r="F511" s="3">
        <v>107284</v>
      </c>
      <c r="G511" s="3">
        <v>74919</v>
      </c>
      <c r="H511" s="3">
        <v>32365</v>
      </c>
      <c r="I511" s="3">
        <v>2507</v>
      </c>
      <c r="J511" s="4">
        <v>353.83</v>
      </c>
      <c r="K511" s="3">
        <v>81586</v>
      </c>
      <c r="L511" s="3">
        <v>25698</v>
      </c>
    </row>
    <row r="512" spans="1:12" x14ac:dyDescent="0.25">
      <c r="A512" t="s">
        <v>24</v>
      </c>
      <c r="B512" t="s">
        <v>24</v>
      </c>
      <c r="C512" t="s">
        <v>25</v>
      </c>
      <c r="D512" t="s">
        <v>20</v>
      </c>
      <c r="E512" s="2">
        <v>45474</v>
      </c>
      <c r="F512" s="3">
        <v>117885</v>
      </c>
      <c r="G512" s="3">
        <v>83366</v>
      </c>
      <c r="H512" s="3">
        <v>34519</v>
      </c>
      <c r="I512" s="3">
        <v>2726</v>
      </c>
      <c r="J512" s="4">
        <v>374.41</v>
      </c>
      <c r="K512" s="3">
        <v>91003</v>
      </c>
      <c r="L512" s="3">
        <v>26882</v>
      </c>
    </row>
    <row r="513" spans="1:12" x14ac:dyDescent="0.25">
      <c r="A513" t="s">
        <v>24</v>
      </c>
      <c r="B513" t="s">
        <v>24</v>
      </c>
      <c r="C513" t="s">
        <v>25</v>
      </c>
      <c r="D513" t="s">
        <v>20</v>
      </c>
      <c r="E513" s="2">
        <v>45505</v>
      </c>
      <c r="F513" s="3">
        <v>112927</v>
      </c>
      <c r="G513" s="3">
        <v>78001</v>
      </c>
      <c r="H513" s="3">
        <v>34926</v>
      </c>
      <c r="I513" s="3">
        <v>2755</v>
      </c>
      <c r="J513" s="4">
        <v>353.87</v>
      </c>
      <c r="K513" s="3">
        <v>86675</v>
      </c>
      <c r="L513" s="3">
        <v>26252</v>
      </c>
    </row>
    <row r="514" spans="1:12" x14ac:dyDescent="0.25">
      <c r="A514" t="s">
        <v>24</v>
      </c>
      <c r="B514" t="s">
        <v>24</v>
      </c>
      <c r="C514" t="s">
        <v>25</v>
      </c>
      <c r="D514" t="s">
        <v>20</v>
      </c>
      <c r="E514" s="2">
        <v>45536</v>
      </c>
      <c r="F514" s="3">
        <v>126990</v>
      </c>
      <c r="G514" s="3">
        <v>87717</v>
      </c>
      <c r="H514" s="3">
        <v>39273</v>
      </c>
      <c r="I514" s="3">
        <v>2942</v>
      </c>
      <c r="J514" s="4">
        <v>355.35</v>
      </c>
      <c r="K514" s="3">
        <v>97807</v>
      </c>
      <c r="L514" s="3">
        <v>29183</v>
      </c>
    </row>
    <row r="515" spans="1:12" x14ac:dyDescent="0.25">
      <c r="A515" t="s">
        <v>24</v>
      </c>
      <c r="B515" t="s">
        <v>24</v>
      </c>
      <c r="C515" t="s">
        <v>25</v>
      </c>
      <c r="D515" t="s">
        <v>20</v>
      </c>
      <c r="E515" s="2">
        <v>45566</v>
      </c>
      <c r="F515" s="3">
        <v>122757</v>
      </c>
      <c r="G515" s="3">
        <v>84834</v>
      </c>
      <c r="H515" s="3">
        <v>37923</v>
      </c>
      <c r="I515" s="3">
        <v>2833</v>
      </c>
      <c r="J515" s="4">
        <v>358.45</v>
      </c>
      <c r="K515" s="3">
        <v>93117</v>
      </c>
      <c r="L515" s="3">
        <v>29640</v>
      </c>
    </row>
    <row r="516" spans="1:12" x14ac:dyDescent="0.25">
      <c r="A516" t="s">
        <v>24</v>
      </c>
      <c r="B516" t="s">
        <v>24</v>
      </c>
      <c r="C516" t="s">
        <v>25</v>
      </c>
      <c r="D516" t="s">
        <v>20</v>
      </c>
      <c r="E516" s="2">
        <v>45597</v>
      </c>
      <c r="F516" s="3">
        <v>129810</v>
      </c>
      <c r="G516" s="3">
        <v>90458</v>
      </c>
      <c r="H516" s="3">
        <v>39352</v>
      </c>
      <c r="I516" s="3">
        <v>3166</v>
      </c>
      <c r="J516" s="4">
        <v>341.83</v>
      </c>
      <c r="K516" s="3">
        <v>98820</v>
      </c>
      <c r="L516" s="3">
        <v>30990</v>
      </c>
    </row>
    <row r="517" spans="1:12" x14ac:dyDescent="0.25">
      <c r="A517" t="s">
        <v>24</v>
      </c>
      <c r="B517" t="s">
        <v>24</v>
      </c>
      <c r="C517" t="s">
        <v>25</v>
      </c>
      <c r="D517" t="s">
        <v>20</v>
      </c>
      <c r="E517" s="2">
        <v>45627</v>
      </c>
      <c r="F517" s="3">
        <v>122796</v>
      </c>
      <c r="G517" s="3">
        <v>85201</v>
      </c>
      <c r="H517" s="3">
        <v>37595</v>
      </c>
      <c r="I517" s="3">
        <v>3064</v>
      </c>
      <c r="J517" s="4">
        <v>375.46</v>
      </c>
      <c r="K517" s="3">
        <v>92767</v>
      </c>
      <c r="L517" s="3">
        <v>30029</v>
      </c>
    </row>
    <row r="518" spans="1:12" x14ac:dyDescent="0.25">
      <c r="A518" t="s">
        <v>24</v>
      </c>
      <c r="B518" t="s">
        <v>24</v>
      </c>
      <c r="C518" t="s">
        <v>25</v>
      </c>
      <c r="D518" t="s">
        <v>20</v>
      </c>
      <c r="E518" s="2">
        <v>45658</v>
      </c>
      <c r="F518" s="3">
        <v>120137</v>
      </c>
      <c r="G518" s="3">
        <v>82574</v>
      </c>
      <c r="H518" s="3">
        <v>37563</v>
      </c>
      <c r="I518" s="3">
        <v>2951</v>
      </c>
      <c r="J518" s="4">
        <v>343.27</v>
      </c>
      <c r="K518" s="3">
        <v>92574</v>
      </c>
      <c r="L518" s="3">
        <v>27563</v>
      </c>
    </row>
    <row r="519" spans="1:12" x14ac:dyDescent="0.25">
      <c r="A519" t="s">
        <v>24</v>
      </c>
      <c r="B519" t="s">
        <v>24</v>
      </c>
      <c r="C519" t="s">
        <v>25</v>
      </c>
      <c r="D519" t="s">
        <v>20</v>
      </c>
      <c r="E519" s="2">
        <v>45689</v>
      </c>
      <c r="F519" s="3">
        <v>104544</v>
      </c>
      <c r="G519" s="3">
        <v>72472</v>
      </c>
      <c r="H519" s="3">
        <v>32072</v>
      </c>
      <c r="I519" s="3">
        <v>2373</v>
      </c>
      <c r="J519" s="4">
        <v>367.12</v>
      </c>
      <c r="K519" s="3">
        <v>79978</v>
      </c>
      <c r="L519" s="3">
        <v>24566</v>
      </c>
    </row>
    <row r="520" spans="1:12" x14ac:dyDescent="0.25">
      <c r="A520" t="s">
        <v>24</v>
      </c>
      <c r="B520" t="s">
        <v>24</v>
      </c>
      <c r="C520" t="s">
        <v>25</v>
      </c>
      <c r="D520" t="s">
        <v>20</v>
      </c>
      <c r="E520" s="2">
        <v>45717</v>
      </c>
      <c r="F520" s="3">
        <v>103475</v>
      </c>
      <c r="G520" s="3">
        <v>73250</v>
      </c>
      <c r="H520" s="3">
        <v>30225</v>
      </c>
      <c r="I520" s="3">
        <v>2414</v>
      </c>
      <c r="J520" s="4">
        <v>361.61</v>
      </c>
      <c r="K520" s="3">
        <v>79849</v>
      </c>
      <c r="L520" s="3">
        <v>23626</v>
      </c>
    </row>
    <row r="521" spans="1:12" x14ac:dyDescent="0.25">
      <c r="A521" t="s">
        <v>24</v>
      </c>
      <c r="B521" t="s">
        <v>24</v>
      </c>
      <c r="C521" t="s">
        <v>25</v>
      </c>
      <c r="D521" t="s">
        <v>20</v>
      </c>
      <c r="E521" s="2">
        <v>45748</v>
      </c>
      <c r="F521" s="3">
        <v>110512</v>
      </c>
      <c r="G521" s="3">
        <v>77877</v>
      </c>
      <c r="H521" s="3">
        <v>32635</v>
      </c>
      <c r="I521" s="3">
        <v>2728</v>
      </c>
      <c r="J521" s="4">
        <v>369.5</v>
      </c>
      <c r="K521" s="3">
        <v>83078</v>
      </c>
      <c r="L521" s="3">
        <v>27434</v>
      </c>
    </row>
    <row r="522" spans="1:12" x14ac:dyDescent="0.25">
      <c r="A522" t="s">
        <v>24</v>
      </c>
      <c r="B522" t="s">
        <v>24</v>
      </c>
      <c r="C522" t="s">
        <v>25</v>
      </c>
      <c r="D522" t="s">
        <v>20</v>
      </c>
      <c r="E522" s="2">
        <v>45778</v>
      </c>
      <c r="F522" s="3">
        <v>109897</v>
      </c>
      <c r="G522" s="3">
        <v>78484</v>
      </c>
      <c r="H522" s="3">
        <v>31413</v>
      </c>
      <c r="I522" s="3">
        <v>2709</v>
      </c>
      <c r="J522" s="4">
        <v>375.05</v>
      </c>
      <c r="K522" s="3">
        <v>83471</v>
      </c>
      <c r="L522" s="3">
        <v>26426</v>
      </c>
    </row>
    <row r="523" spans="1:12" x14ac:dyDescent="0.25">
      <c r="A523" t="s">
        <v>24</v>
      </c>
      <c r="B523" t="s">
        <v>24</v>
      </c>
      <c r="C523" t="s">
        <v>25</v>
      </c>
      <c r="D523" t="s">
        <v>20</v>
      </c>
      <c r="E523" s="2">
        <v>45809</v>
      </c>
      <c r="F523" s="3">
        <v>114838</v>
      </c>
      <c r="G523" s="3">
        <v>80207</v>
      </c>
      <c r="H523" s="3">
        <v>34631</v>
      </c>
      <c r="I523" s="3">
        <v>2861</v>
      </c>
      <c r="J523" s="4">
        <v>362.17</v>
      </c>
      <c r="K523" s="3">
        <v>86446</v>
      </c>
      <c r="L523" s="3">
        <v>28392</v>
      </c>
    </row>
    <row r="524" spans="1:12" x14ac:dyDescent="0.25">
      <c r="A524" t="s">
        <v>24</v>
      </c>
      <c r="B524" t="s">
        <v>24</v>
      </c>
      <c r="C524" t="s">
        <v>25</v>
      </c>
      <c r="D524" t="s">
        <v>20</v>
      </c>
      <c r="E524" s="2">
        <v>45839</v>
      </c>
      <c r="F524" s="3">
        <v>123237</v>
      </c>
      <c r="G524" s="3">
        <v>85851</v>
      </c>
      <c r="H524" s="3">
        <v>37386</v>
      </c>
      <c r="I524" s="3">
        <v>2870</v>
      </c>
      <c r="J524" s="4">
        <v>374.97</v>
      </c>
      <c r="K524" s="3">
        <v>93806</v>
      </c>
      <c r="L524" s="3">
        <v>29431</v>
      </c>
    </row>
    <row r="525" spans="1:12" x14ac:dyDescent="0.25">
      <c r="A525" t="s">
        <v>24</v>
      </c>
      <c r="B525" t="s">
        <v>24</v>
      </c>
      <c r="C525" t="s">
        <v>25</v>
      </c>
      <c r="D525" t="s">
        <v>20</v>
      </c>
      <c r="E525" s="2">
        <v>45870</v>
      </c>
      <c r="F525" s="3">
        <v>119564</v>
      </c>
      <c r="G525" s="3">
        <v>82570</v>
      </c>
      <c r="H525" s="3">
        <v>36994</v>
      </c>
      <c r="I525" s="3">
        <v>2954</v>
      </c>
      <c r="J525" s="4">
        <v>375.13</v>
      </c>
      <c r="K525" s="3">
        <v>91089</v>
      </c>
      <c r="L525" s="3">
        <v>28475</v>
      </c>
    </row>
    <row r="526" spans="1:12" x14ac:dyDescent="0.25">
      <c r="A526" t="s">
        <v>24</v>
      </c>
      <c r="B526" t="s">
        <v>24</v>
      </c>
      <c r="C526" t="s">
        <v>25</v>
      </c>
      <c r="D526" t="s">
        <v>20</v>
      </c>
      <c r="E526" s="2">
        <v>45901</v>
      </c>
      <c r="F526" s="3">
        <v>129921</v>
      </c>
      <c r="G526" s="3">
        <v>92297</v>
      </c>
      <c r="H526" s="3">
        <v>37624</v>
      </c>
      <c r="I526" s="3">
        <v>3252</v>
      </c>
      <c r="J526" s="4">
        <v>345.38</v>
      </c>
      <c r="K526" s="3">
        <v>98317</v>
      </c>
      <c r="L526" s="3">
        <v>31604</v>
      </c>
    </row>
    <row r="527" spans="1:12" x14ac:dyDescent="0.25">
      <c r="A527" t="s">
        <v>24</v>
      </c>
      <c r="B527" t="s">
        <v>24</v>
      </c>
      <c r="C527" t="s">
        <v>25</v>
      </c>
      <c r="D527" t="s">
        <v>20</v>
      </c>
      <c r="E527" s="2">
        <v>45931</v>
      </c>
      <c r="F527" s="3">
        <v>126089</v>
      </c>
      <c r="G527" s="3">
        <v>87692</v>
      </c>
      <c r="H527" s="3">
        <v>38397</v>
      </c>
      <c r="I527" s="3">
        <v>2938</v>
      </c>
      <c r="J527" s="4">
        <v>345.27</v>
      </c>
      <c r="K527" s="3">
        <v>97481</v>
      </c>
      <c r="L527" s="3">
        <v>28608</v>
      </c>
    </row>
    <row r="528" spans="1:12" x14ac:dyDescent="0.25">
      <c r="A528" t="s">
        <v>24</v>
      </c>
      <c r="B528" t="s">
        <v>24</v>
      </c>
      <c r="C528" t="s">
        <v>25</v>
      </c>
      <c r="D528" t="s">
        <v>20</v>
      </c>
      <c r="E528" s="2">
        <v>45962</v>
      </c>
      <c r="F528" s="3">
        <v>137363</v>
      </c>
      <c r="G528" s="3">
        <v>97841</v>
      </c>
      <c r="H528" s="3">
        <v>39522</v>
      </c>
      <c r="I528" s="3">
        <v>3322</v>
      </c>
      <c r="J528" s="4">
        <v>372.33</v>
      </c>
      <c r="K528" s="3">
        <v>103218</v>
      </c>
      <c r="L528" s="3">
        <v>34145</v>
      </c>
    </row>
    <row r="529" spans="1:12" x14ac:dyDescent="0.25">
      <c r="A529" t="s">
        <v>24</v>
      </c>
      <c r="B529" t="s">
        <v>24</v>
      </c>
      <c r="C529" t="s">
        <v>25</v>
      </c>
      <c r="D529" t="s">
        <v>20</v>
      </c>
      <c r="E529" s="2">
        <v>45992</v>
      </c>
      <c r="F529" s="3">
        <v>133354</v>
      </c>
      <c r="G529" s="3">
        <v>93675</v>
      </c>
      <c r="H529" s="3">
        <v>39679</v>
      </c>
      <c r="I529" s="3">
        <v>3210</v>
      </c>
      <c r="J529" s="4">
        <v>364.86</v>
      </c>
      <c r="K529" s="3">
        <v>100500</v>
      </c>
      <c r="L529" s="3">
        <v>32854</v>
      </c>
    </row>
    <row r="530" spans="1:12" x14ac:dyDescent="0.25">
      <c r="A530" t="s">
        <v>24</v>
      </c>
      <c r="B530" t="s">
        <v>24</v>
      </c>
      <c r="C530" t="s">
        <v>25</v>
      </c>
      <c r="D530" t="s">
        <v>21</v>
      </c>
      <c r="E530" s="2">
        <v>45292</v>
      </c>
      <c r="F530" s="3">
        <v>87689</v>
      </c>
      <c r="G530" s="3">
        <v>48712</v>
      </c>
      <c r="H530" s="3">
        <v>38977</v>
      </c>
      <c r="I530" s="3">
        <v>991</v>
      </c>
      <c r="J530" s="4">
        <v>155.6</v>
      </c>
      <c r="K530" s="3">
        <v>67126</v>
      </c>
      <c r="L530" s="3">
        <v>20563</v>
      </c>
    </row>
    <row r="531" spans="1:12" x14ac:dyDescent="0.25">
      <c r="A531" t="s">
        <v>24</v>
      </c>
      <c r="B531" t="s">
        <v>24</v>
      </c>
      <c r="C531" t="s">
        <v>25</v>
      </c>
      <c r="D531" t="s">
        <v>21</v>
      </c>
      <c r="E531" s="2">
        <v>45323</v>
      </c>
      <c r="F531" s="3">
        <v>85297</v>
      </c>
      <c r="G531" s="3">
        <v>48113</v>
      </c>
      <c r="H531" s="3">
        <v>37184</v>
      </c>
      <c r="I531" s="3">
        <v>1039</v>
      </c>
      <c r="J531" s="4">
        <v>146.01</v>
      </c>
      <c r="K531" s="3">
        <v>65755</v>
      </c>
      <c r="L531" s="3">
        <v>19542</v>
      </c>
    </row>
    <row r="532" spans="1:12" x14ac:dyDescent="0.25">
      <c r="A532" t="s">
        <v>24</v>
      </c>
      <c r="B532" t="s">
        <v>24</v>
      </c>
      <c r="C532" t="s">
        <v>25</v>
      </c>
      <c r="D532" t="s">
        <v>21</v>
      </c>
      <c r="E532" s="2">
        <v>45352</v>
      </c>
      <c r="F532" s="3">
        <v>83028</v>
      </c>
      <c r="G532" s="3">
        <v>45848</v>
      </c>
      <c r="H532" s="3">
        <v>37180</v>
      </c>
      <c r="I532" s="3">
        <v>981</v>
      </c>
      <c r="J532" s="4">
        <v>144.72</v>
      </c>
      <c r="K532" s="3">
        <v>63612</v>
      </c>
      <c r="L532" s="3">
        <v>19416</v>
      </c>
    </row>
    <row r="533" spans="1:12" x14ac:dyDescent="0.25">
      <c r="A533" t="s">
        <v>24</v>
      </c>
      <c r="B533" t="s">
        <v>24</v>
      </c>
      <c r="C533" t="s">
        <v>25</v>
      </c>
      <c r="D533" t="s">
        <v>21</v>
      </c>
      <c r="E533" s="2">
        <v>45383</v>
      </c>
      <c r="F533" s="3">
        <v>92326</v>
      </c>
      <c r="G533" s="3">
        <v>53193</v>
      </c>
      <c r="H533" s="3">
        <v>39133</v>
      </c>
      <c r="I533" s="3">
        <v>1143</v>
      </c>
      <c r="J533" s="4">
        <v>155.13999999999999</v>
      </c>
      <c r="K533" s="3">
        <v>71174</v>
      </c>
      <c r="L533" s="3">
        <v>21152</v>
      </c>
    </row>
    <row r="534" spans="1:12" x14ac:dyDescent="0.25">
      <c r="A534" t="s">
        <v>24</v>
      </c>
      <c r="B534" t="s">
        <v>24</v>
      </c>
      <c r="C534" t="s">
        <v>25</v>
      </c>
      <c r="D534" t="s">
        <v>21</v>
      </c>
      <c r="E534" s="2">
        <v>45413</v>
      </c>
      <c r="F534" s="3">
        <v>85907</v>
      </c>
      <c r="G534" s="3">
        <v>48078</v>
      </c>
      <c r="H534" s="3">
        <v>37829</v>
      </c>
      <c r="I534" s="3">
        <v>969</v>
      </c>
      <c r="J534" s="4">
        <v>152.04</v>
      </c>
      <c r="K534" s="3">
        <v>64788</v>
      </c>
      <c r="L534" s="3">
        <v>21119</v>
      </c>
    </row>
    <row r="535" spans="1:12" x14ac:dyDescent="0.25">
      <c r="A535" t="s">
        <v>24</v>
      </c>
      <c r="B535" t="s">
        <v>24</v>
      </c>
      <c r="C535" t="s">
        <v>25</v>
      </c>
      <c r="D535" t="s">
        <v>21</v>
      </c>
      <c r="E535" s="2">
        <v>45444</v>
      </c>
      <c r="F535" s="3">
        <v>90163</v>
      </c>
      <c r="G535" s="3">
        <v>51794</v>
      </c>
      <c r="H535" s="3">
        <v>38369</v>
      </c>
      <c r="I535" s="3">
        <v>1042</v>
      </c>
      <c r="J535" s="4">
        <v>149.63</v>
      </c>
      <c r="K535" s="3">
        <v>68662</v>
      </c>
      <c r="L535" s="3">
        <v>21501</v>
      </c>
    </row>
    <row r="536" spans="1:12" x14ac:dyDescent="0.25">
      <c r="A536" t="s">
        <v>24</v>
      </c>
      <c r="B536" t="s">
        <v>24</v>
      </c>
      <c r="C536" t="s">
        <v>25</v>
      </c>
      <c r="D536" t="s">
        <v>21</v>
      </c>
      <c r="E536" s="2">
        <v>45474</v>
      </c>
      <c r="F536" s="3">
        <v>99922</v>
      </c>
      <c r="G536" s="3">
        <v>57411</v>
      </c>
      <c r="H536" s="3">
        <v>42511</v>
      </c>
      <c r="I536" s="3">
        <v>1145</v>
      </c>
      <c r="J536" s="4">
        <v>149.91999999999999</v>
      </c>
      <c r="K536" s="3">
        <v>75957</v>
      </c>
      <c r="L536" s="3">
        <v>23965</v>
      </c>
    </row>
    <row r="537" spans="1:12" x14ac:dyDescent="0.25">
      <c r="A537" t="s">
        <v>24</v>
      </c>
      <c r="B537" t="s">
        <v>24</v>
      </c>
      <c r="C537" t="s">
        <v>25</v>
      </c>
      <c r="D537" t="s">
        <v>21</v>
      </c>
      <c r="E537" s="2">
        <v>45505</v>
      </c>
      <c r="F537" s="3">
        <v>101492</v>
      </c>
      <c r="G537" s="3">
        <v>56317</v>
      </c>
      <c r="H537" s="3">
        <v>45175</v>
      </c>
      <c r="I537" s="3">
        <v>1142</v>
      </c>
      <c r="J537" s="4">
        <v>157.01</v>
      </c>
      <c r="K537" s="3">
        <v>76727</v>
      </c>
      <c r="L537" s="3">
        <v>24765</v>
      </c>
    </row>
    <row r="538" spans="1:12" x14ac:dyDescent="0.25">
      <c r="A538" t="s">
        <v>24</v>
      </c>
      <c r="B538" t="s">
        <v>24</v>
      </c>
      <c r="C538" t="s">
        <v>25</v>
      </c>
      <c r="D538" t="s">
        <v>21</v>
      </c>
      <c r="E538" s="2">
        <v>45536</v>
      </c>
      <c r="F538" s="3">
        <v>117425</v>
      </c>
      <c r="G538" s="3">
        <v>66912</v>
      </c>
      <c r="H538" s="3">
        <v>50513</v>
      </c>
      <c r="I538" s="3">
        <v>1341</v>
      </c>
      <c r="J538" s="4">
        <v>146.68</v>
      </c>
      <c r="K538" s="3">
        <v>90755</v>
      </c>
      <c r="L538" s="3">
        <v>26670</v>
      </c>
    </row>
    <row r="539" spans="1:12" x14ac:dyDescent="0.25">
      <c r="A539" t="s">
        <v>24</v>
      </c>
      <c r="B539" t="s">
        <v>24</v>
      </c>
      <c r="C539" t="s">
        <v>25</v>
      </c>
      <c r="D539" t="s">
        <v>21</v>
      </c>
      <c r="E539" s="2">
        <v>45566</v>
      </c>
      <c r="F539" s="3">
        <v>110204</v>
      </c>
      <c r="G539" s="3">
        <v>62178</v>
      </c>
      <c r="H539" s="3">
        <v>48026</v>
      </c>
      <c r="I539" s="3">
        <v>1338</v>
      </c>
      <c r="J539" s="4">
        <v>143.91</v>
      </c>
      <c r="K539" s="3">
        <v>83698</v>
      </c>
      <c r="L539" s="3">
        <v>26506</v>
      </c>
    </row>
    <row r="540" spans="1:12" x14ac:dyDescent="0.25">
      <c r="A540" t="s">
        <v>24</v>
      </c>
      <c r="B540" t="s">
        <v>24</v>
      </c>
      <c r="C540" t="s">
        <v>25</v>
      </c>
      <c r="D540" t="s">
        <v>21</v>
      </c>
      <c r="E540" s="2">
        <v>45597</v>
      </c>
      <c r="F540" s="3">
        <v>113016</v>
      </c>
      <c r="G540" s="3">
        <v>64226</v>
      </c>
      <c r="H540" s="3">
        <v>48790</v>
      </c>
      <c r="I540" s="3">
        <v>1337</v>
      </c>
      <c r="J540" s="4">
        <v>144.71</v>
      </c>
      <c r="K540" s="3">
        <v>87261</v>
      </c>
      <c r="L540" s="3">
        <v>25755</v>
      </c>
    </row>
    <row r="541" spans="1:12" x14ac:dyDescent="0.25">
      <c r="A541" t="s">
        <v>24</v>
      </c>
      <c r="B541" t="s">
        <v>24</v>
      </c>
      <c r="C541" t="s">
        <v>25</v>
      </c>
      <c r="D541" t="s">
        <v>21</v>
      </c>
      <c r="E541" s="2">
        <v>45627</v>
      </c>
      <c r="F541" s="3">
        <v>109648</v>
      </c>
      <c r="G541" s="3">
        <v>60724</v>
      </c>
      <c r="H541" s="3">
        <v>48924</v>
      </c>
      <c r="I541" s="3">
        <v>1326</v>
      </c>
      <c r="J541" s="4">
        <v>144.41</v>
      </c>
      <c r="K541" s="3">
        <v>83934</v>
      </c>
      <c r="L541" s="3">
        <v>25714</v>
      </c>
    </row>
    <row r="542" spans="1:12" x14ac:dyDescent="0.25">
      <c r="A542" t="s">
        <v>24</v>
      </c>
      <c r="B542" t="s">
        <v>24</v>
      </c>
      <c r="C542" t="s">
        <v>25</v>
      </c>
      <c r="D542" t="s">
        <v>21</v>
      </c>
      <c r="E542" s="2">
        <v>45658</v>
      </c>
      <c r="F542" s="3">
        <v>110014</v>
      </c>
      <c r="G542" s="3">
        <v>60355</v>
      </c>
      <c r="H542" s="3">
        <v>49659</v>
      </c>
      <c r="I542" s="3">
        <v>1336</v>
      </c>
      <c r="J542" s="4">
        <v>148.69999999999999</v>
      </c>
      <c r="K542" s="3">
        <v>82899</v>
      </c>
      <c r="L542" s="3">
        <v>27115</v>
      </c>
    </row>
    <row r="543" spans="1:12" x14ac:dyDescent="0.25">
      <c r="A543" t="s">
        <v>24</v>
      </c>
      <c r="B543" t="s">
        <v>24</v>
      </c>
      <c r="C543" t="s">
        <v>25</v>
      </c>
      <c r="D543" t="s">
        <v>21</v>
      </c>
      <c r="E543" s="2">
        <v>45689</v>
      </c>
      <c r="F543" s="3">
        <v>103247</v>
      </c>
      <c r="G543" s="3">
        <v>58911</v>
      </c>
      <c r="H543" s="3">
        <v>44336</v>
      </c>
      <c r="I543" s="3">
        <v>1257</v>
      </c>
      <c r="J543" s="4">
        <v>148.77000000000001</v>
      </c>
      <c r="K543" s="3">
        <v>79098</v>
      </c>
      <c r="L543" s="3">
        <v>24149</v>
      </c>
    </row>
    <row r="544" spans="1:12" x14ac:dyDescent="0.25">
      <c r="A544" t="s">
        <v>24</v>
      </c>
      <c r="B544" t="s">
        <v>24</v>
      </c>
      <c r="C544" t="s">
        <v>25</v>
      </c>
      <c r="D544" t="s">
        <v>21</v>
      </c>
      <c r="E544" s="2">
        <v>45717</v>
      </c>
      <c r="F544" s="3">
        <v>101648</v>
      </c>
      <c r="G544" s="3">
        <v>57426</v>
      </c>
      <c r="H544" s="3">
        <v>44222</v>
      </c>
      <c r="I544" s="3">
        <v>1145</v>
      </c>
      <c r="J544" s="4">
        <v>153.44</v>
      </c>
      <c r="K544" s="3">
        <v>77178</v>
      </c>
      <c r="L544" s="3">
        <v>24470</v>
      </c>
    </row>
    <row r="545" spans="1:12" x14ac:dyDescent="0.25">
      <c r="A545" t="s">
        <v>24</v>
      </c>
      <c r="B545" t="s">
        <v>24</v>
      </c>
      <c r="C545" t="s">
        <v>25</v>
      </c>
      <c r="D545" t="s">
        <v>21</v>
      </c>
      <c r="E545" s="2">
        <v>45748</v>
      </c>
      <c r="F545" s="3">
        <v>99767</v>
      </c>
      <c r="G545" s="3">
        <v>55092</v>
      </c>
      <c r="H545" s="3">
        <v>44675</v>
      </c>
      <c r="I545" s="3">
        <v>1220</v>
      </c>
      <c r="J545" s="4">
        <v>153.93</v>
      </c>
      <c r="K545" s="3">
        <v>76952</v>
      </c>
      <c r="L545" s="3">
        <v>22815</v>
      </c>
    </row>
    <row r="546" spans="1:12" x14ac:dyDescent="0.25">
      <c r="A546" t="s">
        <v>24</v>
      </c>
      <c r="B546" t="s">
        <v>24</v>
      </c>
      <c r="C546" t="s">
        <v>25</v>
      </c>
      <c r="D546" t="s">
        <v>21</v>
      </c>
      <c r="E546" s="2">
        <v>45778</v>
      </c>
      <c r="F546" s="3">
        <v>108734</v>
      </c>
      <c r="G546" s="3">
        <v>61743</v>
      </c>
      <c r="H546" s="3">
        <v>46991</v>
      </c>
      <c r="I546" s="3">
        <v>1249</v>
      </c>
      <c r="J546" s="4">
        <v>151.62</v>
      </c>
      <c r="K546" s="3">
        <v>83575</v>
      </c>
      <c r="L546" s="3">
        <v>25159</v>
      </c>
    </row>
    <row r="547" spans="1:12" x14ac:dyDescent="0.25">
      <c r="A547" t="s">
        <v>24</v>
      </c>
      <c r="B547" t="s">
        <v>24</v>
      </c>
      <c r="C547" t="s">
        <v>25</v>
      </c>
      <c r="D547" t="s">
        <v>21</v>
      </c>
      <c r="E547" s="2">
        <v>45809</v>
      </c>
      <c r="F547" s="3">
        <v>106249</v>
      </c>
      <c r="G547" s="3">
        <v>60766</v>
      </c>
      <c r="H547" s="3">
        <v>45483</v>
      </c>
      <c r="I547" s="3">
        <v>1210</v>
      </c>
      <c r="J547" s="4">
        <v>147.35</v>
      </c>
      <c r="K547" s="3">
        <v>80206</v>
      </c>
      <c r="L547" s="3">
        <v>26043</v>
      </c>
    </row>
    <row r="548" spans="1:12" x14ac:dyDescent="0.25">
      <c r="A548" t="s">
        <v>24</v>
      </c>
      <c r="B548" t="s">
        <v>24</v>
      </c>
      <c r="C548" t="s">
        <v>25</v>
      </c>
      <c r="D548" t="s">
        <v>21</v>
      </c>
      <c r="E548" s="2">
        <v>45839</v>
      </c>
      <c r="F548" s="3">
        <v>123380</v>
      </c>
      <c r="G548" s="3">
        <v>68137</v>
      </c>
      <c r="H548" s="3">
        <v>55243</v>
      </c>
      <c r="I548" s="3">
        <v>1501</v>
      </c>
      <c r="J548" s="4">
        <v>155.38</v>
      </c>
      <c r="K548" s="3">
        <v>92908</v>
      </c>
      <c r="L548" s="3">
        <v>30472</v>
      </c>
    </row>
    <row r="549" spans="1:12" x14ac:dyDescent="0.25">
      <c r="A549" t="s">
        <v>24</v>
      </c>
      <c r="B549" t="s">
        <v>24</v>
      </c>
      <c r="C549" t="s">
        <v>25</v>
      </c>
      <c r="D549" t="s">
        <v>21</v>
      </c>
      <c r="E549" s="2">
        <v>45870</v>
      </c>
      <c r="F549" s="3">
        <v>123338</v>
      </c>
      <c r="G549" s="3">
        <v>68442</v>
      </c>
      <c r="H549" s="3">
        <v>54896</v>
      </c>
      <c r="I549" s="3">
        <v>1462</v>
      </c>
      <c r="J549" s="4">
        <v>153.72</v>
      </c>
      <c r="K549" s="3">
        <v>93122</v>
      </c>
      <c r="L549" s="3">
        <v>30216</v>
      </c>
    </row>
    <row r="550" spans="1:12" x14ac:dyDescent="0.25">
      <c r="A550" t="s">
        <v>24</v>
      </c>
      <c r="B550" t="s">
        <v>24</v>
      </c>
      <c r="C550" t="s">
        <v>25</v>
      </c>
      <c r="D550" t="s">
        <v>21</v>
      </c>
      <c r="E550" s="2">
        <v>45901</v>
      </c>
      <c r="F550" s="3">
        <v>125207</v>
      </c>
      <c r="G550" s="3">
        <v>71911</v>
      </c>
      <c r="H550" s="3">
        <v>53296</v>
      </c>
      <c r="I550" s="3">
        <v>1414</v>
      </c>
      <c r="J550" s="4">
        <v>146.57</v>
      </c>
      <c r="K550" s="3">
        <v>96659</v>
      </c>
      <c r="L550" s="3">
        <v>28548</v>
      </c>
    </row>
    <row r="551" spans="1:12" x14ac:dyDescent="0.25">
      <c r="A551" t="s">
        <v>24</v>
      </c>
      <c r="B551" t="s">
        <v>24</v>
      </c>
      <c r="C551" t="s">
        <v>25</v>
      </c>
      <c r="D551" t="s">
        <v>21</v>
      </c>
      <c r="E551" s="2">
        <v>45931</v>
      </c>
      <c r="F551" s="3">
        <v>141916</v>
      </c>
      <c r="G551" s="3">
        <v>77560</v>
      </c>
      <c r="H551" s="3">
        <v>64356</v>
      </c>
      <c r="I551" s="3">
        <v>1705</v>
      </c>
      <c r="J551" s="4">
        <v>155.55000000000001</v>
      </c>
      <c r="K551" s="3">
        <v>109439</v>
      </c>
      <c r="L551" s="3">
        <v>32477</v>
      </c>
    </row>
    <row r="552" spans="1:12" x14ac:dyDescent="0.25">
      <c r="A552" t="s">
        <v>24</v>
      </c>
      <c r="B552" t="s">
        <v>24</v>
      </c>
      <c r="C552" t="s">
        <v>25</v>
      </c>
      <c r="D552" t="s">
        <v>21</v>
      </c>
      <c r="E552" s="2">
        <v>45962</v>
      </c>
      <c r="F552" s="3">
        <v>131200</v>
      </c>
      <c r="G552" s="3">
        <v>73982</v>
      </c>
      <c r="H552" s="3">
        <v>57218</v>
      </c>
      <c r="I552" s="3">
        <v>1528</v>
      </c>
      <c r="J552" s="4">
        <v>145.1</v>
      </c>
      <c r="K552" s="3">
        <v>100950</v>
      </c>
      <c r="L552" s="3">
        <v>30250</v>
      </c>
    </row>
    <row r="553" spans="1:12" x14ac:dyDescent="0.25">
      <c r="A553" t="s">
        <v>24</v>
      </c>
      <c r="B553" t="s">
        <v>24</v>
      </c>
      <c r="C553" t="s">
        <v>25</v>
      </c>
      <c r="D553" t="s">
        <v>21</v>
      </c>
      <c r="E553" s="2">
        <v>45992</v>
      </c>
      <c r="F553" s="3">
        <v>131035</v>
      </c>
      <c r="G553" s="3">
        <v>73168</v>
      </c>
      <c r="H553" s="3">
        <v>57867</v>
      </c>
      <c r="I553" s="3">
        <v>1500</v>
      </c>
      <c r="J553" s="4">
        <v>152.4</v>
      </c>
      <c r="K553" s="3">
        <v>100199</v>
      </c>
      <c r="L553" s="3">
        <v>30836</v>
      </c>
    </row>
    <row r="554" spans="1:12" x14ac:dyDescent="0.25">
      <c r="A554" t="s">
        <v>24</v>
      </c>
      <c r="B554" t="s">
        <v>24</v>
      </c>
      <c r="C554" t="s">
        <v>25</v>
      </c>
      <c r="D554" t="s">
        <v>22</v>
      </c>
      <c r="E554" s="2">
        <v>45292</v>
      </c>
      <c r="F554" s="3">
        <v>63530</v>
      </c>
      <c r="G554" s="3">
        <v>33037</v>
      </c>
      <c r="H554" s="3">
        <v>30493</v>
      </c>
      <c r="I554" s="3">
        <v>6905</v>
      </c>
      <c r="J554" s="4">
        <v>73.94</v>
      </c>
      <c r="K554" s="3">
        <v>48556</v>
      </c>
      <c r="L554" s="3">
        <v>14974</v>
      </c>
    </row>
    <row r="555" spans="1:12" x14ac:dyDescent="0.25">
      <c r="A555" t="s">
        <v>24</v>
      </c>
      <c r="B555" t="s">
        <v>24</v>
      </c>
      <c r="C555" t="s">
        <v>25</v>
      </c>
      <c r="D555" t="s">
        <v>22</v>
      </c>
      <c r="E555" s="2">
        <v>45323</v>
      </c>
      <c r="F555" s="3">
        <v>60484</v>
      </c>
      <c r="G555" s="3">
        <v>31602</v>
      </c>
      <c r="H555" s="3">
        <v>28882</v>
      </c>
      <c r="I555" s="3">
        <v>6813</v>
      </c>
      <c r="J555" s="4">
        <v>72.81</v>
      </c>
      <c r="K555" s="3">
        <v>45389</v>
      </c>
      <c r="L555" s="3">
        <v>15095</v>
      </c>
    </row>
    <row r="556" spans="1:12" x14ac:dyDescent="0.25">
      <c r="A556" t="s">
        <v>24</v>
      </c>
      <c r="B556" t="s">
        <v>24</v>
      </c>
      <c r="C556" t="s">
        <v>25</v>
      </c>
      <c r="D556" t="s">
        <v>22</v>
      </c>
      <c r="E556" s="2">
        <v>45352</v>
      </c>
      <c r="F556" s="3">
        <v>56255</v>
      </c>
      <c r="G556" s="3">
        <v>30675</v>
      </c>
      <c r="H556" s="3">
        <v>25580</v>
      </c>
      <c r="I556" s="3">
        <v>6339</v>
      </c>
      <c r="J556" s="4">
        <v>68.25</v>
      </c>
      <c r="K556" s="3">
        <v>42511</v>
      </c>
      <c r="L556" s="3">
        <v>13744</v>
      </c>
    </row>
    <row r="557" spans="1:12" x14ac:dyDescent="0.25">
      <c r="A557" t="s">
        <v>24</v>
      </c>
      <c r="B557" t="s">
        <v>24</v>
      </c>
      <c r="C557" t="s">
        <v>25</v>
      </c>
      <c r="D557" t="s">
        <v>22</v>
      </c>
      <c r="E557" s="2">
        <v>45383</v>
      </c>
      <c r="F557" s="3">
        <v>54484</v>
      </c>
      <c r="G557" s="3">
        <v>29017</v>
      </c>
      <c r="H557" s="3">
        <v>25467</v>
      </c>
      <c r="I557" s="3">
        <v>5908</v>
      </c>
      <c r="J557" s="4">
        <v>71.62</v>
      </c>
      <c r="K557" s="3">
        <v>41381</v>
      </c>
      <c r="L557" s="3">
        <v>13103</v>
      </c>
    </row>
    <row r="558" spans="1:12" x14ac:dyDescent="0.25">
      <c r="A558" t="s">
        <v>24</v>
      </c>
      <c r="B558" t="s">
        <v>24</v>
      </c>
      <c r="C558" t="s">
        <v>25</v>
      </c>
      <c r="D558" t="s">
        <v>22</v>
      </c>
      <c r="E558" s="2">
        <v>45413</v>
      </c>
      <c r="F558" s="3">
        <v>58072</v>
      </c>
      <c r="G558" s="3">
        <v>30390</v>
      </c>
      <c r="H558" s="3">
        <v>27682</v>
      </c>
      <c r="I558" s="3">
        <v>6480</v>
      </c>
      <c r="J558" s="4">
        <v>71.22</v>
      </c>
      <c r="K558" s="3">
        <v>44353</v>
      </c>
      <c r="L558" s="3">
        <v>13719</v>
      </c>
    </row>
    <row r="559" spans="1:12" x14ac:dyDescent="0.25">
      <c r="A559" t="s">
        <v>24</v>
      </c>
      <c r="B559" t="s">
        <v>24</v>
      </c>
      <c r="C559" t="s">
        <v>25</v>
      </c>
      <c r="D559" t="s">
        <v>22</v>
      </c>
      <c r="E559" s="2">
        <v>45444</v>
      </c>
      <c r="F559" s="3">
        <v>57822</v>
      </c>
      <c r="G559" s="3">
        <v>31044</v>
      </c>
      <c r="H559" s="3">
        <v>26778</v>
      </c>
      <c r="I559" s="3">
        <v>6304</v>
      </c>
      <c r="J559" s="4">
        <v>72.290000000000006</v>
      </c>
      <c r="K559" s="3">
        <v>44455</v>
      </c>
      <c r="L559" s="3">
        <v>13367</v>
      </c>
    </row>
    <row r="560" spans="1:12" x14ac:dyDescent="0.25">
      <c r="A560" t="s">
        <v>24</v>
      </c>
      <c r="B560" t="s">
        <v>24</v>
      </c>
      <c r="C560" t="s">
        <v>25</v>
      </c>
      <c r="D560" t="s">
        <v>22</v>
      </c>
      <c r="E560" s="2">
        <v>45474</v>
      </c>
      <c r="F560" s="3">
        <v>66869</v>
      </c>
      <c r="G560" s="3">
        <v>36122</v>
      </c>
      <c r="H560" s="3">
        <v>30747</v>
      </c>
      <c r="I560" s="3">
        <v>7120</v>
      </c>
      <c r="J560" s="4">
        <v>67.34</v>
      </c>
      <c r="K560" s="3">
        <v>51503</v>
      </c>
      <c r="L560" s="3">
        <v>15366</v>
      </c>
    </row>
    <row r="561" spans="1:12" x14ac:dyDescent="0.25">
      <c r="A561" t="s">
        <v>24</v>
      </c>
      <c r="B561" t="s">
        <v>24</v>
      </c>
      <c r="C561" t="s">
        <v>25</v>
      </c>
      <c r="D561" t="s">
        <v>22</v>
      </c>
      <c r="E561" s="2">
        <v>45505</v>
      </c>
      <c r="F561" s="3">
        <v>68845</v>
      </c>
      <c r="G561" s="3">
        <v>36108</v>
      </c>
      <c r="H561" s="3">
        <v>32737</v>
      </c>
      <c r="I561" s="3">
        <v>7977</v>
      </c>
      <c r="J561" s="4">
        <v>69.540000000000006</v>
      </c>
      <c r="K561" s="3">
        <v>53045</v>
      </c>
      <c r="L561" s="3">
        <v>15800</v>
      </c>
    </row>
    <row r="562" spans="1:12" x14ac:dyDescent="0.25">
      <c r="A562" t="s">
        <v>24</v>
      </c>
      <c r="B562" t="s">
        <v>24</v>
      </c>
      <c r="C562" t="s">
        <v>25</v>
      </c>
      <c r="D562" t="s">
        <v>22</v>
      </c>
      <c r="E562" s="2">
        <v>45536</v>
      </c>
      <c r="F562" s="3">
        <v>73644</v>
      </c>
      <c r="G562" s="3">
        <v>39355</v>
      </c>
      <c r="H562" s="3">
        <v>34289</v>
      </c>
      <c r="I562" s="3">
        <v>8127</v>
      </c>
      <c r="J562" s="4">
        <v>70.66</v>
      </c>
      <c r="K562" s="3">
        <v>56109</v>
      </c>
      <c r="L562" s="3">
        <v>17535</v>
      </c>
    </row>
    <row r="563" spans="1:12" x14ac:dyDescent="0.25">
      <c r="A563" t="s">
        <v>24</v>
      </c>
      <c r="B563" t="s">
        <v>24</v>
      </c>
      <c r="C563" t="s">
        <v>25</v>
      </c>
      <c r="D563" t="s">
        <v>22</v>
      </c>
      <c r="E563" s="2">
        <v>45566</v>
      </c>
      <c r="F563" s="3">
        <v>74523</v>
      </c>
      <c r="G563" s="3">
        <v>39321</v>
      </c>
      <c r="H563" s="3">
        <v>35202</v>
      </c>
      <c r="I563" s="3">
        <v>8642</v>
      </c>
      <c r="J563" s="4">
        <v>73.52</v>
      </c>
      <c r="K563" s="3">
        <v>56425</v>
      </c>
      <c r="L563" s="3">
        <v>18098</v>
      </c>
    </row>
    <row r="564" spans="1:12" x14ac:dyDescent="0.25">
      <c r="A564" t="s">
        <v>24</v>
      </c>
      <c r="B564" t="s">
        <v>24</v>
      </c>
      <c r="C564" t="s">
        <v>25</v>
      </c>
      <c r="D564" t="s">
        <v>22</v>
      </c>
      <c r="E564" s="2">
        <v>45597</v>
      </c>
      <c r="F564" s="3">
        <v>73778</v>
      </c>
      <c r="G564" s="3">
        <v>38911</v>
      </c>
      <c r="H564" s="3">
        <v>34867</v>
      </c>
      <c r="I564" s="3">
        <v>8113</v>
      </c>
      <c r="J564" s="4">
        <v>70.760000000000005</v>
      </c>
      <c r="K564" s="3">
        <v>56870</v>
      </c>
      <c r="L564" s="3">
        <v>16908</v>
      </c>
    </row>
    <row r="565" spans="1:12" x14ac:dyDescent="0.25">
      <c r="A565" t="s">
        <v>24</v>
      </c>
      <c r="B565" t="s">
        <v>24</v>
      </c>
      <c r="C565" t="s">
        <v>25</v>
      </c>
      <c r="D565" t="s">
        <v>22</v>
      </c>
      <c r="E565" s="2">
        <v>45627</v>
      </c>
      <c r="F565" s="3">
        <v>72806</v>
      </c>
      <c r="G565" s="3">
        <v>38178</v>
      </c>
      <c r="H565" s="3">
        <v>34628</v>
      </c>
      <c r="I565" s="3">
        <v>7943</v>
      </c>
      <c r="J565" s="4">
        <v>73.23</v>
      </c>
      <c r="K565" s="3">
        <v>56260</v>
      </c>
      <c r="L565" s="3">
        <v>16546</v>
      </c>
    </row>
    <row r="566" spans="1:12" x14ac:dyDescent="0.25">
      <c r="A566" t="s">
        <v>24</v>
      </c>
      <c r="B566" t="s">
        <v>24</v>
      </c>
      <c r="C566" t="s">
        <v>25</v>
      </c>
      <c r="D566" t="s">
        <v>22</v>
      </c>
      <c r="E566" s="2">
        <v>45658</v>
      </c>
      <c r="F566" s="3">
        <v>64799</v>
      </c>
      <c r="G566" s="3">
        <v>33767</v>
      </c>
      <c r="H566" s="3">
        <v>31032</v>
      </c>
      <c r="I566" s="3">
        <v>7116</v>
      </c>
      <c r="J566" s="4">
        <v>72.81</v>
      </c>
      <c r="K566" s="3">
        <v>49270</v>
      </c>
      <c r="L566" s="3">
        <v>15529</v>
      </c>
    </row>
    <row r="567" spans="1:12" x14ac:dyDescent="0.25">
      <c r="A567" t="s">
        <v>24</v>
      </c>
      <c r="B567" t="s">
        <v>24</v>
      </c>
      <c r="C567" t="s">
        <v>25</v>
      </c>
      <c r="D567" t="s">
        <v>22</v>
      </c>
      <c r="E567" s="2">
        <v>45689</v>
      </c>
      <c r="F567" s="3">
        <v>64039</v>
      </c>
      <c r="G567" s="3">
        <v>33737</v>
      </c>
      <c r="H567" s="3">
        <v>30302</v>
      </c>
      <c r="I567" s="3">
        <v>7081</v>
      </c>
      <c r="J567" s="4">
        <v>67.78</v>
      </c>
      <c r="K567" s="3">
        <v>48021</v>
      </c>
      <c r="L567" s="3">
        <v>16018</v>
      </c>
    </row>
    <row r="568" spans="1:12" x14ac:dyDescent="0.25">
      <c r="A568" t="s">
        <v>24</v>
      </c>
      <c r="B568" t="s">
        <v>24</v>
      </c>
      <c r="C568" t="s">
        <v>25</v>
      </c>
      <c r="D568" t="s">
        <v>22</v>
      </c>
      <c r="E568" s="2">
        <v>45717</v>
      </c>
      <c r="F568" s="3">
        <v>64140</v>
      </c>
      <c r="G568" s="3">
        <v>34819</v>
      </c>
      <c r="H568" s="3">
        <v>29321</v>
      </c>
      <c r="I568" s="3">
        <v>7394</v>
      </c>
      <c r="J568" s="4">
        <v>69.56</v>
      </c>
      <c r="K568" s="3">
        <v>48578</v>
      </c>
      <c r="L568" s="3">
        <v>15562</v>
      </c>
    </row>
    <row r="569" spans="1:12" x14ac:dyDescent="0.25">
      <c r="A569" t="s">
        <v>24</v>
      </c>
      <c r="B569" t="s">
        <v>24</v>
      </c>
      <c r="C569" t="s">
        <v>25</v>
      </c>
      <c r="D569" t="s">
        <v>22</v>
      </c>
      <c r="E569" s="2">
        <v>45748</v>
      </c>
      <c r="F569" s="3">
        <v>62028</v>
      </c>
      <c r="G569" s="3">
        <v>32912</v>
      </c>
      <c r="H569" s="3">
        <v>29116</v>
      </c>
      <c r="I569" s="3">
        <v>6885</v>
      </c>
      <c r="J569" s="4">
        <v>71.349999999999994</v>
      </c>
      <c r="K569" s="3">
        <v>46516</v>
      </c>
      <c r="L569" s="3">
        <v>15512</v>
      </c>
    </row>
    <row r="570" spans="1:12" x14ac:dyDescent="0.25">
      <c r="A570" t="s">
        <v>24</v>
      </c>
      <c r="B570" t="s">
        <v>24</v>
      </c>
      <c r="C570" t="s">
        <v>25</v>
      </c>
      <c r="D570" t="s">
        <v>22</v>
      </c>
      <c r="E570" s="2">
        <v>45778</v>
      </c>
      <c r="F570" s="3">
        <v>67178</v>
      </c>
      <c r="G570" s="3">
        <v>35471</v>
      </c>
      <c r="H570" s="3">
        <v>31707</v>
      </c>
      <c r="I570" s="3">
        <v>7359</v>
      </c>
      <c r="J570" s="4">
        <v>71.25</v>
      </c>
      <c r="K570" s="3">
        <v>50947</v>
      </c>
      <c r="L570" s="3">
        <v>16231</v>
      </c>
    </row>
    <row r="571" spans="1:12" x14ac:dyDescent="0.25">
      <c r="A571" t="s">
        <v>24</v>
      </c>
      <c r="B571" t="s">
        <v>24</v>
      </c>
      <c r="C571" t="s">
        <v>25</v>
      </c>
      <c r="D571" t="s">
        <v>22</v>
      </c>
      <c r="E571" s="2">
        <v>45809</v>
      </c>
      <c r="F571" s="3">
        <v>70272</v>
      </c>
      <c r="G571" s="3">
        <v>36430</v>
      </c>
      <c r="H571" s="3">
        <v>33842</v>
      </c>
      <c r="I571" s="3">
        <v>7441</v>
      </c>
      <c r="J571" s="4">
        <v>70.98</v>
      </c>
      <c r="K571" s="3">
        <v>54268</v>
      </c>
      <c r="L571" s="3">
        <v>16004</v>
      </c>
    </row>
    <row r="572" spans="1:12" x14ac:dyDescent="0.25">
      <c r="A572" t="s">
        <v>24</v>
      </c>
      <c r="B572" t="s">
        <v>24</v>
      </c>
      <c r="C572" t="s">
        <v>25</v>
      </c>
      <c r="D572" t="s">
        <v>22</v>
      </c>
      <c r="E572" s="2">
        <v>45839</v>
      </c>
      <c r="F572" s="3">
        <v>71256</v>
      </c>
      <c r="G572" s="3">
        <v>38202</v>
      </c>
      <c r="H572" s="3">
        <v>33054</v>
      </c>
      <c r="I572" s="3">
        <v>7618</v>
      </c>
      <c r="J572" s="4">
        <v>69.38</v>
      </c>
      <c r="K572" s="3">
        <v>54317</v>
      </c>
      <c r="L572" s="3">
        <v>16939</v>
      </c>
    </row>
    <row r="573" spans="1:12" x14ac:dyDescent="0.25">
      <c r="A573" t="s">
        <v>24</v>
      </c>
      <c r="B573" t="s">
        <v>24</v>
      </c>
      <c r="C573" t="s">
        <v>25</v>
      </c>
      <c r="D573" t="s">
        <v>22</v>
      </c>
      <c r="E573" s="2">
        <v>45870</v>
      </c>
      <c r="F573" s="3">
        <v>76419</v>
      </c>
      <c r="G573" s="3">
        <v>41553</v>
      </c>
      <c r="H573" s="3">
        <v>34866</v>
      </c>
      <c r="I573" s="3">
        <v>8656</v>
      </c>
      <c r="J573" s="4">
        <v>74.31</v>
      </c>
      <c r="K573" s="3">
        <v>57495</v>
      </c>
      <c r="L573" s="3">
        <v>18924</v>
      </c>
    </row>
    <row r="574" spans="1:12" x14ac:dyDescent="0.25">
      <c r="A574" t="s">
        <v>24</v>
      </c>
      <c r="B574" t="s">
        <v>24</v>
      </c>
      <c r="C574" t="s">
        <v>25</v>
      </c>
      <c r="D574" t="s">
        <v>22</v>
      </c>
      <c r="E574" s="2">
        <v>45901</v>
      </c>
      <c r="F574" s="3">
        <v>82022</v>
      </c>
      <c r="G574" s="3">
        <v>44759</v>
      </c>
      <c r="H574" s="3">
        <v>37263</v>
      </c>
      <c r="I574" s="3">
        <v>8882</v>
      </c>
      <c r="J574" s="4">
        <v>73.31</v>
      </c>
      <c r="K574" s="3">
        <v>62612</v>
      </c>
      <c r="L574" s="3">
        <v>19410</v>
      </c>
    </row>
    <row r="575" spans="1:12" x14ac:dyDescent="0.25">
      <c r="A575" t="s">
        <v>24</v>
      </c>
      <c r="B575" t="s">
        <v>24</v>
      </c>
      <c r="C575" t="s">
        <v>25</v>
      </c>
      <c r="D575" t="s">
        <v>22</v>
      </c>
      <c r="E575" s="2">
        <v>45931</v>
      </c>
      <c r="F575" s="3">
        <v>78045</v>
      </c>
      <c r="G575" s="3">
        <v>42092</v>
      </c>
      <c r="H575" s="3">
        <v>35953</v>
      </c>
      <c r="I575" s="3">
        <v>9087</v>
      </c>
      <c r="J575" s="4">
        <v>72.25</v>
      </c>
      <c r="K575" s="3">
        <v>60013</v>
      </c>
      <c r="L575" s="3">
        <v>18032</v>
      </c>
    </row>
    <row r="576" spans="1:12" x14ac:dyDescent="0.25">
      <c r="A576" t="s">
        <v>24</v>
      </c>
      <c r="B576" t="s">
        <v>24</v>
      </c>
      <c r="C576" t="s">
        <v>25</v>
      </c>
      <c r="D576" t="s">
        <v>22</v>
      </c>
      <c r="E576" s="2">
        <v>45962</v>
      </c>
      <c r="F576" s="3">
        <v>76423</v>
      </c>
      <c r="G576" s="3">
        <v>41013</v>
      </c>
      <c r="H576" s="3">
        <v>35410</v>
      </c>
      <c r="I576" s="3">
        <v>8169</v>
      </c>
      <c r="J576" s="4">
        <v>67.78</v>
      </c>
      <c r="K576" s="3">
        <v>58674</v>
      </c>
      <c r="L576" s="3">
        <v>17749</v>
      </c>
    </row>
    <row r="577" spans="1:12" x14ac:dyDescent="0.25">
      <c r="A577" t="s">
        <v>24</v>
      </c>
      <c r="B577" t="s">
        <v>24</v>
      </c>
      <c r="C577" t="s">
        <v>25</v>
      </c>
      <c r="D577" t="s">
        <v>22</v>
      </c>
      <c r="E577" s="2">
        <v>45992</v>
      </c>
      <c r="F577" s="3">
        <v>73362</v>
      </c>
      <c r="G577" s="3">
        <v>39365</v>
      </c>
      <c r="H577" s="3">
        <v>33997</v>
      </c>
      <c r="I577" s="3">
        <v>8417</v>
      </c>
      <c r="J577" s="4">
        <v>71.83</v>
      </c>
      <c r="K577" s="3">
        <v>55841</v>
      </c>
      <c r="L577" s="3">
        <v>17521</v>
      </c>
    </row>
    <row r="578" spans="1:12" x14ac:dyDescent="0.25">
      <c r="A578" t="s">
        <v>26</v>
      </c>
      <c r="B578" t="s">
        <v>26</v>
      </c>
      <c r="C578" t="s">
        <v>25</v>
      </c>
      <c r="D578" t="s">
        <v>15</v>
      </c>
      <c r="E578" s="2">
        <v>45292</v>
      </c>
      <c r="F578" s="3">
        <v>329362</v>
      </c>
      <c r="G578" s="3">
        <v>264352</v>
      </c>
      <c r="H578" s="3">
        <v>65010</v>
      </c>
      <c r="I578" s="3">
        <v>9813</v>
      </c>
      <c r="J578" s="4">
        <v>460.89</v>
      </c>
      <c r="K578" s="3">
        <v>177420</v>
      </c>
      <c r="L578" s="3">
        <v>151942</v>
      </c>
    </row>
    <row r="579" spans="1:12" x14ac:dyDescent="0.25">
      <c r="A579" t="s">
        <v>26</v>
      </c>
      <c r="B579" t="s">
        <v>26</v>
      </c>
      <c r="C579" t="s">
        <v>25</v>
      </c>
      <c r="D579" t="s">
        <v>15</v>
      </c>
      <c r="E579" s="2">
        <v>45323</v>
      </c>
      <c r="F579" s="3">
        <v>287907</v>
      </c>
      <c r="G579" s="3">
        <v>232406</v>
      </c>
      <c r="H579" s="3">
        <v>55501</v>
      </c>
      <c r="I579" s="3">
        <v>8092</v>
      </c>
      <c r="J579" s="4">
        <v>451.45</v>
      </c>
      <c r="K579" s="3">
        <v>146795</v>
      </c>
      <c r="L579" s="3">
        <v>141112</v>
      </c>
    </row>
    <row r="580" spans="1:12" x14ac:dyDescent="0.25">
      <c r="A580" t="s">
        <v>26</v>
      </c>
      <c r="B580" t="s">
        <v>26</v>
      </c>
      <c r="C580" t="s">
        <v>25</v>
      </c>
      <c r="D580" t="s">
        <v>15</v>
      </c>
      <c r="E580" s="2">
        <v>45352</v>
      </c>
      <c r="F580" s="3">
        <v>291427</v>
      </c>
      <c r="G580" s="3">
        <v>230014</v>
      </c>
      <c r="H580" s="3">
        <v>61413</v>
      </c>
      <c r="I580" s="3">
        <v>8170</v>
      </c>
      <c r="J580" s="4">
        <v>432.06</v>
      </c>
      <c r="K580" s="3">
        <v>153299</v>
      </c>
      <c r="L580" s="3">
        <v>138128</v>
      </c>
    </row>
    <row r="581" spans="1:12" x14ac:dyDescent="0.25">
      <c r="A581" t="s">
        <v>26</v>
      </c>
      <c r="B581" t="s">
        <v>26</v>
      </c>
      <c r="C581" t="s">
        <v>25</v>
      </c>
      <c r="D581" t="s">
        <v>15</v>
      </c>
      <c r="E581" s="2">
        <v>45383</v>
      </c>
      <c r="F581" s="3">
        <v>280883</v>
      </c>
      <c r="G581" s="3">
        <v>221999</v>
      </c>
      <c r="H581" s="3">
        <v>58884</v>
      </c>
      <c r="I581" s="3">
        <v>7983</v>
      </c>
      <c r="J581" s="4">
        <v>467.38</v>
      </c>
      <c r="K581" s="3">
        <v>146206</v>
      </c>
      <c r="L581" s="3">
        <v>134677</v>
      </c>
    </row>
    <row r="582" spans="1:12" x14ac:dyDescent="0.25">
      <c r="A582" t="s">
        <v>26</v>
      </c>
      <c r="B582" t="s">
        <v>26</v>
      </c>
      <c r="C582" t="s">
        <v>25</v>
      </c>
      <c r="D582" t="s">
        <v>15</v>
      </c>
      <c r="E582" s="2">
        <v>45413</v>
      </c>
      <c r="F582" s="3">
        <v>283574</v>
      </c>
      <c r="G582" s="3">
        <v>225462</v>
      </c>
      <c r="H582" s="3">
        <v>58112</v>
      </c>
      <c r="I582" s="3">
        <v>8104</v>
      </c>
      <c r="J582" s="4">
        <v>442.05</v>
      </c>
      <c r="K582" s="3">
        <v>156163</v>
      </c>
      <c r="L582" s="3">
        <v>127411</v>
      </c>
    </row>
    <row r="583" spans="1:12" x14ac:dyDescent="0.25">
      <c r="A583" t="s">
        <v>26</v>
      </c>
      <c r="B583" t="s">
        <v>26</v>
      </c>
      <c r="C583" t="s">
        <v>25</v>
      </c>
      <c r="D583" t="s">
        <v>15</v>
      </c>
      <c r="E583" s="2">
        <v>45444</v>
      </c>
      <c r="F583" s="3">
        <v>328712</v>
      </c>
      <c r="G583" s="3">
        <v>263508</v>
      </c>
      <c r="H583" s="3">
        <v>65204</v>
      </c>
      <c r="I583" s="3">
        <v>10007</v>
      </c>
      <c r="J583" s="4">
        <v>465.45</v>
      </c>
      <c r="K583" s="3">
        <v>167630</v>
      </c>
      <c r="L583" s="3">
        <v>161082</v>
      </c>
    </row>
    <row r="584" spans="1:12" x14ac:dyDescent="0.25">
      <c r="A584" t="s">
        <v>26</v>
      </c>
      <c r="B584" t="s">
        <v>26</v>
      </c>
      <c r="C584" t="s">
        <v>25</v>
      </c>
      <c r="D584" t="s">
        <v>15</v>
      </c>
      <c r="E584" s="2">
        <v>45474</v>
      </c>
      <c r="F584" s="3">
        <v>314401</v>
      </c>
      <c r="G584" s="3">
        <v>255239</v>
      </c>
      <c r="H584" s="3">
        <v>59162</v>
      </c>
      <c r="I584" s="3">
        <v>9081</v>
      </c>
      <c r="J584" s="4">
        <v>429.82</v>
      </c>
      <c r="K584" s="3">
        <v>161054</v>
      </c>
      <c r="L584" s="3">
        <v>153347</v>
      </c>
    </row>
    <row r="585" spans="1:12" x14ac:dyDescent="0.25">
      <c r="A585" t="s">
        <v>26</v>
      </c>
      <c r="B585" t="s">
        <v>26</v>
      </c>
      <c r="C585" t="s">
        <v>25</v>
      </c>
      <c r="D585" t="s">
        <v>15</v>
      </c>
      <c r="E585" s="2">
        <v>45505</v>
      </c>
      <c r="F585" s="3">
        <v>351613</v>
      </c>
      <c r="G585" s="3">
        <v>285496</v>
      </c>
      <c r="H585" s="3">
        <v>66117</v>
      </c>
      <c r="I585" s="3">
        <v>10111</v>
      </c>
      <c r="J585" s="4">
        <v>465.96</v>
      </c>
      <c r="K585" s="3">
        <v>179841</v>
      </c>
      <c r="L585" s="3">
        <v>171772</v>
      </c>
    </row>
    <row r="586" spans="1:12" x14ac:dyDescent="0.25">
      <c r="A586" t="s">
        <v>26</v>
      </c>
      <c r="B586" t="s">
        <v>26</v>
      </c>
      <c r="C586" t="s">
        <v>25</v>
      </c>
      <c r="D586" t="s">
        <v>15</v>
      </c>
      <c r="E586" s="2">
        <v>45536</v>
      </c>
      <c r="F586" s="3">
        <v>358033</v>
      </c>
      <c r="G586" s="3">
        <v>283640</v>
      </c>
      <c r="H586" s="3">
        <v>74393</v>
      </c>
      <c r="I586" s="3">
        <v>10358</v>
      </c>
      <c r="J586" s="4">
        <v>435.58</v>
      </c>
      <c r="K586" s="3">
        <v>196976</v>
      </c>
      <c r="L586" s="3">
        <v>161057</v>
      </c>
    </row>
    <row r="587" spans="1:12" x14ac:dyDescent="0.25">
      <c r="A587" t="s">
        <v>26</v>
      </c>
      <c r="B587" t="s">
        <v>26</v>
      </c>
      <c r="C587" t="s">
        <v>25</v>
      </c>
      <c r="D587" t="s">
        <v>15</v>
      </c>
      <c r="E587" s="2">
        <v>45566</v>
      </c>
      <c r="F587" s="3">
        <v>391231</v>
      </c>
      <c r="G587" s="3">
        <v>315693</v>
      </c>
      <c r="H587" s="3">
        <v>75538</v>
      </c>
      <c r="I587" s="3">
        <v>11854</v>
      </c>
      <c r="J587" s="4">
        <v>425.78</v>
      </c>
      <c r="K587" s="3">
        <v>214087</v>
      </c>
      <c r="L587" s="3">
        <v>177144</v>
      </c>
    </row>
    <row r="588" spans="1:12" x14ac:dyDescent="0.25">
      <c r="A588" t="s">
        <v>26</v>
      </c>
      <c r="B588" t="s">
        <v>26</v>
      </c>
      <c r="C588" t="s">
        <v>25</v>
      </c>
      <c r="D588" t="s">
        <v>15</v>
      </c>
      <c r="E588" s="2">
        <v>45597</v>
      </c>
      <c r="F588" s="3">
        <v>383696</v>
      </c>
      <c r="G588" s="3">
        <v>303054</v>
      </c>
      <c r="H588" s="3">
        <v>80642</v>
      </c>
      <c r="I588" s="3">
        <v>11058</v>
      </c>
      <c r="J588" s="4">
        <v>437.43</v>
      </c>
      <c r="K588" s="3">
        <v>210145</v>
      </c>
      <c r="L588" s="3">
        <v>173551</v>
      </c>
    </row>
    <row r="589" spans="1:12" x14ac:dyDescent="0.25">
      <c r="A589" t="s">
        <v>26</v>
      </c>
      <c r="B589" t="s">
        <v>26</v>
      </c>
      <c r="C589" t="s">
        <v>25</v>
      </c>
      <c r="D589" t="s">
        <v>15</v>
      </c>
      <c r="E589" s="2">
        <v>45627</v>
      </c>
      <c r="F589" s="3">
        <v>361197</v>
      </c>
      <c r="G589" s="3">
        <v>288116</v>
      </c>
      <c r="H589" s="3">
        <v>73081</v>
      </c>
      <c r="I589" s="3">
        <v>10457</v>
      </c>
      <c r="J589" s="4">
        <v>437.79</v>
      </c>
      <c r="K589" s="3">
        <v>198056</v>
      </c>
      <c r="L589" s="3">
        <v>163141</v>
      </c>
    </row>
    <row r="590" spans="1:12" x14ac:dyDescent="0.25">
      <c r="A590" t="s">
        <v>26</v>
      </c>
      <c r="B590" t="s">
        <v>26</v>
      </c>
      <c r="C590" t="s">
        <v>25</v>
      </c>
      <c r="D590" t="s">
        <v>15</v>
      </c>
      <c r="E590" s="2">
        <v>45658</v>
      </c>
      <c r="F590" s="3">
        <v>328707</v>
      </c>
      <c r="G590" s="3">
        <v>261873</v>
      </c>
      <c r="H590" s="3">
        <v>66834</v>
      </c>
      <c r="I590" s="3">
        <v>10162</v>
      </c>
      <c r="J590" s="4">
        <v>426.33</v>
      </c>
      <c r="K590" s="3">
        <v>167302</v>
      </c>
      <c r="L590" s="3">
        <v>161405</v>
      </c>
    </row>
    <row r="591" spans="1:12" x14ac:dyDescent="0.25">
      <c r="A591" t="s">
        <v>26</v>
      </c>
      <c r="B591" t="s">
        <v>26</v>
      </c>
      <c r="C591" t="s">
        <v>25</v>
      </c>
      <c r="D591" t="s">
        <v>15</v>
      </c>
      <c r="E591" s="2">
        <v>45689</v>
      </c>
      <c r="F591" s="3">
        <v>321944</v>
      </c>
      <c r="G591" s="3">
        <v>253902</v>
      </c>
      <c r="H591" s="3">
        <v>68042</v>
      </c>
      <c r="I591" s="3">
        <v>9125</v>
      </c>
      <c r="J591" s="4">
        <v>426.28</v>
      </c>
      <c r="K591" s="3">
        <v>164586</v>
      </c>
      <c r="L591" s="3">
        <v>157358</v>
      </c>
    </row>
    <row r="592" spans="1:12" x14ac:dyDescent="0.25">
      <c r="A592" t="s">
        <v>26</v>
      </c>
      <c r="B592" t="s">
        <v>26</v>
      </c>
      <c r="C592" t="s">
        <v>25</v>
      </c>
      <c r="D592" t="s">
        <v>15</v>
      </c>
      <c r="E592" s="2">
        <v>45717</v>
      </c>
      <c r="F592" s="3">
        <v>310698</v>
      </c>
      <c r="G592" s="3">
        <v>250346</v>
      </c>
      <c r="H592" s="3">
        <v>60352</v>
      </c>
      <c r="I592" s="3">
        <v>8719</v>
      </c>
      <c r="J592" s="4">
        <v>435.81</v>
      </c>
      <c r="K592" s="3">
        <v>170948</v>
      </c>
      <c r="L592" s="3">
        <v>139750</v>
      </c>
    </row>
    <row r="593" spans="1:12" x14ac:dyDescent="0.25">
      <c r="A593" t="s">
        <v>26</v>
      </c>
      <c r="B593" t="s">
        <v>26</v>
      </c>
      <c r="C593" t="s">
        <v>25</v>
      </c>
      <c r="D593" t="s">
        <v>15</v>
      </c>
      <c r="E593" s="2">
        <v>45748</v>
      </c>
      <c r="F593" s="3">
        <v>314916</v>
      </c>
      <c r="G593" s="3">
        <v>249634</v>
      </c>
      <c r="H593" s="3">
        <v>65282</v>
      </c>
      <c r="I593" s="3">
        <v>9373</v>
      </c>
      <c r="J593" s="4">
        <v>438.24</v>
      </c>
      <c r="K593" s="3">
        <v>164379</v>
      </c>
      <c r="L593" s="3">
        <v>150537</v>
      </c>
    </row>
    <row r="594" spans="1:12" x14ac:dyDescent="0.25">
      <c r="A594" t="s">
        <v>26</v>
      </c>
      <c r="B594" t="s">
        <v>26</v>
      </c>
      <c r="C594" t="s">
        <v>25</v>
      </c>
      <c r="D594" t="s">
        <v>15</v>
      </c>
      <c r="E594" s="2">
        <v>45778</v>
      </c>
      <c r="F594" s="3">
        <v>338612</v>
      </c>
      <c r="G594" s="3">
        <v>266827</v>
      </c>
      <c r="H594" s="3">
        <v>71785</v>
      </c>
      <c r="I594" s="3">
        <v>10247</v>
      </c>
      <c r="J594" s="4">
        <v>464.98</v>
      </c>
      <c r="K594" s="3">
        <v>183824</v>
      </c>
      <c r="L594" s="3">
        <v>154788</v>
      </c>
    </row>
    <row r="595" spans="1:12" x14ac:dyDescent="0.25">
      <c r="A595" t="s">
        <v>26</v>
      </c>
      <c r="B595" t="s">
        <v>26</v>
      </c>
      <c r="C595" t="s">
        <v>25</v>
      </c>
      <c r="D595" t="s">
        <v>15</v>
      </c>
      <c r="E595" s="2">
        <v>45809</v>
      </c>
      <c r="F595" s="3">
        <v>329122</v>
      </c>
      <c r="G595" s="3">
        <v>263959</v>
      </c>
      <c r="H595" s="3">
        <v>65163</v>
      </c>
      <c r="I595" s="3">
        <v>10023</v>
      </c>
      <c r="J595" s="4">
        <v>457.67</v>
      </c>
      <c r="K595" s="3">
        <v>179355</v>
      </c>
      <c r="L595" s="3">
        <v>149767</v>
      </c>
    </row>
    <row r="596" spans="1:12" x14ac:dyDescent="0.25">
      <c r="A596" t="s">
        <v>26</v>
      </c>
      <c r="B596" t="s">
        <v>26</v>
      </c>
      <c r="C596" t="s">
        <v>25</v>
      </c>
      <c r="D596" t="s">
        <v>15</v>
      </c>
      <c r="E596" s="2">
        <v>45839</v>
      </c>
      <c r="F596" s="3">
        <v>369909</v>
      </c>
      <c r="G596" s="3">
        <v>298876</v>
      </c>
      <c r="H596" s="3">
        <v>71033</v>
      </c>
      <c r="I596" s="3">
        <v>11434</v>
      </c>
      <c r="J596" s="4">
        <v>436.03</v>
      </c>
      <c r="K596" s="3">
        <v>198415</v>
      </c>
      <c r="L596" s="3">
        <v>171494</v>
      </c>
    </row>
    <row r="597" spans="1:12" x14ac:dyDescent="0.25">
      <c r="A597" t="s">
        <v>26</v>
      </c>
      <c r="B597" t="s">
        <v>26</v>
      </c>
      <c r="C597" t="s">
        <v>25</v>
      </c>
      <c r="D597" t="s">
        <v>15</v>
      </c>
      <c r="E597" s="2">
        <v>45870</v>
      </c>
      <c r="F597" s="3">
        <v>402103</v>
      </c>
      <c r="G597" s="3">
        <v>318702</v>
      </c>
      <c r="H597" s="3">
        <v>83401</v>
      </c>
      <c r="I597" s="3">
        <v>11757</v>
      </c>
      <c r="J597" s="4">
        <v>451.65</v>
      </c>
      <c r="K597" s="3">
        <v>210158</v>
      </c>
      <c r="L597" s="3">
        <v>191945</v>
      </c>
    </row>
    <row r="598" spans="1:12" x14ac:dyDescent="0.25">
      <c r="A598" t="s">
        <v>26</v>
      </c>
      <c r="B598" t="s">
        <v>26</v>
      </c>
      <c r="C598" t="s">
        <v>25</v>
      </c>
      <c r="D598" t="s">
        <v>15</v>
      </c>
      <c r="E598" s="2">
        <v>45901</v>
      </c>
      <c r="F598" s="3">
        <v>427185</v>
      </c>
      <c r="G598" s="3">
        <v>343519</v>
      </c>
      <c r="H598" s="3">
        <v>83666</v>
      </c>
      <c r="I598" s="3">
        <v>12130</v>
      </c>
      <c r="J598" s="4">
        <v>436.65</v>
      </c>
      <c r="K598" s="3">
        <v>226620</v>
      </c>
      <c r="L598" s="3">
        <v>200565</v>
      </c>
    </row>
    <row r="599" spans="1:12" x14ac:dyDescent="0.25">
      <c r="A599" t="s">
        <v>26</v>
      </c>
      <c r="B599" t="s">
        <v>26</v>
      </c>
      <c r="C599" t="s">
        <v>25</v>
      </c>
      <c r="D599" t="s">
        <v>15</v>
      </c>
      <c r="E599" s="2">
        <v>45931</v>
      </c>
      <c r="F599" s="3">
        <v>429130</v>
      </c>
      <c r="G599" s="3">
        <v>346979</v>
      </c>
      <c r="H599" s="3">
        <v>82151</v>
      </c>
      <c r="I599" s="3">
        <v>12365</v>
      </c>
      <c r="J599" s="4">
        <v>463.89</v>
      </c>
      <c r="K599" s="3">
        <v>236175</v>
      </c>
      <c r="L599" s="3">
        <v>192955</v>
      </c>
    </row>
    <row r="600" spans="1:12" x14ac:dyDescent="0.25">
      <c r="A600" t="s">
        <v>26</v>
      </c>
      <c r="B600" t="s">
        <v>26</v>
      </c>
      <c r="C600" t="s">
        <v>25</v>
      </c>
      <c r="D600" t="s">
        <v>15</v>
      </c>
      <c r="E600" s="2">
        <v>45962</v>
      </c>
      <c r="F600" s="3">
        <v>399339</v>
      </c>
      <c r="G600" s="3">
        <v>324223</v>
      </c>
      <c r="H600" s="3">
        <v>75116</v>
      </c>
      <c r="I600" s="3">
        <v>11939</v>
      </c>
      <c r="J600" s="4">
        <v>456.91</v>
      </c>
      <c r="K600" s="3">
        <v>209396</v>
      </c>
      <c r="L600" s="3">
        <v>189943</v>
      </c>
    </row>
    <row r="601" spans="1:12" x14ac:dyDescent="0.25">
      <c r="A601" t="s">
        <v>26</v>
      </c>
      <c r="B601" t="s">
        <v>26</v>
      </c>
      <c r="C601" t="s">
        <v>25</v>
      </c>
      <c r="D601" t="s">
        <v>15</v>
      </c>
      <c r="E601" s="2">
        <v>45992</v>
      </c>
      <c r="F601" s="3">
        <v>397668</v>
      </c>
      <c r="G601" s="3">
        <v>322240</v>
      </c>
      <c r="H601" s="3">
        <v>75428</v>
      </c>
      <c r="I601" s="3">
        <v>11656</v>
      </c>
      <c r="J601" s="4">
        <v>444.28</v>
      </c>
      <c r="K601" s="3">
        <v>219359</v>
      </c>
      <c r="L601" s="3">
        <v>178309</v>
      </c>
    </row>
    <row r="602" spans="1:12" x14ac:dyDescent="0.25">
      <c r="A602" t="s">
        <v>26</v>
      </c>
      <c r="B602" t="s">
        <v>26</v>
      </c>
      <c r="C602" t="s">
        <v>25</v>
      </c>
      <c r="D602" t="s">
        <v>16</v>
      </c>
      <c r="E602" s="2">
        <v>45292</v>
      </c>
      <c r="F602" s="3">
        <v>171772</v>
      </c>
      <c r="G602" s="3">
        <v>119115</v>
      </c>
      <c r="H602" s="3">
        <v>52657</v>
      </c>
      <c r="I602" s="3">
        <v>2914</v>
      </c>
      <c r="J602" s="4">
        <v>755.16</v>
      </c>
      <c r="K602" s="3">
        <v>92364</v>
      </c>
      <c r="L602" s="3">
        <v>79408</v>
      </c>
    </row>
    <row r="603" spans="1:12" x14ac:dyDescent="0.25">
      <c r="A603" t="s">
        <v>26</v>
      </c>
      <c r="B603" t="s">
        <v>26</v>
      </c>
      <c r="C603" t="s">
        <v>25</v>
      </c>
      <c r="D603" t="s">
        <v>16</v>
      </c>
      <c r="E603" s="2">
        <v>45323</v>
      </c>
      <c r="F603" s="3">
        <v>161355</v>
      </c>
      <c r="G603" s="3">
        <v>108950</v>
      </c>
      <c r="H603" s="3">
        <v>52405</v>
      </c>
      <c r="I603" s="3">
        <v>2723</v>
      </c>
      <c r="J603" s="4">
        <v>737</v>
      </c>
      <c r="K603" s="3">
        <v>87386</v>
      </c>
      <c r="L603" s="3">
        <v>73969</v>
      </c>
    </row>
    <row r="604" spans="1:12" x14ac:dyDescent="0.25">
      <c r="A604" t="s">
        <v>26</v>
      </c>
      <c r="B604" t="s">
        <v>26</v>
      </c>
      <c r="C604" t="s">
        <v>25</v>
      </c>
      <c r="D604" t="s">
        <v>16</v>
      </c>
      <c r="E604" s="2">
        <v>45352</v>
      </c>
      <c r="F604" s="3">
        <v>145435</v>
      </c>
      <c r="G604" s="3">
        <v>100842</v>
      </c>
      <c r="H604" s="3">
        <v>44593</v>
      </c>
      <c r="I604" s="3">
        <v>2616</v>
      </c>
      <c r="J604" s="4">
        <v>715.81</v>
      </c>
      <c r="K604" s="3">
        <v>76355</v>
      </c>
      <c r="L604" s="3">
        <v>69080</v>
      </c>
    </row>
    <row r="605" spans="1:12" x14ac:dyDescent="0.25">
      <c r="A605" t="s">
        <v>26</v>
      </c>
      <c r="B605" t="s">
        <v>26</v>
      </c>
      <c r="C605" t="s">
        <v>25</v>
      </c>
      <c r="D605" t="s">
        <v>16</v>
      </c>
      <c r="E605" s="2">
        <v>45383</v>
      </c>
      <c r="F605" s="3">
        <v>155335</v>
      </c>
      <c r="G605" s="3">
        <v>104148</v>
      </c>
      <c r="H605" s="3">
        <v>51187</v>
      </c>
      <c r="I605" s="3">
        <v>2665</v>
      </c>
      <c r="J605" s="4">
        <v>748.53</v>
      </c>
      <c r="K605" s="3">
        <v>79649</v>
      </c>
      <c r="L605" s="3">
        <v>75686</v>
      </c>
    </row>
    <row r="606" spans="1:12" x14ac:dyDescent="0.25">
      <c r="A606" t="s">
        <v>26</v>
      </c>
      <c r="B606" t="s">
        <v>26</v>
      </c>
      <c r="C606" t="s">
        <v>25</v>
      </c>
      <c r="D606" t="s">
        <v>16</v>
      </c>
      <c r="E606" s="2">
        <v>45413</v>
      </c>
      <c r="F606" s="3">
        <v>161083</v>
      </c>
      <c r="G606" s="3">
        <v>108625</v>
      </c>
      <c r="H606" s="3">
        <v>52458</v>
      </c>
      <c r="I606" s="3">
        <v>2780</v>
      </c>
      <c r="J606" s="4">
        <v>735.5</v>
      </c>
      <c r="K606" s="3">
        <v>88421</v>
      </c>
      <c r="L606" s="3">
        <v>72662</v>
      </c>
    </row>
    <row r="607" spans="1:12" x14ac:dyDescent="0.25">
      <c r="A607" t="s">
        <v>26</v>
      </c>
      <c r="B607" t="s">
        <v>26</v>
      </c>
      <c r="C607" t="s">
        <v>25</v>
      </c>
      <c r="D607" t="s">
        <v>16</v>
      </c>
      <c r="E607" s="2">
        <v>45444</v>
      </c>
      <c r="F607" s="3">
        <v>163611</v>
      </c>
      <c r="G607" s="3">
        <v>113509</v>
      </c>
      <c r="H607" s="3">
        <v>50102</v>
      </c>
      <c r="I607" s="3">
        <v>2778</v>
      </c>
      <c r="J607" s="4">
        <v>769.57</v>
      </c>
      <c r="K607" s="3">
        <v>86493</v>
      </c>
      <c r="L607" s="3">
        <v>77118</v>
      </c>
    </row>
    <row r="608" spans="1:12" x14ac:dyDescent="0.25">
      <c r="A608" t="s">
        <v>26</v>
      </c>
      <c r="B608" t="s">
        <v>26</v>
      </c>
      <c r="C608" t="s">
        <v>25</v>
      </c>
      <c r="D608" t="s">
        <v>16</v>
      </c>
      <c r="E608" s="2">
        <v>45474</v>
      </c>
      <c r="F608" s="3">
        <v>180295</v>
      </c>
      <c r="G608" s="3">
        <v>124223</v>
      </c>
      <c r="H608" s="3">
        <v>56072</v>
      </c>
      <c r="I608" s="3">
        <v>3165</v>
      </c>
      <c r="J608" s="4">
        <v>704.13</v>
      </c>
      <c r="K608" s="3">
        <v>97543</v>
      </c>
      <c r="L608" s="3">
        <v>82752</v>
      </c>
    </row>
    <row r="609" spans="1:12" x14ac:dyDescent="0.25">
      <c r="A609" t="s">
        <v>26</v>
      </c>
      <c r="B609" t="s">
        <v>26</v>
      </c>
      <c r="C609" t="s">
        <v>25</v>
      </c>
      <c r="D609" t="s">
        <v>16</v>
      </c>
      <c r="E609" s="2">
        <v>45505</v>
      </c>
      <c r="F609" s="3">
        <v>186826</v>
      </c>
      <c r="G609" s="3">
        <v>128213</v>
      </c>
      <c r="H609" s="3">
        <v>58613</v>
      </c>
      <c r="I609" s="3">
        <v>3179</v>
      </c>
      <c r="J609" s="4">
        <v>761.9</v>
      </c>
      <c r="K609" s="3">
        <v>100544</v>
      </c>
      <c r="L609" s="3">
        <v>86282</v>
      </c>
    </row>
    <row r="610" spans="1:12" x14ac:dyDescent="0.25">
      <c r="A610" t="s">
        <v>26</v>
      </c>
      <c r="B610" t="s">
        <v>26</v>
      </c>
      <c r="C610" t="s">
        <v>25</v>
      </c>
      <c r="D610" t="s">
        <v>16</v>
      </c>
      <c r="E610" s="2">
        <v>45536</v>
      </c>
      <c r="F610" s="3">
        <v>206546</v>
      </c>
      <c r="G610" s="3">
        <v>139409</v>
      </c>
      <c r="H610" s="3">
        <v>67137</v>
      </c>
      <c r="I610" s="3">
        <v>3516</v>
      </c>
      <c r="J610" s="4">
        <v>712.27</v>
      </c>
      <c r="K610" s="3">
        <v>106247</v>
      </c>
      <c r="L610" s="3">
        <v>100299</v>
      </c>
    </row>
    <row r="611" spans="1:12" x14ac:dyDescent="0.25">
      <c r="A611" t="s">
        <v>26</v>
      </c>
      <c r="B611" t="s">
        <v>26</v>
      </c>
      <c r="C611" t="s">
        <v>25</v>
      </c>
      <c r="D611" t="s">
        <v>16</v>
      </c>
      <c r="E611" s="2">
        <v>45566</v>
      </c>
      <c r="F611" s="3">
        <v>198113</v>
      </c>
      <c r="G611" s="3">
        <v>137592</v>
      </c>
      <c r="H611" s="3">
        <v>60521</v>
      </c>
      <c r="I611" s="3">
        <v>3294</v>
      </c>
      <c r="J611" s="4">
        <v>757.4</v>
      </c>
      <c r="K611" s="3">
        <v>101719</v>
      </c>
      <c r="L611" s="3">
        <v>96394</v>
      </c>
    </row>
    <row r="612" spans="1:12" x14ac:dyDescent="0.25">
      <c r="A612" t="s">
        <v>26</v>
      </c>
      <c r="B612" t="s">
        <v>26</v>
      </c>
      <c r="C612" t="s">
        <v>25</v>
      </c>
      <c r="D612" t="s">
        <v>16</v>
      </c>
      <c r="E612" s="2">
        <v>45597</v>
      </c>
      <c r="F612" s="3">
        <v>204133</v>
      </c>
      <c r="G612" s="3">
        <v>137391</v>
      </c>
      <c r="H612" s="3">
        <v>66742</v>
      </c>
      <c r="I612" s="3">
        <v>3642</v>
      </c>
      <c r="J612" s="4">
        <v>740.23</v>
      </c>
      <c r="K612" s="3">
        <v>105429</v>
      </c>
      <c r="L612" s="3">
        <v>98704</v>
      </c>
    </row>
    <row r="613" spans="1:12" x14ac:dyDescent="0.25">
      <c r="A613" t="s">
        <v>26</v>
      </c>
      <c r="B613" t="s">
        <v>26</v>
      </c>
      <c r="C613" t="s">
        <v>25</v>
      </c>
      <c r="D613" t="s">
        <v>16</v>
      </c>
      <c r="E613" s="2">
        <v>45627</v>
      </c>
      <c r="F613" s="3">
        <v>217549</v>
      </c>
      <c r="G613" s="3">
        <v>145884</v>
      </c>
      <c r="H613" s="3">
        <v>71665</v>
      </c>
      <c r="I613" s="3">
        <v>3608</v>
      </c>
      <c r="J613" s="4">
        <v>746.1</v>
      </c>
      <c r="K613" s="3">
        <v>120449</v>
      </c>
      <c r="L613" s="3">
        <v>97100</v>
      </c>
    </row>
    <row r="614" spans="1:12" x14ac:dyDescent="0.25">
      <c r="A614" t="s">
        <v>26</v>
      </c>
      <c r="B614" t="s">
        <v>26</v>
      </c>
      <c r="C614" t="s">
        <v>25</v>
      </c>
      <c r="D614" t="s">
        <v>16</v>
      </c>
      <c r="E614" s="2">
        <v>45658</v>
      </c>
      <c r="F614" s="3">
        <v>196703</v>
      </c>
      <c r="G614" s="3">
        <v>131755</v>
      </c>
      <c r="H614" s="3">
        <v>64948</v>
      </c>
      <c r="I614" s="3">
        <v>3465</v>
      </c>
      <c r="J614" s="4">
        <v>749.61</v>
      </c>
      <c r="K614" s="3">
        <v>103825</v>
      </c>
      <c r="L614" s="3">
        <v>92878</v>
      </c>
    </row>
    <row r="615" spans="1:12" x14ac:dyDescent="0.25">
      <c r="A615" t="s">
        <v>26</v>
      </c>
      <c r="B615" t="s">
        <v>26</v>
      </c>
      <c r="C615" t="s">
        <v>25</v>
      </c>
      <c r="D615" t="s">
        <v>16</v>
      </c>
      <c r="E615" s="2">
        <v>45689</v>
      </c>
      <c r="F615" s="3">
        <v>184005</v>
      </c>
      <c r="G615" s="3">
        <v>123706</v>
      </c>
      <c r="H615" s="3">
        <v>60299</v>
      </c>
      <c r="I615" s="3">
        <v>3172</v>
      </c>
      <c r="J615" s="4">
        <v>756.47</v>
      </c>
      <c r="K615" s="3">
        <v>100544</v>
      </c>
      <c r="L615" s="3">
        <v>83461</v>
      </c>
    </row>
    <row r="616" spans="1:12" x14ac:dyDescent="0.25">
      <c r="A616" t="s">
        <v>26</v>
      </c>
      <c r="B616" t="s">
        <v>26</v>
      </c>
      <c r="C616" t="s">
        <v>25</v>
      </c>
      <c r="D616" t="s">
        <v>16</v>
      </c>
      <c r="E616" s="2">
        <v>45717</v>
      </c>
      <c r="F616" s="3">
        <v>195693</v>
      </c>
      <c r="G616" s="3">
        <v>132237</v>
      </c>
      <c r="H616" s="3">
        <v>63456</v>
      </c>
      <c r="I616" s="3">
        <v>3425</v>
      </c>
      <c r="J616" s="4">
        <v>732.18</v>
      </c>
      <c r="K616" s="3">
        <v>104035</v>
      </c>
      <c r="L616" s="3">
        <v>91658</v>
      </c>
    </row>
    <row r="617" spans="1:12" x14ac:dyDescent="0.25">
      <c r="A617" t="s">
        <v>26</v>
      </c>
      <c r="B617" t="s">
        <v>26</v>
      </c>
      <c r="C617" t="s">
        <v>25</v>
      </c>
      <c r="D617" t="s">
        <v>16</v>
      </c>
      <c r="E617" s="2">
        <v>45748</v>
      </c>
      <c r="F617" s="3">
        <v>182776</v>
      </c>
      <c r="G617" s="3">
        <v>125514</v>
      </c>
      <c r="H617" s="3">
        <v>57262</v>
      </c>
      <c r="I617" s="3">
        <v>3168</v>
      </c>
      <c r="J617" s="4">
        <v>702.17</v>
      </c>
      <c r="K617" s="3">
        <v>99526</v>
      </c>
      <c r="L617" s="3">
        <v>83250</v>
      </c>
    </row>
    <row r="618" spans="1:12" x14ac:dyDescent="0.25">
      <c r="A618" t="s">
        <v>26</v>
      </c>
      <c r="B618" t="s">
        <v>26</v>
      </c>
      <c r="C618" t="s">
        <v>25</v>
      </c>
      <c r="D618" t="s">
        <v>16</v>
      </c>
      <c r="E618" s="2">
        <v>45778</v>
      </c>
      <c r="F618" s="3">
        <v>203195</v>
      </c>
      <c r="G618" s="3">
        <v>137328</v>
      </c>
      <c r="H618" s="3">
        <v>65867</v>
      </c>
      <c r="I618" s="3">
        <v>3454</v>
      </c>
      <c r="J618" s="4">
        <v>733.33</v>
      </c>
      <c r="K618" s="3">
        <v>111627</v>
      </c>
      <c r="L618" s="3">
        <v>91568</v>
      </c>
    </row>
    <row r="619" spans="1:12" x14ac:dyDescent="0.25">
      <c r="A619" t="s">
        <v>26</v>
      </c>
      <c r="B619" t="s">
        <v>26</v>
      </c>
      <c r="C619" t="s">
        <v>25</v>
      </c>
      <c r="D619" t="s">
        <v>16</v>
      </c>
      <c r="E619" s="2">
        <v>45809</v>
      </c>
      <c r="F619" s="3">
        <v>210652</v>
      </c>
      <c r="G619" s="3">
        <v>140829</v>
      </c>
      <c r="H619" s="3">
        <v>69823</v>
      </c>
      <c r="I619" s="3">
        <v>3565</v>
      </c>
      <c r="J619" s="4">
        <v>709.96</v>
      </c>
      <c r="K619" s="3">
        <v>112760</v>
      </c>
      <c r="L619" s="3">
        <v>97892</v>
      </c>
    </row>
    <row r="620" spans="1:12" x14ac:dyDescent="0.25">
      <c r="A620" t="s">
        <v>26</v>
      </c>
      <c r="B620" t="s">
        <v>26</v>
      </c>
      <c r="C620" t="s">
        <v>25</v>
      </c>
      <c r="D620" t="s">
        <v>16</v>
      </c>
      <c r="E620" s="2">
        <v>45839</v>
      </c>
      <c r="F620" s="3">
        <v>213993</v>
      </c>
      <c r="G620" s="3">
        <v>146050</v>
      </c>
      <c r="H620" s="3">
        <v>67943</v>
      </c>
      <c r="I620" s="3">
        <v>3756</v>
      </c>
      <c r="J620" s="4">
        <v>744.67</v>
      </c>
      <c r="K620" s="3">
        <v>113274</v>
      </c>
      <c r="L620" s="3">
        <v>100719</v>
      </c>
    </row>
    <row r="621" spans="1:12" x14ac:dyDescent="0.25">
      <c r="A621" t="s">
        <v>26</v>
      </c>
      <c r="B621" t="s">
        <v>26</v>
      </c>
      <c r="C621" t="s">
        <v>25</v>
      </c>
      <c r="D621" t="s">
        <v>16</v>
      </c>
      <c r="E621" s="2">
        <v>45870</v>
      </c>
      <c r="F621" s="3">
        <v>230503</v>
      </c>
      <c r="G621" s="3">
        <v>159034</v>
      </c>
      <c r="H621" s="3">
        <v>71469</v>
      </c>
      <c r="I621" s="3">
        <v>3931</v>
      </c>
      <c r="J621" s="4">
        <v>759.62</v>
      </c>
      <c r="K621" s="3">
        <v>120103</v>
      </c>
      <c r="L621" s="3">
        <v>110400</v>
      </c>
    </row>
    <row r="622" spans="1:12" x14ac:dyDescent="0.25">
      <c r="A622" t="s">
        <v>26</v>
      </c>
      <c r="B622" t="s">
        <v>26</v>
      </c>
      <c r="C622" t="s">
        <v>25</v>
      </c>
      <c r="D622" t="s">
        <v>16</v>
      </c>
      <c r="E622" s="2">
        <v>45901</v>
      </c>
      <c r="F622" s="3">
        <v>245528</v>
      </c>
      <c r="G622" s="3">
        <v>165669</v>
      </c>
      <c r="H622" s="3">
        <v>79859</v>
      </c>
      <c r="I622" s="3">
        <v>4364</v>
      </c>
      <c r="J622" s="4">
        <v>710.09</v>
      </c>
      <c r="K622" s="3">
        <v>127571</v>
      </c>
      <c r="L622" s="3">
        <v>117957</v>
      </c>
    </row>
    <row r="623" spans="1:12" x14ac:dyDescent="0.25">
      <c r="A623" t="s">
        <v>26</v>
      </c>
      <c r="B623" t="s">
        <v>26</v>
      </c>
      <c r="C623" t="s">
        <v>25</v>
      </c>
      <c r="D623" t="s">
        <v>16</v>
      </c>
      <c r="E623" s="2">
        <v>45931</v>
      </c>
      <c r="F623" s="3">
        <v>255210</v>
      </c>
      <c r="G623" s="3">
        <v>170371</v>
      </c>
      <c r="H623" s="3">
        <v>84839</v>
      </c>
      <c r="I623" s="3">
        <v>4394</v>
      </c>
      <c r="J623" s="4">
        <v>753.5</v>
      </c>
      <c r="K623" s="3">
        <v>140604</v>
      </c>
      <c r="L623" s="3">
        <v>114606</v>
      </c>
    </row>
    <row r="624" spans="1:12" x14ac:dyDescent="0.25">
      <c r="A624" t="s">
        <v>26</v>
      </c>
      <c r="B624" t="s">
        <v>26</v>
      </c>
      <c r="C624" t="s">
        <v>25</v>
      </c>
      <c r="D624" t="s">
        <v>16</v>
      </c>
      <c r="E624" s="2">
        <v>45962</v>
      </c>
      <c r="F624" s="3">
        <v>261350</v>
      </c>
      <c r="G624" s="3">
        <v>177417</v>
      </c>
      <c r="H624" s="3">
        <v>83933</v>
      </c>
      <c r="I624" s="3">
        <v>4558</v>
      </c>
      <c r="J624" s="4">
        <v>709.74</v>
      </c>
      <c r="K624" s="3">
        <v>136924</v>
      </c>
      <c r="L624" s="3">
        <v>124426</v>
      </c>
    </row>
    <row r="625" spans="1:12" x14ac:dyDescent="0.25">
      <c r="A625" t="s">
        <v>26</v>
      </c>
      <c r="B625" t="s">
        <v>26</v>
      </c>
      <c r="C625" t="s">
        <v>25</v>
      </c>
      <c r="D625" t="s">
        <v>16</v>
      </c>
      <c r="E625" s="2">
        <v>45992</v>
      </c>
      <c r="F625" s="3">
        <v>243146</v>
      </c>
      <c r="G625" s="3">
        <v>169184</v>
      </c>
      <c r="H625" s="3">
        <v>73962</v>
      </c>
      <c r="I625" s="3">
        <v>4095</v>
      </c>
      <c r="J625" s="4">
        <v>715.72</v>
      </c>
      <c r="K625" s="3">
        <v>126283</v>
      </c>
      <c r="L625" s="3">
        <v>116863</v>
      </c>
    </row>
    <row r="626" spans="1:12" x14ac:dyDescent="0.25">
      <c r="A626" t="s">
        <v>26</v>
      </c>
      <c r="B626" t="s">
        <v>26</v>
      </c>
      <c r="C626" t="s">
        <v>25</v>
      </c>
      <c r="D626" t="s">
        <v>17</v>
      </c>
      <c r="E626" s="2">
        <v>45292</v>
      </c>
      <c r="F626" s="3">
        <v>112855</v>
      </c>
      <c r="G626" s="3">
        <v>72696</v>
      </c>
      <c r="H626" s="3">
        <v>40159</v>
      </c>
      <c r="I626" s="3">
        <v>655</v>
      </c>
      <c r="J626" s="4">
        <v>367.45</v>
      </c>
      <c r="K626" s="3">
        <v>58026</v>
      </c>
      <c r="L626" s="3">
        <v>54829</v>
      </c>
    </row>
    <row r="627" spans="1:12" x14ac:dyDescent="0.25">
      <c r="A627" t="s">
        <v>26</v>
      </c>
      <c r="B627" t="s">
        <v>26</v>
      </c>
      <c r="C627" t="s">
        <v>25</v>
      </c>
      <c r="D627" t="s">
        <v>17</v>
      </c>
      <c r="E627" s="2">
        <v>45323</v>
      </c>
      <c r="F627" s="3">
        <v>108766</v>
      </c>
      <c r="G627" s="3">
        <v>69696</v>
      </c>
      <c r="H627" s="3">
        <v>39070</v>
      </c>
      <c r="I627" s="3">
        <v>646</v>
      </c>
      <c r="J627" s="4">
        <v>397.7</v>
      </c>
      <c r="K627" s="3">
        <v>57091</v>
      </c>
      <c r="L627" s="3">
        <v>51675</v>
      </c>
    </row>
    <row r="628" spans="1:12" x14ac:dyDescent="0.25">
      <c r="A628" t="s">
        <v>26</v>
      </c>
      <c r="B628" t="s">
        <v>26</v>
      </c>
      <c r="C628" t="s">
        <v>25</v>
      </c>
      <c r="D628" t="s">
        <v>17</v>
      </c>
      <c r="E628" s="2">
        <v>45352</v>
      </c>
      <c r="F628" s="3">
        <v>110683</v>
      </c>
      <c r="G628" s="3">
        <v>72027</v>
      </c>
      <c r="H628" s="3">
        <v>38656</v>
      </c>
      <c r="I628" s="3">
        <v>698</v>
      </c>
      <c r="J628" s="4">
        <v>371.64</v>
      </c>
      <c r="K628" s="3">
        <v>58891</v>
      </c>
      <c r="L628" s="3">
        <v>51792</v>
      </c>
    </row>
    <row r="629" spans="1:12" x14ac:dyDescent="0.25">
      <c r="A629" t="s">
        <v>26</v>
      </c>
      <c r="B629" t="s">
        <v>26</v>
      </c>
      <c r="C629" t="s">
        <v>25</v>
      </c>
      <c r="D629" t="s">
        <v>17</v>
      </c>
      <c r="E629" s="2">
        <v>45383</v>
      </c>
      <c r="F629" s="3">
        <v>112509</v>
      </c>
      <c r="G629" s="3">
        <v>73804</v>
      </c>
      <c r="H629" s="3">
        <v>38705</v>
      </c>
      <c r="I629" s="3">
        <v>698</v>
      </c>
      <c r="J629" s="4">
        <v>388.81</v>
      </c>
      <c r="K629" s="3">
        <v>59365</v>
      </c>
      <c r="L629" s="3">
        <v>53144</v>
      </c>
    </row>
    <row r="630" spans="1:12" x14ac:dyDescent="0.25">
      <c r="A630" t="s">
        <v>26</v>
      </c>
      <c r="B630" t="s">
        <v>26</v>
      </c>
      <c r="C630" t="s">
        <v>25</v>
      </c>
      <c r="D630" t="s">
        <v>17</v>
      </c>
      <c r="E630" s="2">
        <v>45413</v>
      </c>
      <c r="F630" s="3">
        <v>114005</v>
      </c>
      <c r="G630" s="3">
        <v>72341</v>
      </c>
      <c r="H630" s="3">
        <v>41664</v>
      </c>
      <c r="I630" s="3">
        <v>660</v>
      </c>
      <c r="J630" s="4">
        <v>398.6</v>
      </c>
      <c r="K630" s="3">
        <v>59163</v>
      </c>
      <c r="L630" s="3">
        <v>54842</v>
      </c>
    </row>
    <row r="631" spans="1:12" x14ac:dyDescent="0.25">
      <c r="A631" t="s">
        <v>26</v>
      </c>
      <c r="B631" t="s">
        <v>26</v>
      </c>
      <c r="C631" t="s">
        <v>25</v>
      </c>
      <c r="D631" t="s">
        <v>17</v>
      </c>
      <c r="E631" s="2">
        <v>45444</v>
      </c>
      <c r="F631" s="3">
        <v>114008</v>
      </c>
      <c r="G631" s="3">
        <v>71484</v>
      </c>
      <c r="H631" s="3">
        <v>42524</v>
      </c>
      <c r="I631" s="3">
        <v>693</v>
      </c>
      <c r="J631" s="4">
        <v>369.76</v>
      </c>
      <c r="K631" s="3">
        <v>63004</v>
      </c>
      <c r="L631" s="3">
        <v>51004</v>
      </c>
    </row>
    <row r="632" spans="1:12" x14ac:dyDescent="0.25">
      <c r="A632" t="s">
        <v>26</v>
      </c>
      <c r="B632" t="s">
        <v>26</v>
      </c>
      <c r="C632" t="s">
        <v>25</v>
      </c>
      <c r="D632" t="s">
        <v>17</v>
      </c>
      <c r="E632" s="2">
        <v>45474</v>
      </c>
      <c r="F632" s="3">
        <v>121141</v>
      </c>
      <c r="G632" s="3">
        <v>76917</v>
      </c>
      <c r="H632" s="3">
        <v>44224</v>
      </c>
      <c r="I632" s="3">
        <v>734</v>
      </c>
      <c r="J632" s="4">
        <v>388.88</v>
      </c>
      <c r="K632" s="3">
        <v>63053</v>
      </c>
      <c r="L632" s="3">
        <v>58088</v>
      </c>
    </row>
    <row r="633" spans="1:12" x14ac:dyDescent="0.25">
      <c r="A633" t="s">
        <v>26</v>
      </c>
      <c r="B633" t="s">
        <v>26</v>
      </c>
      <c r="C633" t="s">
        <v>25</v>
      </c>
      <c r="D633" t="s">
        <v>17</v>
      </c>
      <c r="E633" s="2">
        <v>45505</v>
      </c>
      <c r="F633" s="3">
        <v>138191</v>
      </c>
      <c r="G633" s="3">
        <v>86746</v>
      </c>
      <c r="H633" s="3">
        <v>51445</v>
      </c>
      <c r="I633" s="3">
        <v>857</v>
      </c>
      <c r="J633" s="4">
        <v>372.66</v>
      </c>
      <c r="K633" s="3">
        <v>73583</v>
      </c>
      <c r="L633" s="3">
        <v>64608</v>
      </c>
    </row>
    <row r="634" spans="1:12" x14ac:dyDescent="0.25">
      <c r="A634" t="s">
        <v>26</v>
      </c>
      <c r="B634" t="s">
        <v>26</v>
      </c>
      <c r="C634" t="s">
        <v>25</v>
      </c>
      <c r="D634" t="s">
        <v>17</v>
      </c>
      <c r="E634" s="2">
        <v>45536</v>
      </c>
      <c r="F634" s="3">
        <v>140411</v>
      </c>
      <c r="G634" s="3">
        <v>89044</v>
      </c>
      <c r="H634" s="3">
        <v>51367</v>
      </c>
      <c r="I634" s="3">
        <v>884</v>
      </c>
      <c r="J634" s="4">
        <v>365.54</v>
      </c>
      <c r="K634" s="3">
        <v>77680</v>
      </c>
      <c r="L634" s="3">
        <v>62731</v>
      </c>
    </row>
    <row r="635" spans="1:12" x14ac:dyDescent="0.25">
      <c r="A635" t="s">
        <v>26</v>
      </c>
      <c r="B635" t="s">
        <v>26</v>
      </c>
      <c r="C635" t="s">
        <v>25</v>
      </c>
      <c r="D635" t="s">
        <v>17</v>
      </c>
      <c r="E635" s="2">
        <v>45566</v>
      </c>
      <c r="F635" s="3">
        <v>141568</v>
      </c>
      <c r="G635" s="3">
        <v>89547</v>
      </c>
      <c r="H635" s="3">
        <v>52021</v>
      </c>
      <c r="I635" s="3">
        <v>847</v>
      </c>
      <c r="J635" s="4">
        <v>374.15</v>
      </c>
      <c r="K635" s="3">
        <v>72068</v>
      </c>
      <c r="L635" s="3">
        <v>69500</v>
      </c>
    </row>
    <row r="636" spans="1:12" x14ac:dyDescent="0.25">
      <c r="A636" t="s">
        <v>26</v>
      </c>
      <c r="B636" t="s">
        <v>26</v>
      </c>
      <c r="C636" t="s">
        <v>25</v>
      </c>
      <c r="D636" t="s">
        <v>17</v>
      </c>
      <c r="E636" s="2">
        <v>45597</v>
      </c>
      <c r="F636" s="3">
        <v>145479</v>
      </c>
      <c r="G636" s="3">
        <v>91510</v>
      </c>
      <c r="H636" s="3">
        <v>53969</v>
      </c>
      <c r="I636" s="3">
        <v>921</v>
      </c>
      <c r="J636" s="4">
        <v>367.64</v>
      </c>
      <c r="K636" s="3">
        <v>79608</v>
      </c>
      <c r="L636" s="3">
        <v>65871</v>
      </c>
    </row>
    <row r="637" spans="1:12" x14ac:dyDescent="0.25">
      <c r="A637" t="s">
        <v>26</v>
      </c>
      <c r="B637" t="s">
        <v>26</v>
      </c>
      <c r="C637" t="s">
        <v>25</v>
      </c>
      <c r="D637" t="s">
        <v>17</v>
      </c>
      <c r="E637" s="2">
        <v>45627</v>
      </c>
      <c r="F637" s="3">
        <v>142111</v>
      </c>
      <c r="G637" s="3">
        <v>90650</v>
      </c>
      <c r="H637" s="3">
        <v>51461</v>
      </c>
      <c r="I637" s="3">
        <v>885</v>
      </c>
      <c r="J637" s="4">
        <v>373.13</v>
      </c>
      <c r="K637" s="3">
        <v>75136</v>
      </c>
      <c r="L637" s="3">
        <v>66975</v>
      </c>
    </row>
    <row r="638" spans="1:12" x14ac:dyDescent="0.25">
      <c r="A638" t="s">
        <v>26</v>
      </c>
      <c r="B638" t="s">
        <v>26</v>
      </c>
      <c r="C638" t="s">
        <v>25</v>
      </c>
      <c r="D638" t="s">
        <v>17</v>
      </c>
      <c r="E638" s="2">
        <v>45658</v>
      </c>
      <c r="F638" s="3">
        <v>142795</v>
      </c>
      <c r="G638" s="3">
        <v>89858</v>
      </c>
      <c r="H638" s="3">
        <v>52937</v>
      </c>
      <c r="I638" s="3">
        <v>887</v>
      </c>
      <c r="J638" s="4">
        <v>372.89</v>
      </c>
      <c r="K638" s="3">
        <v>76204</v>
      </c>
      <c r="L638" s="3">
        <v>66591</v>
      </c>
    </row>
    <row r="639" spans="1:12" x14ac:dyDescent="0.25">
      <c r="A639" t="s">
        <v>26</v>
      </c>
      <c r="B639" t="s">
        <v>26</v>
      </c>
      <c r="C639" t="s">
        <v>25</v>
      </c>
      <c r="D639" t="s">
        <v>17</v>
      </c>
      <c r="E639" s="2">
        <v>45689</v>
      </c>
      <c r="F639" s="3">
        <v>129932</v>
      </c>
      <c r="G639" s="3">
        <v>84364</v>
      </c>
      <c r="H639" s="3">
        <v>45568</v>
      </c>
      <c r="I639" s="3">
        <v>816</v>
      </c>
      <c r="J639" s="4">
        <v>399.83</v>
      </c>
      <c r="K639" s="3">
        <v>67447</v>
      </c>
      <c r="L639" s="3">
        <v>62485</v>
      </c>
    </row>
    <row r="640" spans="1:12" x14ac:dyDescent="0.25">
      <c r="A640" t="s">
        <v>26</v>
      </c>
      <c r="B640" t="s">
        <v>26</v>
      </c>
      <c r="C640" t="s">
        <v>25</v>
      </c>
      <c r="D640" t="s">
        <v>17</v>
      </c>
      <c r="E640" s="2">
        <v>45717</v>
      </c>
      <c r="F640" s="3">
        <v>125789</v>
      </c>
      <c r="G640" s="3">
        <v>82526</v>
      </c>
      <c r="H640" s="3">
        <v>43263</v>
      </c>
      <c r="I640" s="3">
        <v>773</v>
      </c>
      <c r="J640" s="4">
        <v>400.34</v>
      </c>
      <c r="K640" s="3">
        <v>68860</v>
      </c>
      <c r="L640" s="3">
        <v>56929</v>
      </c>
    </row>
    <row r="641" spans="1:12" x14ac:dyDescent="0.25">
      <c r="A641" t="s">
        <v>26</v>
      </c>
      <c r="B641" t="s">
        <v>26</v>
      </c>
      <c r="C641" t="s">
        <v>25</v>
      </c>
      <c r="D641" t="s">
        <v>17</v>
      </c>
      <c r="E641" s="2">
        <v>45748</v>
      </c>
      <c r="F641" s="3">
        <v>119953</v>
      </c>
      <c r="G641" s="3">
        <v>76447</v>
      </c>
      <c r="H641" s="3">
        <v>43506</v>
      </c>
      <c r="I641" s="3">
        <v>748</v>
      </c>
      <c r="J641" s="4">
        <v>402.07</v>
      </c>
      <c r="K641" s="3">
        <v>65624</v>
      </c>
      <c r="L641" s="3">
        <v>54329</v>
      </c>
    </row>
    <row r="642" spans="1:12" x14ac:dyDescent="0.25">
      <c r="A642" t="s">
        <v>26</v>
      </c>
      <c r="B642" t="s">
        <v>26</v>
      </c>
      <c r="C642" t="s">
        <v>25</v>
      </c>
      <c r="D642" t="s">
        <v>17</v>
      </c>
      <c r="E642" s="2">
        <v>45778</v>
      </c>
      <c r="F642" s="3">
        <v>133313</v>
      </c>
      <c r="G642" s="3">
        <v>84209</v>
      </c>
      <c r="H642" s="3">
        <v>49104</v>
      </c>
      <c r="I642" s="3">
        <v>792</v>
      </c>
      <c r="J642" s="4">
        <v>393.93</v>
      </c>
      <c r="K642" s="3">
        <v>68354</v>
      </c>
      <c r="L642" s="3">
        <v>64959</v>
      </c>
    </row>
    <row r="643" spans="1:12" x14ac:dyDescent="0.25">
      <c r="A643" t="s">
        <v>26</v>
      </c>
      <c r="B643" t="s">
        <v>26</v>
      </c>
      <c r="C643" t="s">
        <v>25</v>
      </c>
      <c r="D643" t="s">
        <v>17</v>
      </c>
      <c r="E643" s="2">
        <v>45809</v>
      </c>
      <c r="F643" s="3">
        <v>137676</v>
      </c>
      <c r="G643" s="3">
        <v>87359</v>
      </c>
      <c r="H643" s="3">
        <v>50317</v>
      </c>
      <c r="I643" s="3">
        <v>832</v>
      </c>
      <c r="J643" s="4">
        <v>398.94</v>
      </c>
      <c r="K643" s="3">
        <v>71667</v>
      </c>
      <c r="L643" s="3">
        <v>66009</v>
      </c>
    </row>
    <row r="644" spans="1:12" x14ac:dyDescent="0.25">
      <c r="A644" t="s">
        <v>26</v>
      </c>
      <c r="B644" t="s">
        <v>26</v>
      </c>
      <c r="C644" t="s">
        <v>25</v>
      </c>
      <c r="D644" t="s">
        <v>17</v>
      </c>
      <c r="E644" s="2">
        <v>45839</v>
      </c>
      <c r="F644" s="3">
        <v>149024</v>
      </c>
      <c r="G644" s="3">
        <v>95852</v>
      </c>
      <c r="H644" s="3">
        <v>53172</v>
      </c>
      <c r="I644" s="3">
        <v>941</v>
      </c>
      <c r="J644" s="4">
        <v>375.06</v>
      </c>
      <c r="K644" s="3">
        <v>82042</v>
      </c>
      <c r="L644" s="3">
        <v>66982</v>
      </c>
    </row>
    <row r="645" spans="1:12" x14ac:dyDescent="0.25">
      <c r="A645" t="s">
        <v>26</v>
      </c>
      <c r="B645" t="s">
        <v>26</v>
      </c>
      <c r="C645" t="s">
        <v>25</v>
      </c>
      <c r="D645" t="s">
        <v>17</v>
      </c>
      <c r="E645" s="2">
        <v>45870</v>
      </c>
      <c r="F645" s="3">
        <v>158615</v>
      </c>
      <c r="G645" s="3">
        <v>100987</v>
      </c>
      <c r="H645" s="3">
        <v>57628</v>
      </c>
      <c r="I645" s="3">
        <v>985</v>
      </c>
      <c r="J645" s="4">
        <v>368.65</v>
      </c>
      <c r="K645" s="3">
        <v>86065</v>
      </c>
      <c r="L645" s="3">
        <v>72550</v>
      </c>
    </row>
    <row r="646" spans="1:12" x14ac:dyDescent="0.25">
      <c r="A646" t="s">
        <v>26</v>
      </c>
      <c r="B646" t="s">
        <v>26</v>
      </c>
      <c r="C646" t="s">
        <v>25</v>
      </c>
      <c r="D646" t="s">
        <v>17</v>
      </c>
      <c r="E646" s="2">
        <v>45901</v>
      </c>
      <c r="F646" s="3">
        <v>170423</v>
      </c>
      <c r="G646" s="3">
        <v>109213</v>
      </c>
      <c r="H646" s="3">
        <v>61210</v>
      </c>
      <c r="I646" s="3">
        <v>1024</v>
      </c>
      <c r="J646" s="4">
        <v>396.16</v>
      </c>
      <c r="K646" s="3">
        <v>92634</v>
      </c>
      <c r="L646" s="3">
        <v>77789</v>
      </c>
    </row>
    <row r="647" spans="1:12" x14ac:dyDescent="0.25">
      <c r="A647" t="s">
        <v>26</v>
      </c>
      <c r="B647" t="s">
        <v>26</v>
      </c>
      <c r="C647" t="s">
        <v>25</v>
      </c>
      <c r="D647" t="s">
        <v>17</v>
      </c>
      <c r="E647" s="2">
        <v>45931</v>
      </c>
      <c r="F647" s="3">
        <v>167402</v>
      </c>
      <c r="G647" s="3">
        <v>107213</v>
      </c>
      <c r="H647" s="3">
        <v>60189</v>
      </c>
      <c r="I647" s="3">
        <v>1062</v>
      </c>
      <c r="J647" s="4">
        <v>379.73</v>
      </c>
      <c r="K647" s="3">
        <v>85257</v>
      </c>
      <c r="L647" s="3">
        <v>82145</v>
      </c>
    </row>
    <row r="648" spans="1:12" x14ac:dyDescent="0.25">
      <c r="A648" t="s">
        <v>26</v>
      </c>
      <c r="B648" t="s">
        <v>26</v>
      </c>
      <c r="C648" t="s">
        <v>25</v>
      </c>
      <c r="D648" t="s">
        <v>17</v>
      </c>
      <c r="E648" s="2">
        <v>45962</v>
      </c>
      <c r="F648" s="3">
        <v>173516</v>
      </c>
      <c r="G648" s="3">
        <v>109161</v>
      </c>
      <c r="H648" s="3">
        <v>64355</v>
      </c>
      <c r="I648" s="3">
        <v>1053</v>
      </c>
      <c r="J648" s="4">
        <v>378.54</v>
      </c>
      <c r="K648" s="3">
        <v>94479</v>
      </c>
      <c r="L648" s="3">
        <v>79037</v>
      </c>
    </row>
    <row r="649" spans="1:12" x14ac:dyDescent="0.25">
      <c r="A649" t="s">
        <v>26</v>
      </c>
      <c r="B649" t="s">
        <v>26</v>
      </c>
      <c r="C649" t="s">
        <v>25</v>
      </c>
      <c r="D649" t="s">
        <v>17</v>
      </c>
      <c r="E649" s="2">
        <v>45992</v>
      </c>
      <c r="F649" s="3">
        <v>162135</v>
      </c>
      <c r="G649" s="3">
        <v>105329</v>
      </c>
      <c r="H649" s="3">
        <v>56806</v>
      </c>
      <c r="I649" s="3">
        <v>939</v>
      </c>
      <c r="J649" s="4">
        <v>373.18</v>
      </c>
      <c r="K649" s="3">
        <v>85336</v>
      </c>
      <c r="L649" s="3">
        <v>76799</v>
      </c>
    </row>
    <row r="650" spans="1:12" x14ac:dyDescent="0.25">
      <c r="A650" t="s">
        <v>26</v>
      </c>
      <c r="B650" t="s">
        <v>26</v>
      </c>
      <c r="C650" t="s">
        <v>25</v>
      </c>
      <c r="D650" t="s">
        <v>18</v>
      </c>
      <c r="E650" s="2">
        <v>45292</v>
      </c>
      <c r="F650" s="3">
        <v>90154</v>
      </c>
      <c r="G650" s="3">
        <v>58866</v>
      </c>
      <c r="H650" s="3">
        <v>31288</v>
      </c>
      <c r="I650" s="3">
        <v>3215</v>
      </c>
      <c r="J650" s="4">
        <v>221.05</v>
      </c>
      <c r="K650" s="3">
        <v>47221</v>
      </c>
      <c r="L650" s="3">
        <v>42933</v>
      </c>
    </row>
    <row r="651" spans="1:12" x14ac:dyDescent="0.25">
      <c r="A651" t="s">
        <v>26</v>
      </c>
      <c r="B651" t="s">
        <v>26</v>
      </c>
      <c r="C651" t="s">
        <v>25</v>
      </c>
      <c r="D651" t="s">
        <v>18</v>
      </c>
      <c r="E651" s="2">
        <v>45323</v>
      </c>
      <c r="F651" s="3">
        <v>89397</v>
      </c>
      <c r="G651" s="3">
        <v>57874</v>
      </c>
      <c r="H651" s="3">
        <v>31523</v>
      </c>
      <c r="I651" s="3">
        <v>3275</v>
      </c>
      <c r="J651" s="4">
        <v>229.74</v>
      </c>
      <c r="K651" s="3">
        <v>48964</v>
      </c>
      <c r="L651" s="3">
        <v>40433</v>
      </c>
    </row>
    <row r="652" spans="1:12" x14ac:dyDescent="0.25">
      <c r="A652" t="s">
        <v>26</v>
      </c>
      <c r="B652" t="s">
        <v>26</v>
      </c>
      <c r="C652" t="s">
        <v>25</v>
      </c>
      <c r="D652" t="s">
        <v>18</v>
      </c>
      <c r="E652" s="2">
        <v>45352</v>
      </c>
      <c r="F652" s="3">
        <v>93690</v>
      </c>
      <c r="G652" s="3">
        <v>62775</v>
      </c>
      <c r="H652" s="3">
        <v>30915</v>
      </c>
      <c r="I652" s="3">
        <v>3267</v>
      </c>
      <c r="J652" s="4">
        <v>219.01</v>
      </c>
      <c r="K652" s="3">
        <v>50593</v>
      </c>
      <c r="L652" s="3">
        <v>43097</v>
      </c>
    </row>
    <row r="653" spans="1:12" x14ac:dyDescent="0.25">
      <c r="A653" t="s">
        <v>26</v>
      </c>
      <c r="B653" t="s">
        <v>26</v>
      </c>
      <c r="C653" t="s">
        <v>25</v>
      </c>
      <c r="D653" t="s">
        <v>18</v>
      </c>
      <c r="E653" s="2">
        <v>45383</v>
      </c>
      <c r="F653" s="3">
        <v>88076</v>
      </c>
      <c r="G653" s="3">
        <v>58498</v>
      </c>
      <c r="H653" s="3">
        <v>29578</v>
      </c>
      <c r="I653" s="3">
        <v>3167</v>
      </c>
      <c r="J653" s="4">
        <v>225.48</v>
      </c>
      <c r="K653" s="3">
        <v>48372</v>
      </c>
      <c r="L653" s="3">
        <v>39704</v>
      </c>
    </row>
    <row r="654" spans="1:12" x14ac:dyDescent="0.25">
      <c r="A654" t="s">
        <v>26</v>
      </c>
      <c r="B654" t="s">
        <v>26</v>
      </c>
      <c r="C654" t="s">
        <v>25</v>
      </c>
      <c r="D654" t="s">
        <v>18</v>
      </c>
      <c r="E654" s="2">
        <v>45413</v>
      </c>
      <c r="F654" s="3">
        <v>91779</v>
      </c>
      <c r="G654" s="3">
        <v>60002</v>
      </c>
      <c r="H654" s="3">
        <v>31777</v>
      </c>
      <c r="I654" s="3">
        <v>3360</v>
      </c>
      <c r="J654" s="4">
        <v>215.88</v>
      </c>
      <c r="K654" s="3">
        <v>49183</v>
      </c>
      <c r="L654" s="3">
        <v>42596</v>
      </c>
    </row>
    <row r="655" spans="1:12" x14ac:dyDescent="0.25">
      <c r="A655" t="s">
        <v>26</v>
      </c>
      <c r="B655" t="s">
        <v>26</v>
      </c>
      <c r="C655" t="s">
        <v>25</v>
      </c>
      <c r="D655" t="s">
        <v>18</v>
      </c>
      <c r="E655" s="2">
        <v>45444</v>
      </c>
      <c r="F655" s="3">
        <v>91250</v>
      </c>
      <c r="G655" s="3">
        <v>59188</v>
      </c>
      <c r="H655" s="3">
        <v>32062</v>
      </c>
      <c r="I655" s="3">
        <v>3201</v>
      </c>
      <c r="J655" s="4">
        <v>229.27</v>
      </c>
      <c r="K655" s="3">
        <v>48582</v>
      </c>
      <c r="L655" s="3">
        <v>42668</v>
      </c>
    </row>
    <row r="656" spans="1:12" x14ac:dyDescent="0.25">
      <c r="A656" t="s">
        <v>26</v>
      </c>
      <c r="B656" t="s">
        <v>26</v>
      </c>
      <c r="C656" t="s">
        <v>25</v>
      </c>
      <c r="D656" t="s">
        <v>18</v>
      </c>
      <c r="E656" s="2">
        <v>45474</v>
      </c>
      <c r="F656" s="3">
        <v>98413</v>
      </c>
      <c r="G656" s="3">
        <v>64837</v>
      </c>
      <c r="H656" s="3">
        <v>33576</v>
      </c>
      <c r="I656" s="3">
        <v>3507</v>
      </c>
      <c r="J656" s="4">
        <v>227.51</v>
      </c>
      <c r="K656" s="3">
        <v>51098</v>
      </c>
      <c r="L656" s="3">
        <v>47315</v>
      </c>
    </row>
    <row r="657" spans="1:12" x14ac:dyDescent="0.25">
      <c r="A657" t="s">
        <v>26</v>
      </c>
      <c r="B657" t="s">
        <v>26</v>
      </c>
      <c r="C657" t="s">
        <v>25</v>
      </c>
      <c r="D657" t="s">
        <v>18</v>
      </c>
      <c r="E657" s="2">
        <v>45505</v>
      </c>
      <c r="F657" s="3">
        <v>102725</v>
      </c>
      <c r="G657" s="3">
        <v>67620</v>
      </c>
      <c r="H657" s="3">
        <v>35105</v>
      </c>
      <c r="I657" s="3">
        <v>3775</v>
      </c>
      <c r="J657" s="4">
        <v>229.1</v>
      </c>
      <c r="K657" s="3">
        <v>56029</v>
      </c>
      <c r="L657" s="3">
        <v>46696</v>
      </c>
    </row>
    <row r="658" spans="1:12" x14ac:dyDescent="0.25">
      <c r="A658" t="s">
        <v>26</v>
      </c>
      <c r="B658" t="s">
        <v>26</v>
      </c>
      <c r="C658" t="s">
        <v>25</v>
      </c>
      <c r="D658" t="s">
        <v>18</v>
      </c>
      <c r="E658" s="2">
        <v>45536</v>
      </c>
      <c r="F658" s="3">
        <v>118647</v>
      </c>
      <c r="G658" s="3">
        <v>79215</v>
      </c>
      <c r="H658" s="3">
        <v>39432</v>
      </c>
      <c r="I658" s="3">
        <v>4447</v>
      </c>
      <c r="J658" s="4">
        <v>216.11</v>
      </c>
      <c r="K658" s="3">
        <v>63687</v>
      </c>
      <c r="L658" s="3">
        <v>54960</v>
      </c>
    </row>
    <row r="659" spans="1:12" x14ac:dyDescent="0.25">
      <c r="A659" t="s">
        <v>26</v>
      </c>
      <c r="B659" t="s">
        <v>26</v>
      </c>
      <c r="C659" t="s">
        <v>25</v>
      </c>
      <c r="D659" t="s">
        <v>18</v>
      </c>
      <c r="E659" s="2">
        <v>45566</v>
      </c>
      <c r="F659" s="3">
        <v>108787</v>
      </c>
      <c r="G659" s="3">
        <v>70799</v>
      </c>
      <c r="H659" s="3">
        <v>37988</v>
      </c>
      <c r="I659" s="3">
        <v>3940</v>
      </c>
      <c r="J659" s="4">
        <v>216.36</v>
      </c>
      <c r="K659" s="3">
        <v>58408</v>
      </c>
      <c r="L659" s="3">
        <v>50379</v>
      </c>
    </row>
    <row r="660" spans="1:12" x14ac:dyDescent="0.25">
      <c r="A660" t="s">
        <v>26</v>
      </c>
      <c r="B660" t="s">
        <v>26</v>
      </c>
      <c r="C660" t="s">
        <v>25</v>
      </c>
      <c r="D660" t="s">
        <v>18</v>
      </c>
      <c r="E660" s="2">
        <v>45597</v>
      </c>
      <c r="F660" s="3">
        <v>116499</v>
      </c>
      <c r="G660" s="3">
        <v>75385</v>
      </c>
      <c r="H660" s="3">
        <v>41114</v>
      </c>
      <c r="I660" s="3">
        <v>4247</v>
      </c>
      <c r="J660" s="4">
        <v>212.58</v>
      </c>
      <c r="K660" s="3">
        <v>62958</v>
      </c>
      <c r="L660" s="3">
        <v>53541</v>
      </c>
    </row>
    <row r="661" spans="1:12" x14ac:dyDescent="0.25">
      <c r="A661" t="s">
        <v>26</v>
      </c>
      <c r="B661" t="s">
        <v>26</v>
      </c>
      <c r="C661" t="s">
        <v>25</v>
      </c>
      <c r="D661" t="s">
        <v>18</v>
      </c>
      <c r="E661" s="2">
        <v>45627</v>
      </c>
      <c r="F661" s="3">
        <v>106528</v>
      </c>
      <c r="G661" s="3">
        <v>70365</v>
      </c>
      <c r="H661" s="3">
        <v>36163</v>
      </c>
      <c r="I661" s="3">
        <v>3792</v>
      </c>
      <c r="J661" s="4">
        <v>213.23</v>
      </c>
      <c r="K661" s="3">
        <v>56967</v>
      </c>
      <c r="L661" s="3">
        <v>49561</v>
      </c>
    </row>
    <row r="662" spans="1:12" x14ac:dyDescent="0.25">
      <c r="A662" t="s">
        <v>26</v>
      </c>
      <c r="B662" t="s">
        <v>26</v>
      </c>
      <c r="C662" t="s">
        <v>25</v>
      </c>
      <c r="D662" t="s">
        <v>18</v>
      </c>
      <c r="E662" s="2">
        <v>45658</v>
      </c>
      <c r="F662" s="3">
        <v>102844</v>
      </c>
      <c r="G662" s="3">
        <v>68907</v>
      </c>
      <c r="H662" s="3">
        <v>33937</v>
      </c>
      <c r="I662" s="3">
        <v>3866</v>
      </c>
      <c r="J662" s="4">
        <v>215.97</v>
      </c>
      <c r="K662" s="3">
        <v>53803</v>
      </c>
      <c r="L662" s="3">
        <v>49041</v>
      </c>
    </row>
    <row r="663" spans="1:12" x14ac:dyDescent="0.25">
      <c r="A663" t="s">
        <v>26</v>
      </c>
      <c r="B663" t="s">
        <v>26</v>
      </c>
      <c r="C663" t="s">
        <v>25</v>
      </c>
      <c r="D663" t="s">
        <v>18</v>
      </c>
      <c r="E663" s="2">
        <v>45689</v>
      </c>
      <c r="F663" s="3">
        <v>109084</v>
      </c>
      <c r="G663" s="3">
        <v>70653</v>
      </c>
      <c r="H663" s="3">
        <v>38431</v>
      </c>
      <c r="I663" s="3">
        <v>4091</v>
      </c>
      <c r="J663" s="4">
        <v>222.42</v>
      </c>
      <c r="K663" s="3">
        <v>60336</v>
      </c>
      <c r="L663" s="3">
        <v>48748</v>
      </c>
    </row>
    <row r="664" spans="1:12" x14ac:dyDescent="0.25">
      <c r="A664" t="s">
        <v>26</v>
      </c>
      <c r="B664" t="s">
        <v>26</v>
      </c>
      <c r="C664" t="s">
        <v>25</v>
      </c>
      <c r="D664" t="s">
        <v>18</v>
      </c>
      <c r="E664" s="2">
        <v>45717</v>
      </c>
      <c r="F664" s="3">
        <v>96891</v>
      </c>
      <c r="G664" s="3">
        <v>65370</v>
      </c>
      <c r="H664" s="3">
        <v>31521</v>
      </c>
      <c r="I664" s="3">
        <v>3546</v>
      </c>
      <c r="J664" s="4">
        <v>223.31</v>
      </c>
      <c r="K664" s="3">
        <v>52577</v>
      </c>
      <c r="L664" s="3">
        <v>44314</v>
      </c>
    </row>
    <row r="665" spans="1:12" x14ac:dyDescent="0.25">
      <c r="A665" t="s">
        <v>26</v>
      </c>
      <c r="B665" t="s">
        <v>26</v>
      </c>
      <c r="C665" t="s">
        <v>25</v>
      </c>
      <c r="D665" t="s">
        <v>18</v>
      </c>
      <c r="E665" s="2">
        <v>45748</v>
      </c>
      <c r="F665" s="3">
        <v>100867</v>
      </c>
      <c r="G665" s="3">
        <v>65780</v>
      </c>
      <c r="H665" s="3">
        <v>35087</v>
      </c>
      <c r="I665" s="3">
        <v>3584</v>
      </c>
      <c r="J665" s="4">
        <v>227.05</v>
      </c>
      <c r="K665" s="3">
        <v>53949</v>
      </c>
      <c r="L665" s="3">
        <v>46918</v>
      </c>
    </row>
    <row r="666" spans="1:12" x14ac:dyDescent="0.25">
      <c r="A666" t="s">
        <v>26</v>
      </c>
      <c r="B666" t="s">
        <v>26</v>
      </c>
      <c r="C666" t="s">
        <v>25</v>
      </c>
      <c r="D666" t="s">
        <v>18</v>
      </c>
      <c r="E666" s="2">
        <v>45778</v>
      </c>
      <c r="F666" s="3">
        <v>105708</v>
      </c>
      <c r="G666" s="3">
        <v>71375</v>
      </c>
      <c r="H666" s="3">
        <v>34333</v>
      </c>
      <c r="I666" s="3">
        <v>3778</v>
      </c>
      <c r="J666" s="4">
        <v>225.93</v>
      </c>
      <c r="K666" s="3">
        <v>57227</v>
      </c>
      <c r="L666" s="3">
        <v>48481</v>
      </c>
    </row>
    <row r="667" spans="1:12" x14ac:dyDescent="0.25">
      <c r="A667" t="s">
        <v>26</v>
      </c>
      <c r="B667" t="s">
        <v>26</v>
      </c>
      <c r="C667" t="s">
        <v>25</v>
      </c>
      <c r="D667" t="s">
        <v>18</v>
      </c>
      <c r="E667" s="2">
        <v>45809</v>
      </c>
      <c r="F667" s="3">
        <v>113270</v>
      </c>
      <c r="G667" s="3">
        <v>73795</v>
      </c>
      <c r="H667" s="3">
        <v>39475</v>
      </c>
      <c r="I667" s="3">
        <v>4109</v>
      </c>
      <c r="J667" s="4">
        <v>226.67</v>
      </c>
      <c r="K667" s="3">
        <v>61313</v>
      </c>
      <c r="L667" s="3">
        <v>51957</v>
      </c>
    </row>
    <row r="668" spans="1:12" x14ac:dyDescent="0.25">
      <c r="A668" t="s">
        <v>26</v>
      </c>
      <c r="B668" t="s">
        <v>26</v>
      </c>
      <c r="C668" t="s">
        <v>25</v>
      </c>
      <c r="D668" t="s">
        <v>18</v>
      </c>
      <c r="E668" s="2">
        <v>45839</v>
      </c>
      <c r="F668" s="3">
        <v>110108</v>
      </c>
      <c r="G668" s="3">
        <v>73389</v>
      </c>
      <c r="H668" s="3">
        <v>36719</v>
      </c>
      <c r="I668" s="3">
        <v>3796</v>
      </c>
      <c r="J668" s="4">
        <v>231.62</v>
      </c>
      <c r="K668" s="3">
        <v>59844</v>
      </c>
      <c r="L668" s="3">
        <v>50264</v>
      </c>
    </row>
    <row r="669" spans="1:12" x14ac:dyDescent="0.25">
      <c r="A669" t="s">
        <v>26</v>
      </c>
      <c r="B669" t="s">
        <v>26</v>
      </c>
      <c r="C669" t="s">
        <v>25</v>
      </c>
      <c r="D669" t="s">
        <v>18</v>
      </c>
      <c r="E669" s="2">
        <v>45870</v>
      </c>
      <c r="F669" s="3">
        <v>116205</v>
      </c>
      <c r="G669" s="3">
        <v>77927</v>
      </c>
      <c r="H669" s="3">
        <v>38278</v>
      </c>
      <c r="I669" s="3">
        <v>4055</v>
      </c>
      <c r="J669" s="4">
        <v>216.63</v>
      </c>
      <c r="K669" s="3">
        <v>63053</v>
      </c>
      <c r="L669" s="3">
        <v>53152</v>
      </c>
    </row>
    <row r="670" spans="1:12" x14ac:dyDescent="0.25">
      <c r="A670" t="s">
        <v>26</v>
      </c>
      <c r="B670" t="s">
        <v>26</v>
      </c>
      <c r="C670" t="s">
        <v>25</v>
      </c>
      <c r="D670" t="s">
        <v>18</v>
      </c>
      <c r="E670" s="2">
        <v>45901</v>
      </c>
      <c r="F670" s="3">
        <v>120545</v>
      </c>
      <c r="G670" s="3">
        <v>80431</v>
      </c>
      <c r="H670" s="3">
        <v>40114</v>
      </c>
      <c r="I670" s="3">
        <v>4239</v>
      </c>
      <c r="J670" s="4">
        <v>223.65</v>
      </c>
      <c r="K670" s="3">
        <v>65481</v>
      </c>
      <c r="L670" s="3">
        <v>55064</v>
      </c>
    </row>
    <row r="671" spans="1:12" x14ac:dyDescent="0.25">
      <c r="A671" t="s">
        <v>26</v>
      </c>
      <c r="B671" t="s">
        <v>26</v>
      </c>
      <c r="C671" t="s">
        <v>25</v>
      </c>
      <c r="D671" t="s">
        <v>18</v>
      </c>
      <c r="E671" s="2">
        <v>45931</v>
      </c>
      <c r="F671" s="3">
        <v>132096</v>
      </c>
      <c r="G671" s="3">
        <v>88436</v>
      </c>
      <c r="H671" s="3">
        <v>43660</v>
      </c>
      <c r="I671" s="3">
        <v>4703</v>
      </c>
      <c r="J671" s="4">
        <v>224.83</v>
      </c>
      <c r="K671" s="3">
        <v>72606</v>
      </c>
      <c r="L671" s="3">
        <v>59490</v>
      </c>
    </row>
    <row r="672" spans="1:12" x14ac:dyDescent="0.25">
      <c r="A672" t="s">
        <v>26</v>
      </c>
      <c r="B672" t="s">
        <v>26</v>
      </c>
      <c r="C672" t="s">
        <v>25</v>
      </c>
      <c r="D672" t="s">
        <v>18</v>
      </c>
      <c r="E672" s="2">
        <v>45962</v>
      </c>
      <c r="F672" s="3">
        <v>129736</v>
      </c>
      <c r="G672" s="3">
        <v>87109</v>
      </c>
      <c r="H672" s="3">
        <v>42627</v>
      </c>
      <c r="I672" s="3">
        <v>4582</v>
      </c>
      <c r="J672" s="4">
        <v>217.8</v>
      </c>
      <c r="K672" s="3">
        <v>70060</v>
      </c>
      <c r="L672" s="3">
        <v>59676</v>
      </c>
    </row>
    <row r="673" spans="1:12" x14ac:dyDescent="0.25">
      <c r="A673" t="s">
        <v>26</v>
      </c>
      <c r="B673" t="s">
        <v>26</v>
      </c>
      <c r="C673" t="s">
        <v>25</v>
      </c>
      <c r="D673" t="s">
        <v>18</v>
      </c>
      <c r="E673" s="2">
        <v>45992</v>
      </c>
      <c r="F673" s="3">
        <v>131153</v>
      </c>
      <c r="G673" s="3">
        <v>85443</v>
      </c>
      <c r="H673" s="3">
        <v>45710</v>
      </c>
      <c r="I673" s="3">
        <v>4770</v>
      </c>
      <c r="J673" s="4">
        <v>225.46</v>
      </c>
      <c r="K673" s="3">
        <v>71456</v>
      </c>
      <c r="L673" s="3">
        <v>59697</v>
      </c>
    </row>
    <row r="674" spans="1:12" x14ac:dyDescent="0.25">
      <c r="A674" t="s">
        <v>26</v>
      </c>
      <c r="B674" t="s">
        <v>26</v>
      </c>
      <c r="C674" t="s">
        <v>25</v>
      </c>
      <c r="D674" t="s">
        <v>19</v>
      </c>
      <c r="E674" s="2">
        <v>45292</v>
      </c>
      <c r="F674" s="3">
        <v>83647</v>
      </c>
      <c r="G674" s="3">
        <v>53130</v>
      </c>
      <c r="H674" s="3">
        <v>30517</v>
      </c>
      <c r="I674" s="3">
        <v>3320</v>
      </c>
      <c r="J674" s="4">
        <v>130.57</v>
      </c>
      <c r="K674" s="3">
        <v>44696</v>
      </c>
      <c r="L674" s="3">
        <v>38951</v>
      </c>
    </row>
    <row r="675" spans="1:12" x14ac:dyDescent="0.25">
      <c r="A675" t="s">
        <v>26</v>
      </c>
      <c r="B675" t="s">
        <v>26</v>
      </c>
      <c r="C675" t="s">
        <v>25</v>
      </c>
      <c r="D675" t="s">
        <v>19</v>
      </c>
      <c r="E675" s="2">
        <v>45323</v>
      </c>
      <c r="F675" s="3">
        <v>80600</v>
      </c>
      <c r="G675" s="3">
        <v>50765</v>
      </c>
      <c r="H675" s="3">
        <v>29835</v>
      </c>
      <c r="I675" s="3">
        <v>3444</v>
      </c>
      <c r="J675" s="4">
        <v>129.33000000000001</v>
      </c>
      <c r="K675" s="3">
        <v>44134</v>
      </c>
      <c r="L675" s="3">
        <v>36466</v>
      </c>
    </row>
    <row r="676" spans="1:12" x14ac:dyDescent="0.25">
      <c r="A676" t="s">
        <v>26</v>
      </c>
      <c r="B676" t="s">
        <v>26</v>
      </c>
      <c r="C676" t="s">
        <v>25</v>
      </c>
      <c r="D676" t="s">
        <v>19</v>
      </c>
      <c r="E676" s="2">
        <v>45352</v>
      </c>
      <c r="F676" s="3">
        <v>79776</v>
      </c>
      <c r="G676" s="3">
        <v>50454</v>
      </c>
      <c r="H676" s="3">
        <v>29322</v>
      </c>
      <c r="I676" s="3">
        <v>3432</v>
      </c>
      <c r="J676" s="4">
        <v>126.4</v>
      </c>
      <c r="K676" s="3">
        <v>41819</v>
      </c>
      <c r="L676" s="3">
        <v>37957</v>
      </c>
    </row>
    <row r="677" spans="1:12" x14ac:dyDescent="0.25">
      <c r="A677" t="s">
        <v>26</v>
      </c>
      <c r="B677" t="s">
        <v>26</v>
      </c>
      <c r="C677" t="s">
        <v>25</v>
      </c>
      <c r="D677" t="s">
        <v>19</v>
      </c>
      <c r="E677" s="2">
        <v>45383</v>
      </c>
      <c r="F677" s="3">
        <v>80319</v>
      </c>
      <c r="G677" s="3">
        <v>49727</v>
      </c>
      <c r="H677" s="3">
        <v>30592</v>
      </c>
      <c r="I677" s="3">
        <v>3281</v>
      </c>
      <c r="J677" s="4">
        <v>123.14</v>
      </c>
      <c r="K677" s="3">
        <v>43552</v>
      </c>
      <c r="L677" s="3">
        <v>36767</v>
      </c>
    </row>
    <row r="678" spans="1:12" x14ac:dyDescent="0.25">
      <c r="A678" t="s">
        <v>26</v>
      </c>
      <c r="B678" t="s">
        <v>26</v>
      </c>
      <c r="C678" t="s">
        <v>25</v>
      </c>
      <c r="D678" t="s">
        <v>19</v>
      </c>
      <c r="E678" s="2">
        <v>45413</v>
      </c>
      <c r="F678" s="3">
        <v>85938</v>
      </c>
      <c r="G678" s="3">
        <v>53365</v>
      </c>
      <c r="H678" s="3">
        <v>32573</v>
      </c>
      <c r="I678" s="3">
        <v>3544</v>
      </c>
      <c r="J678" s="4">
        <v>122.07</v>
      </c>
      <c r="K678" s="3">
        <v>47108</v>
      </c>
      <c r="L678" s="3">
        <v>38830</v>
      </c>
    </row>
    <row r="679" spans="1:12" x14ac:dyDescent="0.25">
      <c r="A679" t="s">
        <v>26</v>
      </c>
      <c r="B679" t="s">
        <v>26</v>
      </c>
      <c r="C679" t="s">
        <v>25</v>
      </c>
      <c r="D679" t="s">
        <v>19</v>
      </c>
      <c r="E679" s="2">
        <v>45444</v>
      </c>
      <c r="F679" s="3">
        <v>82752</v>
      </c>
      <c r="G679" s="3">
        <v>51712</v>
      </c>
      <c r="H679" s="3">
        <v>31040</v>
      </c>
      <c r="I679" s="3">
        <v>3480</v>
      </c>
      <c r="J679" s="4">
        <v>132.93</v>
      </c>
      <c r="K679" s="3">
        <v>43927</v>
      </c>
      <c r="L679" s="3">
        <v>38825</v>
      </c>
    </row>
    <row r="680" spans="1:12" x14ac:dyDescent="0.25">
      <c r="A680" t="s">
        <v>26</v>
      </c>
      <c r="B680" t="s">
        <v>26</v>
      </c>
      <c r="C680" t="s">
        <v>25</v>
      </c>
      <c r="D680" t="s">
        <v>19</v>
      </c>
      <c r="E680" s="2">
        <v>45474</v>
      </c>
      <c r="F680" s="3">
        <v>92012</v>
      </c>
      <c r="G680" s="3">
        <v>57372</v>
      </c>
      <c r="H680" s="3">
        <v>34640</v>
      </c>
      <c r="I680" s="3">
        <v>3858</v>
      </c>
      <c r="J680" s="4">
        <v>126.4</v>
      </c>
      <c r="K680" s="3">
        <v>49020</v>
      </c>
      <c r="L680" s="3">
        <v>42992</v>
      </c>
    </row>
    <row r="681" spans="1:12" x14ac:dyDescent="0.25">
      <c r="A681" t="s">
        <v>26</v>
      </c>
      <c r="B681" t="s">
        <v>26</v>
      </c>
      <c r="C681" t="s">
        <v>25</v>
      </c>
      <c r="D681" t="s">
        <v>19</v>
      </c>
      <c r="E681" s="2">
        <v>45505</v>
      </c>
      <c r="F681" s="3">
        <v>100410</v>
      </c>
      <c r="G681" s="3">
        <v>61462</v>
      </c>
      <c r="H681" s="3">
        <v>38948</v>
      </c>
      <c r="I681" s="3">
        <v>4011</v>
      </c>
      <c r="J681" s="4">
        <v>129.76</v>
      </c>
      <c r="K681" s="3">
        <v>54936</v>
      </c>
      <c r="L681" s="3">
        <v>45474</v>
      </c>
    </row>
    <row r="682" spans="1:12" x14ac:dyDescent="0.25">
      <c r="A682" t="s">
        <v>26</v>
      </c>
      <c r="B682" t="s">
        <v>26</v>
      </c>
      <c r="C682" t="s">
        <v>25</v>
      </c>
      <c r="D682" t="s">
        <v>19</v>
      </c>
      <c r="E682" s="2">
        <v>45536</v>
      </c>
      <c r="F682" s="3">
        <v>105609</v>
      </c>
      <c r="G682" s="3">
        <v>64549</v>
      </c>
      <c r="H682" s="3">
        <v>41060</v>
      </c>
      <c r="I682" s="3">
        <v>4457</v>
      </c>
      <c r="J682" s="4">
        <v>131.22</v>
      </c>
      <c r="K682" s="3">
        <v>54590</v>
      </c>
      <c r="L682" s="3">
        <v>51019</v>
      </c>
    </row>
    <row r="683" spans="1:12" x14ac:dyDescent="0.25">
      <c r="A683" t="s">
        <v>26</v>
      </c>
      <c r="B683" t="s">
        <v>26</v>
      </c>
      <c r="C683" t="s">
        <v>25</v>
      </c>
      <c r="D683" t="s">
        <v>19</v>
      </c>
      <c r="E683" s="2">
        <v>45566</v>
      </c>
      <c r="F683" s="3">
        <v>108914</v>
      </c>
      <c r="G683" s="3">
        <v>68107</v>
      </c>
      <c r="H683" s="3">
        <v>40807</v>
      </c>
      <c r="I683" s="3">
        <v>4460</v>
      </c>
      <c r="J683" s="4">
        <v>123.17</v>
      </c>
      <c r="K683" s="3">
        <v>59097</v>
      </c>
      <c r="L683" s="3">
        <v>49817</v>
      </c>
    </row>
    <row r="684" spans="1:12" x14ac:dyDescent="0.25">
      <c r="A684" t="s">
        <v>26</v>
      </c>
      <c r="B684" t="s">
        <v>26</v>
      </c>
      <c r="C684" t="s">
        <v>25</v>
      </c>
      <c r="D684" t="s">
        <v>19</v>
      </c>
      <c r="E684" s="2">
        <v>45597</v>
      </c>
      <c r="F684" s="3">
        <v>110400</v>
      </c>
      <c r="G684" s="3">
        <v>67591</v>
      </c>
      <c r="H684" s="3">
        <v>42809</v>
      </c>
      <c r="I684" s="3">
        <v>4619</v>
      </c>
      <c r="J684" s="4">
        <v>123.91</v>
      </c>
      <c r="K684" s="3">
        <v>58863</v>
      </c>
      <c r="L684" s="3">
        <v>51537</v>
      </c>
    </row>
    <row r="685" spans="1:12" x14ac:dyDescent="0.25">
      <c r="A685" t="s">
        <v>26</v>
      </c>
      <c r="B685" t="s">
        <v>26</v>
      </c>
      <c r="C685" t="s">
        <v>25</v>
      </c>
      <c r="D685" t="s">
        <v>19</v>
      </c>
      <c r="E685" s="2">
        <v>45627</v>
      </c>
      <c r="F685" s="3">
        <v>98899</v>
      </c>
      <c r="G685" s="3">
        <v>60774</v>
      </c>
      <c r="H685" s="3">
        <v>38125</v>
      </c>
      <c r="I685" s="3">
        <v>4316</v>
      </c>
      <c r="J685" s="4">
        <v>125.42</v>
      </c>
      <c r="K685" s="3">
        <v>53272</v>
      </c>
      <c r="L685" s="3">
        <v>45627</v>
      </c>
    </row>
    <row r="686" spans="1:12" x14ac:dyDescent="0.25">
      <c r="A686" t="s">
        <v>26</v>
      </c>
      <c r="B686" t="s">
        <v>26</v>
      </c>
      <c r="C686" t="s">
        <v>25</v>
      </c>
      <c r="D686" t="s">
        <v>19</v>
      </c>
      <c r="E686" s="2">
        <v>45658</v>
      </c>
      <c r="F686" s="3">
        <v>95051</v>
      </c>
      <c r="G686" s="3">
        <v>58987</v>
      </c>
      <c r="H686" s="3">
        <v>36064</v>
      </c>
      <c r="I686" s="3">
        <v>4108</v>
      </c>
      <c r="J686" s="4">
        <v>131.6</v>
      </c>
      <c r="K686" s="3">
        <v>48480</v>
      </c>
      <c r="L686" s="3">
        <v>46571</v>
      </c>
    </row>
    <row r="687" spans="1:12" x14ac:dyDescent="0.25">
      <c r="A687" t="s">
        <v>26</v>
      </c>
      <c r="B687" t="s">
        <v>26</v>
      </c>
      <c r="C687" t="s">
        <v>25</v>
      </c>
      <c r="D687" t="s">
        <v>19</v>
      </c>
      <c r="E687" s="2">
        <v>45689</v>
      </c>
      <c r="F687" s="3">
        <v>96642</v>
      </c>
      <c r="G687" s="3">
        <v>60275</v>
      </c>
      <c r="H687" s="3">
        <v>36367</v>
      </c>
      <c r="I687" s="3">
        <v>4108</v>
      </c>
      <c r="J687" s="4">
        <v>122.9</v>
      </c>
      <c r="K687" s="3">
        <v>49489</v>
      </c>
      <c r="L687" s="3">
        <v>47153</v>
      </c>
    </row>
    <row r="688" spans="1:12" x14ac:dyDescent="0.25">
      <c r="A688" t="s">
        <v>26</v>
      </c>
      <c r="B688" t="s">
        <v>26</v>
      </c>
      <c r="C688" t="s">
        <v>25</v>
      </c>
      <c r="D688" t="s">
        <v>19</v>
      </c>
      <c r="E688" s="2">
        <v>45717</v>
      </c>
      <c r="F688" s="3">
        <v>90893</v>
      </c>
      <c r="G688" s="3">
        <v>55728</v>
      </c>
      <c r="H688" s="3">
        <v>35165</v>
      </c>
      <c r="I688" s="3">
        <v>3895</v>
      </c>
      <c r="J688" s="4">
        <v>122.03</v>
      </c>
      <c r="K688" s="3">
        <v>48583</v>
      </c>
      <c r="L688" s="3">
        <v>42310</v>
      </c>
    </row>
    <row r="689" spans="1:12" x14ac:dyDescent="0.25">
      <c r="A689" t="s">
        <v>26</v>
      </c>
      <c r="B689" t="s">
        <v>26</v>
      </c>
      <c r="C689" t="s">
        <v>25</v>
      </c>
      <c r="D689" t="s">
        <v>19</v>
      </c>
      <c r="E689" s="2">
        <v>45748</v>
      </c>
      <c r="F689" s="3">
        <v>98640</v>
      </c>
      <c r="G689" s="3">
        <v>61040</v>
      </c>
      <c r="H689" s="3">
        <v>37600</v>
      </c>
      <c r="I689" s="3">
        <v>4118</v>
      </c>
      <c r="J689" s="4">
        <v>126.25</v>
      </c>
      <c r="K689" s="3">
        <v>51665</v>
      </c>
      <c r="L689" s="3">
        <v>46975</v>
      </c>
    </row>
    <row r="690" spans="1:12" x14ac:dyDescent="0.25">
      <c r="A690" t="s">
        <v>26</v>
      </c>
      <c r="B690" t="s">
        <v>26</v>
      </c>
      <c r="C690" t="s">
        <v>25</v>
      </c>
      <c r="D690" t="s">
        <v>19</v>
      </c>
      <c r="E690" s="2">
        <v>45778</v>
      </c>
      <c r="F690" s="3">
        <v>96501</v>
      </c>
      <c r="G690" s="3">
        <v>59723</v>
      </c>
      <c r="H690" s="3">
        <v>36778</v>
      </c>
      <c r="I690" s="3">
        <v>4232</v>
      </c>
      <c r="J690" s="4">
        <v>125.83</v>
      </c>
      <c r="K690" s="3">
        <v>50304</v>
      </c>
      <c r="L690" s="3">
        <v>46197</v>
      </c>
    </row>
    <row r="691" spans="1:12" x14ac:dyDescent="0.25">
      <c r="A691" t="s">
        <v>26</v>
      </c>
      <c r="B691" t="s">
        <v>26</v>
      </c>
      <c r="C691" t="s">
        <v>25</v>
      </c>
      <c r="D691" t="s">
        <v>19</v>
      </c>
      <c r="E691" s="2">
        <v>45809</v>
      </c>
      <c r="F691" s="3">
        <v>106562</v>
      </c>
      <c r="G691" s="3">
        <v>67213</v>
      </c>
      <c r="H691" s="3">
        <v>39349</v>
      </c>
      <c r="I691" s="3">
        <v>4607</v>
      </c>
      <c r="J691" s="4">
        <v>124.3</v>
      </c>
      <c r="K691" s="3">
        <v>57483</v>
      </c>
      <c r="L691" s="3">
        <v>49079</v>
      </c>
    </row>
    <row r="692" spans="1:12" x14ac:dyDescent="0.25">
      <c r="A692" t="s">
        <v>26</v>
      </c>
      <c r="B692" t="s">
        <v>26</v>
      </c>
      <c r="C692" t="s">
        <v>25</v>
      </c>
      <c r="D692" t="s">
        <v>19</v>
      </c>
      <c r="E692" s="2">
        <v>45839</v>
      </c>
      <c r="F692" s="3">
        <v>102443</v>
      </c>
      <c r="G692" s="3">
        <v>63659</v>
      </c>
      <c r="H692" s="3">
        <v>38784</v>
      </c>
      <c r="I692" s="3">
        <v>4092</v>
      </c>
      <c r="J692" s="4">
        <v>124.08</v>
      </c>
      <c r="K692" s="3">
        <v>55041</v>
      </c>
      <c r="L692" s="3">
        <v>47402</v>
      </c>
    </row>
    <row r="693" spans="1:12" x14ac:dyDescent="0.25">
      <c r="A693" t="s">
        <v>26</v>
      </c>
      <c r="B693" t="s">
        <v>26</v>
      </c>
      <c r="C693" t="s">
        <v>25</v>
      </c>
      <c r="D693" t="s">
        <v>19</v>
      </c>
      <c r="E693" s="2">
        <v>45870</v>
      </c>
      <c r="F693" s="3">
        <v>112699</v>
      </c>
      <c r="G693" s="3">
        <v>68918</v>
      </c>
      <c r="H693" s="3">
        <v>43781</v>
      </c>
      <c r="I693" s="3">
        <v>4848</v>
      </c>
      <c r="J693" s="4">
        <v>125.39</v>
      </c>
      <c r="K693" s="3">
        <v>61631</v>
      </c>
      <c r="L693" s="3">
        <v>51068</v>
      </c>
    </row>
    <row r="694" spans="1:12" x14ac:dyDescent="0.25">
      <c r="A694" t="s">
        <v>26</v>
      </c>
      <c r="B694" t="s">
        <v>26</v>
      </c>
      <c r="C694" t="s">
        <v>25</v>
      </c>
      <c r="D694" t="s">
        <v>19</v>
      </c>
      <c r="E694" s="2">
        <v>45901</v>
      </c>
      <c r="F694" s="3">
        <v>120403</v>
      </c>
      <c r="G694" s="3">
        <v>75719</v>
      </c>
      <c r="H694" s="3">
        <v>44684</v>
      </c>
      <c r="I694" s="3">
        <v>4913</v>
      </c>
      <c r="J694" s="4">
        <v>122.86</v>
      </c>
      <c r="K694" s="3">
        <v>61260</v>
      </c>
      <c r="L694" s="3">
        <v>59143</v>
      </c>
    </row>
    <row r="695" spans="1:12" x14ac:dyDescent="0.25">
      <c r="A695" t="s">
        <v>26</v>
      </c>
      <c r="B695" t="s">
        <v>26</v>
      </c>
      <c r="C695" t="s">
        <v>25</v>
      </c>
      <c r="D695" t="s">
        <v>19</v>
      </c>
      <c r="E695" s="2">
        <v>45931</v>
      </c>
      <c r="F695" s="3">
        <v>118448</v>
      </c>
      <c r="G695" s="3">
        <v>73796</v>
      </c>
      <c r="H695" s="3">
        <v>44652</v>
      </c>
      <c r="I695" s="3">
        <v>5008</v>
      </c>
      <c r="J695" s="4">
        <v>128.38999999999999</v>
      </c>
      <c r="K695" s="3">
        <v>64457</v>
      </c>
      <c r="L695" s="3">
        <v>53991</v>
      </c>
    </row>
    <row r="696" spans="1:12" x14ac:dyDescent="0.25">
      <c r="A696" t="s">
        <v>26</v>
      </c>
      <c r="B696" t="s">
        <v>26</v>
      </c>
      <c r="C696" t="s">
        <v>25</v>
      </c>
      <c r="D696" t="s">
        <v>19</v>
      </c>
      <c r="E696" s="2">
        <v>45962</v>
      </c>
      <c r="F696" s="3">
        <v>128295</v>
      </c>
      <c r="G696" s="3">
        <v>81069</v>
      </c>
      <c r="H696" s="3">
        <v>47226</v>
      </c>
      <c r="I696" s="3">
        <v>5255</v>
      </c>
      <c r="J696" s="4">
        <v>133.74</v>
      </c>
      <c r="K696" s="3">
        <v>67176</v>
      </c>
      <c r="L696" s="3">
        <v>61119</v>
      </c>
    </row>
    <row r="697" spans="1:12" x14ac:dyDescent="0.25">
      <c r="A697" t="s">
        <v>26</v>
      </c>
      <c r="B697" t="s">
        <v>26</v>
      </c>
      <c r="C697" t="s">
        <v>25</v>
      </c>
      <c r="D697" t="s">
        <v>19</v>
      </c>
      <c r="E697" s="2">
        <v>45992</v>
      </c>
      <c r="F697" s="3">
        <v>118256</v>
      </c>
      <c r="G697" s="3">
        <v>72999</v>
      </c>
      <c r="H697" s="3">
        <v>45257</v>
      </c>
      <c r="I697" s="3">
        <v>4780</v>
      </c>
      <c r="J697" s="4">
        <v>126.71</v>
      </c>
      <c r="K697" s="3">
        <v>60896</v>
      </c>
      <c r="L697" s="3">
        <v>57360</v>
      </c>
    </row>
    <row r="698" spans="1:12" x14ac:dyDescent="0.25">
      <c r="A698" t="s">
        <v>26</v>
      </c>
      <c r="B698" t="s">
        <v>26</v>
      </c>
      <c r="C698" t="s">
        <v>25</v>
      </c>
      <c r="D698" t="s">
        <v>20</v>
      </c>
      <c r="E698" s="2">
        <v>45292</v>
      </c>
      <c r="F698" s="3">
        <v>68546</v>
      </c>
      <c r="G698" s="3">
        <v>49161</v>
      </c>
      <c r="H698" s="3">
        <v>19385</v>
      </c>
      <c r="I698" s="3">
        <v>1636</v>
      </c>
      <c r="J698" s="4">
        <v>418.54</v>
      </c>
      <c r="K698" s="3">
        <v>36044</v>
      </c>
      <c r="L698" s="3">
        <v>32502</v>
      </c>
    </row>
    <row r="699" spans="1:12" x14ac:dyDescent="0.25">
      <c r="A699" t="s">
        <v>26</v>
      </c>
      <c r="B699" t="s">
        <v>26</v>
      </c>
      <c r="C699" t="s">
        <v>25</v>
      </c>
      <c r="D699" t="s">
        <v>20</v>
      </c>
      <c r="E699" s="2">
        <v>45323</v>
      </c>
      <c r="F699" s="3">
        <v>66725</v>
      </c>
      <c r="G699" s="3">
        <v>49715</v>
      </c>
      <c r="H699" s="3">
        <v>17010</v>
      </c>
      <c r="I699" s="3">
        <v>1538</v>
      </c>
      <c r="J699" s="4">
        <v>396.74</v>
      </c>
      <c r="K699" s="3">
        <v>34371</v>
      </c>
      <c r="L699" s="3">
        <v>32354</v>
      </c>
    </row>
    <row r="700" spans="1:12" x14ac:dyDescent="0.25">
      <c r="A700" t="s">
        <v>26</v>
      </c>
      <c r="B700" t="s">
        <v>26</v>
      </c>
      <c r="C700" t="s">
        <v>25</v>
      </c>
      <c r="D700" t="s">
        <v>20</v>
      </c>
      <c r="E700" s="2">
        <v>45352</v>
      </c>
      <c r="F700" s="3">
        <v>68126</v>
      </c>
      <c r="G700" s="3">
        <v>50576</v>
      </c>
      <c r="H700" s="3">
        <v>17550</v>
      </c>
      <c r="I700" s="3">
        <v>1632</v>
      </c>
      <c r="J700" s="4">
        <v>400.78</v>
      </c>
      <c r="K700" s="3">
        <v>35683</v>
      </c>
      <c r="L700" s="3">
        <v>32443</v>
      </c>
    </row>
    <row r="701" spans="1:12" x14ac:dyDescent="0.25">
      <c r="A701" t="s">
        <v>26</v>
      </c>
      <c r="B701" t="s">
        <v>26</v>
      </c>
      <c r="C701" t="s">
        <v>25</v>
      </c>
      <c r="D701" t="s">
        <v>20</v>
      </c>
      <c r="E701" s="2">
        <v>45383</v>
      </c>
      <c r="F701" s="3">
        <v>63490</v>
      </c>
      <c r="G701" s="3">
        <v>45879</v>
      </c>
      <c r="H701" s="3">
        <v>17611</v>
      </c>
      <c r="I701" s="3">
        <v>1507</v>
      </c>
      <c r="J701" s="4">
        <v>407.71</v>
      </c>
      <c r="K701" s="3">
        <v>33361</v>
      </c>
      <c r="L701" s="3">
        <v>30129</v>
      </c>
    </row>
    <row r="702" spans="1:12" x14ac:dyDescent="0.25">
      <c r="A702" t="s">
        <v>26</v>
      </c>
      <c r="B702" t="s">
        <v>26</v>
      </c>
      <c r="C702" t="s">
        <v>25</v>
      </c>
      <c r="D702" t="s">
        <v>20</v>
      </c>
      <c r="E702" s="2">
        <v>45413</v>
      </c>
      <c r="F702" s="3">
        <v>62002</v>
      </c>
      <c r="G702" s="3">
        <v>44981</v>
      </c>
      <c r="H702" s="3">
        <v>17021</v>
      </c>
      <c r="I702" s="3">
        <v>1553</v>
      </c>
      <c r="J702" s="4">
        <v>401.63</v>
      </c>
      <c r="K702" s="3">
        <v>32342</v>
      </c>
      <c r="L702" s="3">
        <v>29660</v>
      </c>
    </row>
    <row r="703" spans="1:12" x14ac:dyDescent="0.25">
      <c r="A703" t="s">
        <v>26</v>
      </c>
      <c r="B703" t="s">
        <v>26</v>
      </c>
      <c r="C703" t="s">
        <v>25</v>
      </c>
      <c r="D703" t="s">
        <v>20</v>
      </c>
      <c r="E703" s="2">
        <v>45444</v>
      </c>
      <c r="F703" s="3">
        <v>72851</v>
      </c>
      <c r="G703" s="3">
        <v>52801</v>
      </c>
      <c r="H703" s="3">
        <v>20050</v>
      </c>
      <c r="I703" s="3">
        <v>1709</v>
      </c>
      <c r="J703" s="4">
        <v>386.48</v>
      </c>
      <c r="K703" s="3">
        <v>37405</v>
      </c>
      <c r="L703" s="3">
        <v>35446</v>
      </c>
    </row>
    <row r="704" spans="1:12" x14ac:dyDescent="0.25">
      <c r="A704" t="s">
        <v>26</v>
      </c>
      <c r="B704" t="s">
        <v>26</v>
      </c>
      <c r="C704" t="s">
        <v>25</v>
      </c>
      <c r="D704" t="s">
        <v>20</v>
      </c>
      <c r="E704" s="2">
        <v>45474</v>
      </c>
      <c r="F704" s="3">
        <v>76495</v>
      </c>
      <c r="G704" s="3">
        <v>57122</v>
      </c>
      <c r="H704" s="3">
        <v>19373</v>
      </c>
      <c r="I704" s="3">
        <v>1887</v>
      </c>
      <c r="J704" s="4">
        <v>421.22</v>
      </c>
      <c r="K704" s="3">
        <v>41186</v>
      </c>
      <c r="L704" s="3">
        <v>35309</v>
      </c>
    </row>
    <row r="705" spans="1:12" x14ac:dyDescent="0.25">
      <c r="A705" t="s">
        <v>26</v>
      </c>
      <c r="B705" t="s">
        <v>26</v>
      </c>
      <c r="C705" t="s">
        <v>25</v>
      </c>
      <c r="D705" t="s">
        <v>20</v>
      </c>
      <c r="E705" s="2">
        <v>45505</v>
      </c>
      <c r="F705" s="3">
        <v>72610</v>
      </c>
      <c r="G705" s="3">
        <v>53361</v>
      </c>
      <c r="H705" s="3">
        <v>19249</v>
      </c>
      <c r="I705" s="3">
        <v>1666</v>
      </c>
      <c r="J705" s="4">
        <v>392.7</v>
      </c>
      <c r="K705" s="3">
        <v>38622</v>
      </c>
      <c r="L705" s="3">
        <v>33988</v>
      </c>
    </row>
    <row r="706" spans="1:12" x14ac:dyDescent="0.25">
      <c r="A706" t="s">
        <v>26</v>
      </c>
      <c r="B706" t="s">
        <v>26</v>
      </c>
      <c r="C706" t="s">
        <v>25</v>
      </c>
      <c r="D706" t="s">
        <v>20</v>
      </c>
      <c r="E706" s="2">
        <v>45536</v>
      </c>
      <c r="F706" s="3">
        <v>80416</v>
      </c>
      <c r="G706" s="3">
        <v>59816</v>
      </c>
      <c r="H706" s="3">
        <v>20600</v>
      </c>
      <c r="I706" s="3">
        <v>1985</v>
      </c>
      <c r="J706" s="4">
        <v>395.82</v>
      </c>
      <c r="K706" s="3">
        <v>43450</v>
      </c>
      <c r="L706" s="3">
        <v>36966</v>
      </c>
    </row>
    <row r="707" spans="1:12" x14ac:dyDescent="0.25">
      <c r="A707" t="s">
        <v>26</v>
      </c>
      <c r="B707" t="s">
        <v>26</v>
      </c>
      <c r="C707" t="s">
        <v>25</v>
      </c>
      <c r="D707" t="s">
        <v>20</v>
      </c>
      <c r="E707" s="2">
        <v>45566</v>
      </c>
      <c r="F707" s="3">
        <v>82762</v>
      </c>
      <c r="G707" s="3">
        <v>61678</v>
      </c>
      <c r="H707" s="3">
        <v>21084</v>
      </c>
      <c r="I707" s="3">
        <v>1927</v>
      </c>
      <c r="J707" s="4">
        <v>400.63</v>
      </c>
      <c r="K707" s="3">
        <v>44855</v>
      </c>
      <c r="L707" s="3">
        <v>37907</v>
      </c>
    </row>
    <row r="708" spans="1:12" x14ac:dyDescent="0.25">
      <c r="A708" t="s">
        <v>26</v>
      </c>
      <c r="B708" t="s">
        <v>26</v>
      </c>
      <c r="C708" t="s">
        <v>25</v>
      </c>
      <c r="D708" t="s">
        <v>20</v>
      </c>
      <c r="E708" s="2">
        <v>45597</v>
      </c>
      <c r="F708" s="3">
        <v>85249</v>
      </c>
      <c r="G708" s="3">
        <v>62824</v>
      </c>
      <c r="H708" s="3">
        <v>22425</v>
      </c>
      <c r="I708" s="3">
        <v>1977</v>
      </c>
      <c r="J708" s="4">
        <v>418.65</v>
      </c>
      <c r="K708" s="3">
        <v>46039</v>
      </c>
      <c r="L708" s="3">
        <v>39210</v>
      </c>
    </row>
    <row r="709" spans="1:12" x14ac:dyDescent="0.25">
      <c r="A709" t="s">
        <v>26</v>
      </c>
      <c r="B709" t="s">
        <v>26</v>
      </c>
      <c r="C709" t="s">
        <v>25</v>
      </c>
      <c r="D709" t="s">
        <v>20</v>
      </c>
      <c r="E709" s="2">
        <v>45627</v>
      </c>
      <c r="F709" s="3">
        <v>81290</v>
      </c>
      <c r="G709" s="3">
        <v>59995</v>
      </c>
      <c r="H709" s="3">
        <v>21295</v>
      </c>
      <c r="I709" s="3">
        <v>2015</v>
      </c>
      <c r="J709" s="4">
        <v>424.22</v>
      </c>
      <c r="K709" s="3">
        <v>44736</v>
      </c>
      <c r="L709" s="3">
        <v>36554</v>
      </c>
    </row>
    <row r="710" spans="1:12" x14ac:dyDescent="0.25">
      <c r="A710" t="s">
        <v>26</v>
      </c>
      <c r="B710" t="s">
        <v>26</v>
      </c>
      <c r="C710" t="s">
        <v>25</v>
      </c>
      <c r="D710" t="s">
        <v>20</v>
      </c>
      <c r="E710" s="2">
        <v>45658</v>
      </c>
      <c r="F710" s="3">
        <v>77143</v>
      </c>
      <c r="G710" s="3">
        <v>55852</v>
      </c>
      <c r="H710" s="3">
        <v>21291</v>
      </c>
      <c r="I710" s="3">
        <v>1759</v>
      </c>
      <c r="J710" s="4">
        <v>393.56</v>
      </c>
      <c r="K710" s="3">
        <v>40325</v>
      </c>
      <c r="L710" s="3">
        <v>36818</v>
      </c>
    </row>
    <row r="711" spans="1:12" x14ac:dyDescent="0.25">
      <c r="A711" t="s">
        <v>26</v>
      </c>
      <c r="B711" t="s">
        <v>26</v>
      </c>
      <c r="C711" t="s">
        <v>25</v>
      </c>
      <c r="D711" t="s">
        <v>20</v>
      </c>
      <c r="E711" s="2">
        <v>45689</v>
      </c>
      <c r="F711" s="3">
        <v>73358</v>
      </c>
      <c r="G711" s="3">
        <v>54404</v>
      </c>
      <c r="H711" s="3">
        <v>18954</v>
      </c>
      <c r="I711" s="3">
        <v>1664</v>
      </c>
      <c r="J711" s="4">
        <v>411.5</v>
      </c>
      <c r="K711" s="3">
        <v>37441</v>
      </c>
      <c r="L711" s="3">
        <v>35917</v>
      </c>
    </row>
    <row r="712" spans="1:12" x14ac:dyDescent="0.25">
      <c r="A712" t="s">
        <v>26</v>
      </c>
      <c r="B712" t="s">
        <v>26</v>
      </c>
      <c r="C712" t="s">
        <v>25</v>
      </c>
      <c r="D712" t="s">
        <v>20</v>
      </c>
      <c r="E712" s="2">
        <v>45717</v>
      </c>
      <c r="F712" s="3">
        <v>73358</v>
      </c>
      <c r="G712" s="3">
        <v>53478</v>
      </c>
      <c r="H712" s="3">
        <v>19880</v>
      </c>
      <c r="I712" s="3">
        <v>1836</v>
      </c>
      <c r="J712" s="4">
        <v>401.14</v>
      </c>
      <c r="K712" s="3">
        <v>38202</v>
      </c>
      <c r="L712" s="3">
        <v>35156</v>
      </c>
    </row>
    <row r="713" spans="1:12" x14ac:dyDescent="0.25">
      <c r="A713" t="s">
        <v>26</v>
      </c>
      <c r="B713" t="s">
        <v>26</v>
      </c>
      <c r="C713" t="s">
        <v>25</v>
      </c>
      <c r="D713" t="s">
        <v>20</v>
      </c>
      <c r="E713" s="2">
        <v>45748</v>
      </c>
      <c r="F713" s="3">
        <v>72896</v>
      </c>
      <c r="G713" s="3">
        <v>52496</v>
      </c>
      <c r="H713" s="3">
        <v>20400</v>
      </c>
      <c r="I713" s="3">
        <v>1727</v>
      </c>
      <c r="J713" s="4">
        <v>404.1</v>
      </c>
      <c r="K713" s="3">
        <v>38112</v>
      </c>
      <c r="L713" s="3">
        <v>34784</v>
      </c>
    </row>
    <row r="714" spans="1:12" x14ac:dyDescent="0.25">
      <c r="A714" t="s">
        <v>26</v>
      </c>
      <c r="B714" t="s">
        <v>26</v>
      </c>
      <c r="C714" t="s">
        <v>25</v>
      </c>
      <c r="D714" t="s">
        <v>20</v>
      </c>
      <c r="E714" s="2">
        <v>45778</v>
      </c>
      <c r="F714" s="3">
        <v>72877</v>
      </c>
      <c r="G714" s="3">
        <v>54235</v>
      </c>
      <c r="H714" s="3">
        <v>18642</v>
      </c>
      <c r="I714" s="3">
        <v>1731</v>
      </c>
      <c r="J714" s="4">
        <v>406.35</v>
      </c>
      <c r="K714" s="3">
        <v>38822</v>
      </c>
      <c r="L714" s="3">
        <v>34055</v>
      </c>
    </row>
    <row r="715" spans="1:12" x14ac:dyDescent="0.25">
      <c r="A715" t="s">
        <v>26</v>
      </c>
      <c r="B715" t="s">
        <v>26</v>
      </c>
      <c r="C715" t="s">
        <v>25</v>
      </c>
      <c r="D715" t="s">
        <v>20</v>
      </c>
      <c r="E715" s="2">
        <v>45809</v>
      </c>
      <c r="F715" s="3">
        <v>76284</v>
      </c>
      <c r="G715" s="3">
        <v>55417</v>
      </c>
      <c r="H715" s="3">
        <v>20867</v>
      </c>
      <c r="I715" s="3">
        <v>1892</v>
      </c>
      <c r="J715" s="4">
        <v>395.09</v>
      </c>
      <c r="K715" s="3">
        <v>41946</v>
      </c>
      <c r="L715" s="3">
        <v>34338</v>
      </c>
    </row>
    <row r="716" spans="1:12" x14ac:dyDescent="0.25">
      <c r="A716" t="s">
        <v>26</v>
      </c>
      <c r="B716" t="s">
        <v>26</v>
      </c>
      <c r="C716" t="s">
        <v>25</v>
      </c>
      <c r="D716" t="s">
        <v>20</v>
      </c>
      <c r="E716" s="2">
        <v>45839</v>
      </c>
      <c r="F716" s="3">
        <v>81942</v>
      </c>
      <c r="G716" s="3">
        <v>60833</v>
      </c>
      <c r="H716" s="3">
        <v>21109</v>
      </c>
      <c r="I716" s="3">
        <v>1868</v>
      </c>
      <c r="J716" s="4">
        <v>389.52</v>
      </c>
      <c r="K716" s="3">
        <v>43290</v>
      </c>
      <c r="L716" s="3">
        <v>38652</v>
      </c>
    </row>
    <row r="717" spans="1:12" x14ac:dyDescent="0.25">
      <c r="A717" t="s">
        <v>26</v>
      </c>
      <c r="B717" t="s">
        <v>26</v>
      </c>
      <c r="C717" t="s">
        <v>25</v>
      </c>
      <c r="D717" t="s">
        <v>20</v>
      </c>
      <c r="E717" s="2">
        <v>45870</v>
      </c>
      <c r="F717" s="3">
        <v>78898</v>
      </c>
      <c r="G717" s="3">
        <v>58759</v>
      </c>
      <c r="H717" s="3">
        <v>20139</v>
      </c>
      <c r="I717" s="3">
        <v>1882</v>
      </c>
      <c r="J717" s="4">
        <v>396.36</v>
      </c>
      <c r="K717" s="3">
        <v>41470</v>
      </c>
      <c r="L717" s="3">
        <v>37428</v>
      </c>
    </row>
    <row r="718" spans="1:12" x14ac:dyDescent="0.25">
      <c r="A718" t="s">
        <v>26</v>
      </c>
      <c r="B718" t="s">
        <v>26</v>
      </c>
      <c r="C718" t="s">
        <v>25</v>
      </c>
      <c r="D718" t="s">
        <v>20</v>
      </c>
      <c r="E718" s="2">
        <v>45901</v>
      </c>
      <c r="F718" s="3">
        <v>82638</v>
      </c>
      <c r="G718" s="3">
        <v>59744</v>
      </c>
      <c r="H718" s="3">
        <v>22894</v>
      </c>
      <c r="I718" s="3">
        <v>1962</v>
      </c>
      <c r="J718" s="4">
        <v>404.13</v>
      </c>
      <c r="K718" s="3">
        <v>42861</v>
      </c>
      <c r="L718" s="3">
        <v>39777</v>
      </c>
    </row>
    <row r="719" spans="1:12" x14ac:dyDescent="0.25">
      <c r="A719" t="s">
        <v>26</v>
      </c>
      <c r="B719" t="s">
        <v>26</v>
      </c>
      <c r="C719" t="s">
        <v>25</v>
      </c>
      <c r="D719" t="s">
        <v>20</v>
      </c>
      <c r="E719" s="2">
        <v>45931</v>
      </c>
      <c r="F719" s="3">
        <v>87301</v>
      </c>
      <c r="G719" s="3">
        <v>64757</v>
      </c>
      <c r="H719" s="3">
        <v>22544</v>
      </c>
      <c r="I719" s="3">
        <v>2155</v>
      </c>
      <c r="J719" s="4">
        <v>391.07</v>
      </c>
      <c r="K719" s="3">
        <v>47832</v>
      </c>
      <c r="L719" s="3">
        <v>39469</v>
      </c>
    </row>
    <row r="720" spans="1:12" x14ac:dyDescent="0.25">
      <c r="A720" t="s">
        <v>26</v>
      </c>
      <c r="B720" t="s">
        <v>26</v>
      </c>
      <c r="C720" t="s">
        <v>25</v>
      </c>
      <c r="D720" t="s">
        <v>20</v>
      </c>
      <c r="E720" s="2">
        <v>45962</v>
      </c>
      <c r="F720" s="3">
        <v>86873</v>
      </c>
      <c r="G720" s="3">
        <v>64077</v>
      </c>
      <c r="H720" s="3">
        <v>22796</v>
      </c>
      <c r="I720" s="3">
        <v>2009</v>
      </c>
      <c r="J720" s="4">
        <v>420.64</v>
      </c>
      <c r="K720" s="3">
        <v>44902</v>
      </c>
      <c r="L720" s="3">
        <v>41971</v>
      </c>
    </row>
    <row r="721" spans="1:12" x14ac:dyDescent="0.25">
      <c r="A721" t="s">
        <v>26</v>
      </c>
      <c r="B721" t="s">
        <v>26</v>
      </c>
      <c r="C721" t="s">
        <v>25</v>
      </c>
      <c r="D721" t="s">
        <v>20</v>
      </c>
      <c r="E721" s="2">
        <v>45992</v>
      </c>
      <c r="F721" s="3">
        <v>87081</v>
      </c>
      <c r="G721" s="3">
        <v>62780</v>
      </c>
      <c r="H721" s="3">
        <v>24301</v>
      </c>
      <c r="I721" s="3">
        <v>2018</v>
      </c>
      <c r="J721" s="4">
        <v>412.08</v>
      </c>
      <c r="K721" s="3">
        <v>46311</v>
      </c>
      <c r="L721" s="3">
        <v>40770</v>
      </c>
    </row>
    <row r="722" spans="1:12" x14ac:dyDescent="0.25">
      <c r="A722" t="s">
        <v>26</v>
      </c>
      <c r="B722" t="s">
        <v>26</v>
      </c>
      <c r="C722" t="s">
        <v>25</v>
      </c>
      <c r="D722" t="s">
        <v>21</v>
      </c>
      <c r="E722" s="2">
        <v>45292</v>
      </c>
      <c r="F722" s="3">
        <v>59637</v>
      </c>
      <c r="G722" s="3">
        <v>34839</v>
      </c>
      <c r="H722" s="3">
        <v>24798</v>
      </c>
      <c r="I722" s="3">
        <v>695</v>
      </c>
      <c r="J722" s="4">
        <v>177.94</v>
      </c>
      <c r="K722" s="3">
        <v>31380</v>
      </c>
      <c r="L722" s="3">
        <v>28257</v>
      </c>
    </row>
    <row r="723" spans="1:12" x14ac:dyDescent="0.25">
      <c r="A723" t="s">
        <v>26</v>
      </c>
      <c r="B723" t="s">
        <v>26</v>
      </c>
      <c r="C723" t="s">
        <v>25</v>
      </c>
      <c r="D723" t="s">
        <v>21</v>
      </c>
      <c r="E723" s="2">
        <v>45323</v>
      </c>
      <c r="F723" s="3">
        <v>60499</v>
      </c>
      <c r="G723" s="3">
        <v>35178</v>
      </c>
      <c r="H723" s="3">
        <v>25321</v>
      </c>
      <c r="I723" s="3">
        <v>721</v>
      </c>
      <c r="J723" s="4">
        <v>167.65</v>
      </c>
      <c r="K723" s="3">
        <v>31212</v>
      </c>
      <c r="L723" s="3">
        <v>29287</v>
      </c>
    </row>
    <row r="724" spans="1:12" x14ac:dyDescent="0.25">
      <c r="A724" t="s">
        <v>26</v>
      </c>
      <c r="B724" t="s">
        <v>26</v>
      </c>
      <c r="C724" t="s">
        <v>25</v>
      </c>
      <c r="D724" t="s">
        <v>21</v>
      </c>
      <c r="E724" s="2">
        <v>45352</v>
      </c>
      <c r="F724" s="3">
        <v>53788</v>
      </c>
      <c r="G724" s="3">
        <v>31283</v>
      </c>
      <c r="H724" s="3">
        <v>22505</v>
      </c>
      <c r="I724" s="3">
        <v>642</v>
      </c>
      <c r="J724" s="4">
        <v>164.83</v>
      </c>
      <c r="K724" s="3">
        <v>27838</v>
      </c>
      <c r="L724" s="3">
        <v>25950</v>
      </c>
    </row>
    <row r="725" spans="1:12" x14ac:dyDescent="0.25">
      <c r="A725" t="s">
        <v>26</v>
      </c>
      <c r="B725" t="s">
        <v>26</v>
      </c>
      <c r="C725" t="s">
        <v>25</v>
      </c>
      <c r="D725" t="s">
        <v>21</v>
      </c>
      <c r="E725" s="2">
        <v>45383</v>
      </c>
      <c r="F725" s="3">
        <v>56344</v>
      </c>
      <c r="G725" s="3">
        <v>32902</v>
      </c>
      <c r="H725" s="3">
        <v>23442</v>
      </c>
      <c r="I725" s="3">
        <v>687</v>
      </c>
      <c r="J725" s="4">
        <v>169.96</v>
      </c>
      <c r="K725" s="3">
        <v>28721</v>
      </c>
      <c r="L725" s="3">
        <v>27623</v>
      </c>
    </row>
    <row r="726" spans="1:12" x14ac:dyDescent="0.25">
      <c r="A726" t="s">
        <v>26</v>
      </c>
      <c r="B726" t="s">
        <v>26</v>
      </c>
      <c r="C726" t="s">
        <v>25</v>
      </c>
      <c r="D726" t="s">
        <v>21</v>
      </c>
      <c r="E726" s="2">
        <v>45413</v>
      </c>
      <c r="F726" s="3">
        <v>58014</v>
      </c>
      <c r="G726" s="3">
        <v>34831</v>
      </c>
      <c r="H726" s="3">
        <v>23183</v>
      </c>
      <c r="I726" s="3">
        <v>677</v>
      </c>
      <c r="J726" s="4">
        <v>169.21</v>
      </c>
      <c r="K726" s="3">
        <v>30120</v>
      </c>
      <c r="L726" s="3">
        <v>27894</v>
      </c>
    </row>
    <row r="727" spans="1:12" x14ac:dyDescent="0.25">
      <c r="A727" t="s">
        <v>26</v>
      </c>
      <c r="B727" t="s">
        <v>26</v>
      </c>
      <c r="C727" t="s">
        <v>25</v>
      </c>
      <c r="D727" t="s">
        <v>21</v>
      </c>
      <c r="E727" s="2">
        <v>45444</v>
      </c>
      <c r="F727" s="3">
        <v>59163</v>
      </c>
      <c r="G727" s="3">
        <v>34466</v>
      </c>
      <c r="H727" s="3">
        <v>24697</v>
      </c>
      <c r="I727" s="3">
        <v>708</v>
      </c>
      <c r="J727" s="4">
        <v>169.41</v>
      </c>
      <c r="K727" s="3">
        <v>30744</v>
      </c>
      <c r="L727" s="3">
        <v>28419</v>
      </c>
    </row>
    <row r="728" spans="1:12" x14ac:dyDescent="0.25">
      <c r="A728" t="s">
        <v>26</v>
      </c>
      <c r="B728" t="s">
        <v>26</v>
      </c>
      <c r="C728" t="s">
        <v>25</v>
      </c>
      <c r="D728" t="s">
        <v>21</v>
      </c>
      <c r="E728" s="2">
        <v>45474</v>
      </c>
      <c r="F728" s="3">
        <v>69482</v>
      </c>
      <c r="G728" s="3">
        <v>40707</v>
      </c>
      <c r="H728" s="3">
        <v>28775</v>
      </c>
      <c r="I728" s="3">
        <v>834</v>
      </c>
      <c r="J728" s="4">
        <v>164.43</v>
      </c>
      <c r="K728" s="3">
        <v>36995</v>
      </c>
      <c r="L728" s="3">
        <v>32487</v>
      </c>
    </row>
    <row r="729" spans="1:12" x14ac:dyDescent="0.25">
      <c r="A729" t="s">
        <v>26</v>
      </c>
      <c r="B729" t="s">
        <v>26</v>
      </c>
      <c r="C729" t="s">
        <v>25</v>
      </c>
      <c r="D729" t="s">
        <v>21</v>
      </c>
      <c r="E729" s="2">
        <v>45505</v>
      </c>
      <c r="F729" s="3">
        <v>70509</v>
      </c>
      <c r="G729" s="3">
        <v>42415</v>
      </c>
      <c r="H729" s="3">
        <v>28094</v>
      </c>
      <c r="I729" s="3">
        <v>867</v>
      </c>
      <c r="J729" s="4">
        <v>164.65</v>
      </c>
      <c r="K729" s="3">
        <v>37787</v>
      </c>
      <c r="L729" s="3">
        <v>32722</v>
      </c>
    </row>
    <row r="730" spans="1:12" x14ac:dyDescent="0.25">
      <c r="A730" t="s">
        <v>26</v>
      </c>
      <c r="B730" t="s">
        <v>26</v>
      </c>
      <c r="C730" t="s">
        <v>25</v>
      </c>
      <c r="D730" t="s">
        <v>21</v>
      </c>
      <c r="E730" s="2">
        <v>45536</v>
      </c>
      <c r="F730" s="3">
        <v>75832</v>
      </c>
      <c r="G730" s="3">
        <v>46007</v>
      </c>
      <c r="H730" s="3">
        <v>29825</v>
      </c>
      <c r="I730" s="3">
        <v>851</v>
      </c>
      <c r="J730" s="4">
        <v>165.48</v>
      </c>
      <c r="K730" s="3">
        <v>40774</v>
      </c>
      <c r="L730" s="3">
        <v>35058</v>
      </c>
    </row>
    <row r="731" spans="1:12" x14ac:dyDescent="0.25">
      <c r="A731" t="s">
        <v>26</v>
      </c>
      <c r="B731" t="s">
        <v>26</v>
      </c>
      <c r="C731" t="s">
        <v>25</v>
      </c>
      <c r="D731" t="s">
        <v>21</v>
      </c>
      <c r="E731" s="2">
        <v>45566</v>
      </c>
      <c r="F731" s="3">
        <v>77255</v>
      </c>
      <c r="G731" s="3">
        <v>46233</v>
      </c>
      <c r="H731" s="3">
        <v>31022</v>
      </c>
      <c r="I731" s="3">
        <v>920</v>
      </c>
      <c r="J731" s="4">
        <v>172.58</v>
      </c>
      <c r="K731" s="3">
        <v>40151</v>
      </c>
      <c r="L731" s="3">
        <v>37104</v>
      </c>
    </row>
    <row r="732" spans="1:12" x14ac:dyDescent="0.25">
      <c r="A732" t="s">
        <v>26</v>
      </c>
      <c r="B732" t="s">
        <v>26</v>
      </c>
      <c r="C732" t="s">
        <v>25</v>
      </c>
      <c r="D732" t="s">
        <v>21</v>
      </c>
      <c r="E732" s="2">
        <v>45597</v>
      </c>
      <c r="F732" s="3">
        <v>78164</v>
      </c>
      <c r="G732" s="3">
        <v>46635</v>
      </c>
      <c r="H732" s="3">
        <v>31529</v>
      </c>
      <c r="I732" s="3">
        <v>897</v>
      </c>
      <c r="J732" s="4">
        <v>169.29</v>
      </c>
      <c r="K732" s="3">
        <v>40410</v>
      </c>
      <c r="L732" s="3">
        <v>37754</v>
      </c>
    </row>
    <row r="733" spans="1:12" x14ac:dyDescent="0.25">
      <c r="A733" t="s">
        <v>26</v>
      </c>
      <c r="B733" t="s">
        <v>26</v>
      </c>
      <c r="C733" t="s">
        <v>25</v>
      </c>
      <c r="D733" t="s">
        <v>21</v>
      </c>
      <c r="E733" s="2">
        <v>45627</v>
      </c>
      <c r="F733" s="3">
        <v>69902</v>
      </c>
      <c r="G733" s="3">
        <v>40373</v>
      </c>
      <c r="H733" s="3">
        <v>29529</v>
      </c>
      <c r="I733" s="3">
        <v>849</v>
      </c>
      <c r="J733" s="4">
        <v>177.07</v>
      </c>
      <c r="K733" s="3">
        <v>37174</v>
      </c>
      <c r="L733" s="3">
        <v>32728</v>
      </c>
    </row>
    <row r="734" spans="1:12" x14ac:dyDescent="0.25">
      <c r="A734" t="s">
        <v>26</v>
      </c>
      <c r="B734" t="s">
        <v>26</v>
      </c>
      <c r="C734" t="s">
        <v>25</v>
      </c>
      <c r="D734" t="s">
        <v>21</v>
      </c>
      <c r="E734" s="2">
        <v>45658</v>
      </c>
      <c r="F734" s="3">
        <v>71635</v>
      </c>
      <c r="G734" s="3">
        <v>41711</v>
      </c>
      <c r="H734" s="3">
        <v>29924</v>
      </c>
      <c r="I734" s="3">
        <v>856</v>
      </c>
      <c r="J734" s="4">
        <v>173.57</v>
      </c>
      <c r="K734" s="3">
        <v>38504</v>
      </c>
      <c r="L734" s="3">
        <v>33131</v>
      </c>
    </row>
    <row r="735" spans="1:12" x14ac:dyDescent="0.25">
      <c r="A735" t="s">
        <v>26</v>
      </c>
      <c r="B735" t="s">
        <v>26</v>
      </c>
      <c r="C735" t="s">
        <v>25</v>
      </c>
      <c r="D735" t="s">
        <v>21</v>
      </c>
      <c r="E735" s="2">
        <v>45689</v>
      </c>
      <c r="F735" s="3">
        <v>65328</v>
      </c>
      <c r="G735" s="3">
        <v>38728</v>
      </c>
      <c r="H735" s="3">
        <v>26600</v>
      </c>
      <c r="I735" s="3">
        <v>794</v>
      </c>
      <c r="J735" s="4">
        <v>176.23</v>
      </c>
      <c r="K735" s="3">
        <v>35240</v>
      </c>
      <c r="L735" s="3">
        <v>30088</v>
      </c>
    </row>
    <row r="736" spans="1:12" x14ac:dyDescent="0.25">
      <c r="A736" t="s">
        <v>26</v>
      </c>
      <c r="B736" t="s">
        <v>26</v>
      </c>
      <c r="C736" t="s">
        <v>25</v>
      </c>
      <c r="D736" t="s">
        <v>21</v>
      </c>
      <c r="E736" s="2">
        <v>45717</v>
      </c>
      <c r="F736" s="3">
        <v>65686</v>
      </c>
      <c r="G736" s="3">
        <v>38893</v>
      </c>
      <c r="H736" s="3">
        <v>26793</v>
      </c>
      <c r="I736" s="3">
        <v>771</v>
      </c>
      <c r="J736" s="4">
        <v>165.78</v>
      </c>
      <c r="K736" s="3">
        <v>33560</v>
      </c>
      <c r="L736" s="3">
        <v>32126</v>
      </c>
    </row>
    <row r="737" spans="1:12" x14ac:dyDescent="0.25">
      <c r="A737" t="s">
        <v>26</v>
      </c>
      <c r="B737" t="s">
        <v>26</v>
      </c>
      <c r="C737" t="s">
        <v>25</v>
      </c>
      <c r="D737" t="s">
        <v>21</v>
      </c>
      <c r="E737" s="2">
        <v>45748</v>
      </c>
      <c r="F737" s="3">
        <v>66549</v>
      </c>
      <c r="G737" s="3">
        <v>39157</v>
      </c>
      <c r="H737" s="3">
        <v>27392</v>
      </c>
      <c r="I737" s="3">
        <v>788</v>
      </c>
      <c r="J737" s="4">
        <v>168.31</v>
      </c>
      <c r="K737" s="3">
        <v>34742</v>
      </c>
      <c r="L737" s="3">
        <v>31807</v>
      </c>
    </row>
    <row r="738" spans="1:12" x14ac:dyDescent="0.25">
      <c r="A738" t="s">
        <v>26</v>
      </c>
      <c r="B738" t="s">
        <v>26</v>
      </c>
      <c r="C738" t="s">
        <v>25</v>
      </c>
      <c r="D738" t="s">
        <v>21</v>
      </c>
      <c r="E738" s="2">
        <v>45778</v>
      </c>
      <c r="F738" s="3">
        <v>68603</v>
      </c>
      <c r="G738" s="3">
        <v>41295</v>
      </c>
      <c r="H738" s="3">
        <v>27308</v>
      </c>
      <c r="I738" s="3">
        <v>770</v>
      </c>
      <c r="J738" s="4">
        <v>175.88</v>
      </c>
      <c r="K738" s="3">
        <v>37454</v>
      </c>
      <c r="L738" s="3">
        <v>31149</v>
      </c>
    </row>
    <row r="739" spans="1:12" x14ac:dyDescent="0.25">
      <c r="A739" t="s">
        <v>26</v>
      </c>
      <c r="B739" t="s">
        <v>26</v>
      </c>
      <c r="C739" t="s">
        <v>25</v>
      </c>
      <c r="D739" t="s">
        <v>21</v>
      </c>
      <c r="E739" s="2">
        <v>45809</v>
      </c>
      <c r="F739" s="3">
        <v>71000</v>
      </c>
      <c r="G739" s="3">
        <v>42436</v>
      </c>
      <c r="H739" s="3">
        <v>28564</v>
      </c>
      <c r="I739" s="3">
        <v>799</v>
      </c>
      <c r="J739" s="4">
        <v>168.93</v>
      </c>
      <c r="K739" s="3">
        <v>37139</v>
      </c>
      <c r="L739" s="3">
        <v>33861</v>
      </c>
    </row>
    <row r="740" spans="1:12" x14ac:dyDescent="0.25">
      <c r="A740" t="s">
        <v>26</v>
      </c>
      <c r="B740" t="s">
        <v>26</v>
      </c>
      <c r="C740" t="s">
        <v>25</v>
      </c>
      <c r="D740" t="s">
        <v>21</v>
      </c>
      <c r="E740" s="2">
        <v>45839</v>
      </c>
      <c r="F740" s="3">
        <v>74910</v>
      </c>
      <c r="G740" s="3">
        <v>43917</v>
      </c>
      <c r="H740" s="3">
        <v>30993</v>
      </c>
      <c r="I740" s="3">
        <v>912</v>
      </c>
      <c r="J740" s="4">
        <v>169.29</v>
      </c>
      <c r="K740" s="3">
        <v>39865</v>
      </c>
      <c r="L740" s="3">
        <v>35045</v>
      </c>
    </row>
    <row r="741" spans="1:12" x14ac:dyDescent="0.25">
      <c r="A741" t="s">
        <v>26</v>
      </c>
      <c r="B741" t="s">
        <v>26</v>
      </c>
      <c r="C741" t="s">
        <v>25</v>
      </c>
      <c r="D741" t="s">
        <v>21</v>
      </c>
      <c r="E741" s="2">
        <v>45870</v>
      </c>
      <c r="F741" s="3">
        <v>78673</v>
      </c>
      <c r="G741" s="3">
        <v>45888</v>
      </c>
      <c r="H741" s="3">
        <v>32785</v>
      </c>
      <c r="I741" s="3">
        <v>932</v>
      </c>
      <c r="J741" s="4">
        <v>168.55</v>
      </c>
      <c r="K741" s="3">
        <v>43616</v>
      </c>
      <c r="L741" s="3">
        <v>35057</v>
      </c>
    </row>
    <row r="742" spans="1:12" x14ac:dyDescent="0.25">
      <c r="A742" t="s">
        <v>26</v>
      </c>
      <c r="B742" t="s">
        <v>26</v>
      </c>
      <c r="C742" t="s">
        <v>25</v>
      </c>
      <c r="D742" t="s">
        <v>21</v>
      </c>
      <c r="E742" s="2">
        <v>45901</v>
      </c>
      <c r="F742" s="3">
        <v>85051</v>
      </c>
      <c r="G742" s="3">
        <v>51428</v>
      </c>
      <c r="H742" s="3">
        <v>33623</v>
      </c>
      <c r="I742" s="3">
        <v>957</v>
      </c>
      <c r="J742" s="4">
        <v>175.73</v>
      </c>
      <c r="K742" s="3">
        <v>44733</v>
      </c>
      <c r="L742" s="3">
        <v>40318</v>
      </c>
    </row>
    <row r="743" spans="1:12" x14ac:dyDescent="0.25">
      <c r="A743" t="s">
        <v>26</v>
      </c>
      <c r="B743" t="s">
        <v>26</v>
      </c>
      <c r="C743" t="s">
        <v>25</v>
      </c>
      <c r="D743" t="s">
        <v>21</v>
      </c>
      <c r="E743" s="2">
        <v>45931</v>
      </c>
      <c r="F743" s="3">
        <v>84211</v>
      </c>
      <c r="G743" s="3">
        <v>49162</v>
      </c>
      <c r="H743" s="3">
        <v>35049</v>
      </c>
      <c r="I743" s="3">
        <v>1033</v>
      </c>
      <c r="J743" s="4">
        <v>167.11</v>
      </c>
      <c r="K743" s="3">
        <v>45160</v>
      </c>
      <c r="L743" s="3">
        <v>39051</v>
      </c>
    </row>
    <row r="744" spans="1:12" x14ac:dyDescent="0.25">
      <c r="A744" t="s">
        <v>26</v>
      </c>
      <c r="B744" t="s">
        <v>26</v>
      </c>
      <c r="C744" t="s">
        <v>25</v>
      </c>
      <c r="D744" t="s">
        <v>21</v>
      </c>
      <c r="E744" s="2">
        <v>45962</v>
      </c>
      <c r="F744" s="3">
        <v>92794</v>
      </c>
      <c r="G744" s="3">
        <v>55119</v>
      </c>
      <c r="H744" s="3">
        <v>37675</v>
      </c>
      <c r="I744" s="3">
        <v>1091</v>
      </c>
      <c r="J744" s="4">
        <v>173.43</v>
      </c>
      <c r="K744" s="3">
        <v>49041</v>
      </c>
      <c r="L744" s="3">
        <v>43753</v>
      </c>
    </row>
    <row r="745" spans="1:12" x14ac:dyDescent="0.25">
      <c r="A745" t="s">
        <v>26</v>
      </c>
      <c r="B745" t="s">
        <v>26</v>
      </c>
      <c r="C745" t="s">
        <v>25</v>
      </c>
      <c r="D745" t="s">
        <v>21</v>
      </c>
      <c r="E745" s="2">
        <v>45992</v>
      </c>
      <c r="F745" s="3">
        <v>85224</v>
      </c>
      <c r="G745" s="3">
        <v>51519</v>
      </c>
      <c r="H745" s="3">
        <v>33705</v>
      </c>
      <c r="I745" s="3">
        <v>987</v>
      </c>
      <c r="J745" s="4">
        <v>176.68</v>
      </c>
      <c r="K745" s="3">
        <v>44586</v>
      </c>
      <c r="L745" s="3">
        <v>40638</v>
      </c>
    </row>
    <row r="746" spans="1:12" x14ac:dyDescent="0.25">
      <c r="A746" t="s">
        <v>26</v>
      </c>
      <c r="B746" t="s">
        <v>26</v>
      </c>
      <c r="C746" t="s">
        <v>25</v>
      </c>
      <c r="D746" t="s">
        <v>22</v>
      </c>
      <c r="E746" s="2">
        <v>45292</v>
      </c>
      <c r="F746" s="3">
        <v>41465</v>
      </c>
      <c r="G746" s="3">
        <v>23695</v>
      </c>
      <c r="H746" s="3">
        <v>17770</v>
      </c>
      <c r="I746" s="3">
        <v>4614</v>
      </c>
      <c r="J746" s="4">
        <v>81.53</v>
      </c>
      <c r="K746" s="3">
        <v>22207</v>
      </c>
      <c r="L746" s="3">
        <v>19258</v>
      </c>
    </row>
    <row r="747" spans="1:12" x14ac:dyDescent="0.25">
      <c r="A747" t="s">
        <v>26</v>
      </c>
      <c r="B747" t="s">
        <v>26</v>
      </c>
      <c r="C747" t="s">
        <v>25</v>
      </c>
      <c r="D747" t="s">
        <v>22</v>
      </c>
      <c r="E747" s="2">
        <v>45323</v>
      </c>
      <c r="F747" s="3">
        <v>37756</v>
      </c>
      <c r="G747" s="3">
        <v>20654</v>
      </c>
      <c r="H747" s="3">
        <v>17102</v>
      </c>
      <c r="I747" s="3">
        <v>3996</v>
      </c>
      <c r="J747" s="4">
        <v>82.83</v>
      </c>
      <c r="K747" s="3">
        <v>20031</v>
      </c>
      <c r="L747" s="3">
        <v>17725</v>
      </c>
    </row>
    <row r="748" spans="1:12" x14ac:dyDescent="0.25">
      <c r="A748" t="s">
        <v>26</v>
      </c>
      <c r="B748" t="s">
        <v>26</v>
      </c>
      <c r="C748" t="s">
        <v>25</v>
      </c>
      <c r="D748" t="s">
        <v>22</v>
      </c>
      <c r="E748" s="2">
        <v>45352</v>
      </c>
      <c r="F748" s="3">
        <v>36425</v>
      </c>
      <c r="G748" s="3">
        <v>20660</v>
      </c>
      <c r="H748" s="3">
        <v>15765</v>
      </c>
      <c r="I748" s="3">
        <v>3994</v>
      </c>
      <c r="J748" s="4">
        <v>81.540000000000006</v>
      </c>
      <c r="K748" s="3">
        <v>18830</v>
      </c>
      <c r="L748" s="3">
        <v>17595</v>
      </c>
    </row>
    <row r="749" spans="1:12" x14ac:dyDescent="0.25">
      <c r="A749" t="s">
        <v>26</v>
      </c>
      <c r="B749" t="s">
        <v>26</v>
      </c>
      <c r="C749" t="s">
        <v>25</v>
      </c>
      <c r="D749" t="s">
        <v>22</v>
      </c>
      <c r="E749" s="2">
        <v>45383</v>
      </c>
      <c r="F749" s="3">
        <v>35722</v>
      </c>
      <c r="G749" s="3">
        <v>19947</v>
      </c>
      <c r="H749" s="3">
        <v>15775</v>
      </c>
      <c r="I749" s="3">
        <v>3838</v>
      </c>
      <c r="J749" s="4">
        <v>77.88</v>
      </c>
      <c r="K749" s="3">
        <v>19149</v>
      </c>
      <c r="L749" s="3">
        <v>16573</v>
      </c>
    </row>
    <row r="750" spans="1:12" x14ac:dyDescent="0.25">
      <c r="A750" t="s">
        <v>26</v>
      </c>
      <c r="B750" t="s">
        <v>26</v>
      </c>
      <c r="C750" t="s">
        <v>25</v>
      </c>
      <c r="D750" t="s">
        <v>22</v>
      </c>
      <c r="E750" s="2">
        <v>45413</v>
      </c>
      <c r="F750" s="3">
        <v>36271</v>
      </c>
      <c r="G750" s="3">
        <v>20660</v>
      </c>
      <c r="H750" s="3">
        <v>15611</v>
      </c>
      <c r="I750" s="3">
        <v>3906</v>
      </c>
      <c r="J750" s="4">
        <v>77.510000000000005</v>
      </c>
      <c r="K750" s="3">
        <v>19171</v>
      </c>
      <c r="L750" s="3">
        <v>17100</v>
      </c>
    </row>
    <row r="751" spans="1:12" x14ac:dyDescent="0.25">
      <c r="A751" t="s">
        <v>26</v>
      </c>
      <c r="B751" t="s">
        <v>26</v>
      </c>
      <c r="C751" t="s">
        <v>25</v>
      </c>
      <c r="D751" t="s">
        <v>22</v>
      </c>
      <c r="E751" s="2">
        <v>45444</v>
      </c>
      <c r="F751" s="3">
        <v>39197</v>
      </c>
      <c r="G751" s="3">
        <v>21522</v>
      </c>
      <c r="H751" s="3">
        <v>17675</v>
      </c>
      <c r="I751" s="3">
        <v>4220</v>
      </c>
      <c r="J751" s="4">
        <v>79.27</v>
      </c>
      <c r="K751" s="3">
        <v>20058</v>
      </c>
      <c r="L751" s="3">
        <v>19139</v>
      </c>
    </row>
    <row r="752" spans="1:12" x14ac:dyDescent="0.25">
      <c r="A752" t="s">
        <v>26</v>
      </c>
      <c r="B752" t="s">
        <v>26</v>
      </c>
      <c r="C752" t="s">
        <v>25</v>
      </c>
      <c r="D752" t="s">
        <v>22</v>
      </c>
      <c r="E752" s="2">
        <v>45474</v>
      </c>
      <c r="F752" s="3">
        <v>42466</v>
      </c>
      <c r="G752" s="3">
        <v>24485</v>
      </c>
      <c r="H752" s="3">
        <v>17981</v>
      </c>
      <c r="I752" s="3">
        <v>4954</v>
      </c>
      <c r="J752" s="4">
        <v>77.150000000000006</v>
      </c>
      <c r="K752" s="3">
        <v>23340</v>
      </c>
      <c r="L752" s="3">
        <v>19126</v>
      </c>
    </row>
    <row r="753" spans="1:12" x14ac:dyDescent="0.25">
      <c r="A753" t="s">
        <v>26</v>
      </c>
      <c r="B753" t="s">
        <v>26</v>
      </c>
      <c r="C753" t="s">
        <v>25</v>
      </c>
      <c r="D753" t="s">
        <v>22</v>
      </c>
      <c r="E753" s="2">
        <v>45505</v>
      </c>
      <c r="F753" s="3">
        <v>41668</v>
      </c>
      <c r="G753" s="3">
        <v>23867</v>
      </c>
      <c r="H753" s="3">
        <v>17801</v>
      </c>
      <c r="I753" s="3">
        <v>4433</v>
      </c>
      <c r="J753" s="4">
        <v>77.17</v>
      </c>
      <c r="K753" s="3">
        <v>21648</v>
      </c>
      <c r="L753" s="3">
        <v>20020</v>
      </c>
    </row>
    <row r="754" spans="1:12" x14ac:dyDescent="0.25">
      <c r="A754" t="s">
        <v>26</v>
      </c>
      <c r="B754" t="s">
        <v>26</v>
      </c>
      <c r="C754" t="s">
        <v>25</v>
      </c>
      <c r="D754" t="s">
        <v>22</v>
      </c>
      <c r="E754" s="2">
        <v>45536</v>
      </c>
      <c r="F754" s="3">
        <v>45656</v>
      </c>
      <c r="G754" s="3">
        <v>25375</v>
      </c>
      <c r="H754" s="3">
        <v>20281</v>
      </c>
      <c r="I754" s="3">
        <v>4943</v>
      </c>
      <c r="J754" s="4">
        <v>78.7</v>
      </c>
      <c r="K754" s="3">
        <v>23904</v>
      </c>
      <c r="L754" s="3">
        <v>21752</v>
      </c>
    </row>
    <row r="755" spans="1:12" x14ac:dyDescent="0.25">
      <c r="A755" t="s">
        <v>26</v>
      </c>
      <c r="B755" t="s">
        <v>26</v>
      </c>
      <c r="C755" t="s">
        <v>25</v>
      </c>
      <c r="D755" t="s">
        <v>22</v>
      </c>
      <c r="E755" s="2">
        <v>45566</v>
      </c>
      <c r="F755" s="3">
        <v>48151</v>
      </c>
      <c r="G755" s="3">
        <v>26774</v>
      </c>
      <c r="H755" s="3">
        <v>21377</v>
      </c>
      <c r="I755" s="3">
        <v>5216</v>
      </c>
      <c r="J755" s="4">
        <v>80.19</v>
      </c>
      <c r="K755" s="3">
        <v>25110</v>
      </c>
      <c r="L755" s="3">
        <v>23041</v>
      </c>
    </row>
    <row r="756" spans="1:12" x14ac:dyDescent="0.25">
      <c r="A756" t="s">
        <v>26</v>
      </c>
      <c r="B756" t="s">
        <v>26</v>
      </c>
      <c r="C756" t="s">
        <v>25</v>
      </c>
      <c r="D756" t="s">
        <v>22</v>
      </c>
      <c r="E756" s="2">
        <v>45597</v>
      </c>
      <c r="F756" s="3">
        <v>48991</v>
      </c>
      <c r="G756" s="3">
        <v>27873</v>
      </c>
      <c r="H756" s="3">
        <v>21118</v>
      </c>
      <c r="I756" s="3">
        <v>5253</v>
      </c>
      <c r="J756" s="4">
        <v>76.77</v>
      </c>
      <c r="K756" s="3">
        <v>26554</v>
      </c>
      <c r="L756" s="3">
        <v>22437</v>
      </c>
    </row>
    <row r="757" spans="1:12" x14ac:dyDescent="0.25">
      <c r="A757" t="s">
        <v>26</v>
      </c>
      <c r="B757" t="s">
        <v>26</v>
      </c>
      <c r="C757" t="s">
        <v>25</v>
      </c>
      <c r="D757" t="s">
        <v>22</v>
      </c>
      <c r="E757" s="2">
        <v>45627</v>
      </c>
      <c r="F757" s="3">
        <v>43366</v>
      </c>
      <c r="G757" s="3">
        <v>24393</v>
      </c>
      <c r="H757" s="3">
        <v>18973</v>
      </c>
      <c r="I757" s="3">
        <v>4859</v>
      </c>
      <c r="J757" s="4">
        <v>83.83</v>
      </c>
      <c r="K757" s="3">
        <v>23695</v>
      </c>
      <c r="L757" s="3">
        <v>19671</v>
      </c>
    </row>
    <row r="758" spans="1:12" x14ac:dyDescent="0.25">
      <c r="A758" t="s">
        <v>26</v>
      </c>
      <c r="B758" t="s">
        <v>26</v>
      </c>
      <c r="C758" t="s">
        <v>25</v>
      </c>
      <c r="D758" t="s">
        <v>22</v>
      </c>
      <c r="E758" s="2">
        <v>45658</v>
      </c>
      <c r="F758" s="3">
        <v>43802</v>
      </c>
      <c r="G758" s="3">
        <v>24737</v>
      </c>
      <c r="H758" s="3">
        <v>19065</v>
      </c>
      <c r="I758" s="3">
        <v>4719</v>
      </c>
      <c r="J758" s="4">
        <v>78.8</v>
      </c>
      <c r="K758" s="3">
        <v>23419</v>
      </c>
      <c r="L758" s="3">
        <v>20383</v>
      </c>
    </row>
    <row r="759" spans="1:12" x14ac:dyDescent="0.25">
      <c r="A759" t="s">
        <v>26</v>
      </c>
      <c r="B759" t="s">
        <v>26</v>
      </c>
      <c r="C759" t="s">
        <v>25</v>
      </c>
      <c r="D759" t="s">
        <v>22</v>
      </c>
      <c r="E759" s="2">
        <v>45689</v>
      </c>
      <c r="F759" s="3">
        <v>43606</v>
      </c>
      <c r="G759" s="3">
        <v>24554</v>
      </c>
      <c r="H759" s="3">
        <v>19052</v>
      </c>
      <c r="I759" s="3">
        <v>4781</v>
      </c>
      <c r="J759" s="4">
        <v>78.62</v>
      </c>
      <c r="K759" s="3">
        <v>22750</v>
      </c>
      <c r="L759" s="3">
        <v>20856</v>
      </c>
    </row>
    <row r="760" spans="1:12" x14ac:dyDescent="0.25">
      <c r="A760" t="s">
        <v>26</v>
      </c>
      <c r="B760" t="s">
        <v>26</v>
      </c>
      <c r="C760" t="s">
        <v>25</v>
      </c>
      <c r="D760" t="s">
        <v>22</v>
      </c>
      <c r="E760" s="2">
        <v>45717</v>
      </c>
      <c r="F760" s="3">
        <v>39157</v>
      </c>
      <c r="G760" s="3">
        <v>22485</v>
      </c>
      <c r="H760" s="3">
        <v>16672</v>
      </c>
      <c r="I760" s="3">
        <v>4507</v>
      </c>
      <c r="J760" s="4">
        <v>79.5</v>
      </c>
      <c r="K760" s="3">
        <v>21146</v>
      </c>
      <c r="L760" s="3">
        <v>18011</v>
      </c>
    </row>
    <row r="761" spans="1:12" x14ac:dyDescent="0.25">
      <c r="A761" t="s">
        <v>26</v>
      </c>
      <c r="B761" t="s">
        <v>26</v>
      </c>
      <c r="C761" t="s">
        <v>25</v>
      </c>
      <c r="D761" t="s">
        <v>22</v>
      </c>
      <c r="E761" s="2">
        <v>45748</v>
      </c>
      <c r="F761" s="3">
        <v>38336</v>
      </c>
      <c r="G761" s="3">
        <v>21008</v>
      </c>
      <c r="H761" s="3">
        <v>17328</v>
      </c>
      <c r="I761" s="3">
        <v>4081</v>
      </c>
      <c r="J761" s="4">
        <v>80.040000000000006</v>
      </c>
      <c r="K761" s="3">
        <v>20450</v>
      </c>
      <c r="L761" s="3">
        <v>17886</v>
      </c>
    </row>
    <row r="762" spans="1:12" x14ac:dyDescent="0.25">
      <c r="A762" t="s">
        <v>26</v>
      </c>
      <c r="B762" t="s">
        <v>26</v>
      </c>
      <c r="C762" t="s">
        <v>25</v>
      </c>
      <c r="D762" t="s">
        <v>22</v>
      </c>
      <c r="E762" s="2">
        <v>45778</v>
      </c>
      <c r="F762" s="3">
        <v>41176</v>
      </c>
      <c r="G762" s="3">
        <v>23725</v>
      </c>
      <c r="H762" s="3">
        <v>17451</v>
      </c>
      <c r="I762" s="3">
        <v>4740</v>
      </c>
      <c r="J762" s="4">
        <v>77.959999999999994</v>
      </c>
      <c r="K762" s="3">
        <v>21476</v>
      </c>
      <c r="L762" s="3">
        <v>19700</v>
      </c>
    </row>
    <row r="763" spans="1:12" x14ac:dyDescent="0.25">
      <c r="A763" t="s">
        <v>26</v>
      </c>
      <c r="B763" t="s">
        <v>26</v>
      </c>
      <c r="C763" t="s">
        <v>25</v>
      </c>
      <c r="D763" t="s">
        <v>22</v>
      </c>
      <c r="E763" s="2">
        <v>45809</v>
      </c>
      <c r="F763" s="3">
        <v>44610</v>
      </c>
      <c r="G763" s="3">
        <v>24489</v>
      </c>
      <c r="H763" s="3">
        <v>20121</v>
      </c>
      <c r="I763" s="3">
        <v>4889</v>
      </c>
      <c r="J763" s="4">
        <v>81.400000000000006</v>
      </c>
      <c r="K763" s="3">
        <v>23583</v>
      </c>
      <c r="L763" s="3">
        <v>21027</v>
      </c>
    </row>
    <row r="764" spans="1:12" x14ac:dyDescent="0.25">
      <c r="A764" t="s">
        <v>26</v>
      </c>
      <c r="B764" t="s">
        <v>26</v>
      </c>
      <c r="C764" t="s">
        <v>25</v>
      </c>
      <c r="D764" t="s">
        <v>22</v>
      </c>
      <c r="E764" s="2">
        <v>45839</v>
      </c>
      <c r="F764" s="3">
        <v>44370</v>
      </c>
      <c r="G764" s="3">
        <v>25408</v>
      </c>
      <c r="H764" s="3">
        <v>18962</v>
      </c>
      <c r="I764" s="3">
        <v>4820</v>
      </c>
      <c r="J764" s="4">
        <v>79.88</v>
      </c>
      <c r="K764" s="3">
        <v>23260</v>
      </c>
      <c r="L764" s="3">
        <v>21110</v>
      </c>
    </row>
    <row r="765" spans="1:12" x14ac:dyDescent="0.25">
      <c r="A765" t="s">
        <v>26</v>
      </c>
      <c r="B765" t="s">
        <v>26</v>
      </c>
      <c r="C765" t="s">
        <v>25</v>
      </c>
      <c r="D765" t="s">
        <v>22</v>
      </c>
      <c r="E765" s="2">
        <v>45870</v>
      </c>
      <c r="F765" s="3">
        <v>50413</v>
      </c>
      <c r="G765" s="3">
        <v>28172</v>
      </c>
      <c r="H765" s="3">
        <v>22241</v>
      </c>
      <c r="I765" s="3">
        <v>5675</v>
      </c>
      <c r="J765" s="4">
        <v>76.680000000000007</v>
      </c>
      <c r="K765" s="3">
        <v>25820</v>
      </c>
      <c r="L765" s="3">
        <v>24593</v>
      </c>
    </row>
    <row r="766" spans="1:12" x14ac:dyDescent="0.25">
      <c r="A766" t="s">
        <v>26</v>
      </c>
      <c r="B766" t="s">
        <v>26</v>
      </c>
      <c r="C766" t="s">
        <v>25</v>
      </c>
      <c r="D766" t="s">
        <v>22</v>
      </c>
      <c r="E766" s="2">
        <v>45901</v>
      </c>
      <c r="F766" s="3">
        <v>50004</v>
      </c>
      <c r="G766" s="3">
        <v>28342</v>
      </c>
      <c r="H766" s="3">
        <v>21662</v>
      </c>
      <c r="I766" s="3">
        <v>5599</v>
      </c>
      <c r="J766" s="4">
        <v>80.41</v>
      </c>
      <c r="K766" s="3">
        <v>27480</v>
      </c>
      <c r="L766" s="3">
        <v>22524</v>
      </c>
    </row>
    <row r="767" spans="1:12" x14ac:dyDescent="0.25">
      <c r="A767" t="s">
        <v>26</v>
      </c>
      <c r="B767" t="s">
        <v>26</v>
      </c>
      <c r="C767" t="s">
        <v>25</v>
      </c>
      <c r="D767" t="s">
        <v>22</v>
      </c>
      <c r="E767" s="2">
        <v>45931</v>
      </c>
      <c r="F767" s="3">
        <v>49699</v>
      </c>
      <c r="G767" s="3">
        <v>28249</v>
      </c>
      <c r="H767" s="3">
        <v>21450</v>
      </c>
      <c r="I767" s="3">
        <v>5427</v>
      </c>
      <c r="J767" s="4">
        <v>80.44</v>
      </c>
      <c r="K767" s="3">
        <v>26027</v>
      </c>
      <c r="L767" s="3">
        <v>23672</v>
      </c>
    </row>
    <row r="768" spans="1:12" x14ac:dyDescent="0.25">
      <c r="A768" t="s">
        <v>26</v>
      </c>
      <c r="B768" t="s">
        <v>26</v>
      </c>
      <c r="C768" t="s">
        <v>25</v>
      </c>
      <c r="D768" t="s">
        <v>22</v>
      </c>
      <c r="E768" s="2">
        <v>45962</v>
      </c>
      <c r="F768" s="3">
        <v>49868</v>
      </c>
      <c r="G768" s="3">
        <v>28227</v>
      </c>
      <c r="H768" s="3">
        <v>21641</v>
      </c>
      <c r="I768" s="3">
        <v>5417</v>
      </c>
      <c r="J768" s="4">
        <v>82.47</v>
      </c>
      <c r="K768" s="3">
        <v>25694</v>
      </c>
      <c r="L768" s="3">
        <v>24174</v>
      </c>
    </row>
    <row r="769" spans="1:12" x14ac:dyDescent="0.25">
      <c r="A769" t="s">
        <v>26</v>
      </c>
      <c r="B769" t="s">
        <v>26</v>
      </c>
      <c r="C769" t="s">
        <v>25</v>
      </c>
      <c r="D769" t="s">
        <v>22</v>
      </c>
      <c r="E769" s="2">
        <v>45992</v>
      </c>
      <c r="F769" s="3">
        <v>48246</v>
      </c>
      <c r="G769" s="3">
        <v>26894</v>
      </c>
      <c r="H769" s="3">
        <v>21352</v>
      </c>
      <c r="I769" s="3">
        <v>5564</v>
      </c>
      <c r="J769" s="4">
        <v>80.62</v>
      </c>
      <c r="K769" s="3">
        <v>26154</v>
      </c>
      <c r="L769" s="3">
        <v>22092</v>
      </c>
    </row>
    <row r="770" spans="1:12" x14ac:dyDescent="0.25">
      <c r="A770" t="s">
        <v>27</v>
      </c>
      <c r="B770" t="s">
        <v>27</v>
      </c>
      <c r="C770" t="s">
        <v>28</v>
      </c>
      <c r="D770" t="s">
        <v>15</v>
      </c>
      <c r="E770" s="2">
        <v>45292</v>
      </c>
      <c r="F770" s="3">
        <v>409622</v>
      </c>
      <c r="G770" s="3">
        <v>306251</v>
      </c>
      <c r="H770" s="3">
        <v>103371</v>
      </c>
      <c r="I770" s="3">
        <v>11948</v>
      </c>
      <c r="J770" s="4">
        <v>402.86</v>
      </c>
      <c r="K770" s="3">
        <v>322392</v>
      </c>
      <c r="L770" s="3">
        <v>87230</v>
      </c>
    </row>
    <row r="771" spans="1:12" x14ac:dyDescent="0.25">
      <c r="A771" t="s">
        <v>27</v>
      </c>
      <c r="B771" t="s">
        <v>27</v>
      </c>
      <c r="C771" t="s">
        <v>28</v>
      </c>
      <c r="D771" t="s">
        <v>15</v>
      </c>
      <c r="E771" s="2">
        <v>45323</v>
      </c>
      <c r="F771" s="3">
        <v>424414</v>
      </c>
      <c r="G771" s="3">
        <v>320106</v>
      </c>
      <c r="H771" s="3">
        <v>104308</v>
      </c>
      <c r="I771" s="3">
        <v>12725</v>
      </c>
      <c r="J771" s="4">
        <v>393.52</v>
      </c>
      <c r="K771" s="3">
        <v>335571</v>
      </c>
      <c r="L771" s="3">
        <v>88843</v>
      </c>
    </row>
    <row r="772" spans="1:12" x14ac:dyDescent="0.25">
      <c r="A772" t="s">
        <v>27</v>
      </c>
      <c r="B772" t="s">
        <v>27</v>
      </c>
      <c r="C772" t="s">
        <v>28</v>
      </c>
      <c r="D772" t="s">
        <v>15</v>
      </c>
      <c r="E772" s="2">
        <v>45352</v>
      </c>
      <c r="F772" s="3">
        <v>376012</v>
      </c>
      <c r="G772" s="3">
        <v>290038</v>
      </c>
      <c r="H772" s="3">
        <v>85974</v>
      </c>
      <c r="I772" s="3">
        <v>10877</v>
      </c>
      <c r="J772" s="4">
        <v>403.18</v>
      </c>
      <c r="K772" s="3">
        <v>299395</v>
      </c>
      <c r="L772" s="3">
        <v>76617</v>
      </c>
    </row>
    <row r="773" spans="1:12" x14ac:dyDescent="0.25">
      <c r="A773" t="s">
        <v>27</v>
      </c>
      <c r="B773" t="s">
        <v>27</v>
      </c>
      <c r="C773" t="s">
        <v>28</v>
      </c>
      <c r="D773" t="s">
        <v>15</v>
      </c>
      <c r="E773" s="2">
        <v>45383</v>
      </c>
      <c r="F773" s="3">
        <v>394092</v>
      </c>
      <c r="G773" s="3">
        <v>300399</v>
      </c>
      <c r="H773" s="3">
        <v>93693</v>
      </c>
      <c r="I773" s="3">
        <v>11320</v>
      </c>
      <c r="J773" s="4">
        <v>394.32</v>
      </c>
      <c r="K773" s="3">
        <v>311001</v>
      </c>
      <c r="L773" s="3">
        <v>83091</v>
      </c>
    </row>
    <row r="774" spans="1:12" x14ac:dyDescent="0.25">
      <c r="A774" t="s">
        <v>27</v>
      </c>
      <c r="B774" t="s">
        <v>27</v>
      </c>
      <c r="C774" t="s">
        <v>28</v>
      </c>
      <c r="D774" t="s">
        <v>15</v>
      </c>
      <c r="E774" s="2">
        <v>45413</v>
      </c>
      <c r="F774" s="3">
        <v>387675</v>
      </c>
      <c r="G774" s="3">
        <v>297166</v>
      </c>
      <c r="H774" s="3">
        <v>90509</v>
      </c>
      <c r="I774" s="3">
        <v>11181</v>
      </c>
      <c r="J774" s="4">
        <v>406.04</v>
      </c>
      <c r="K774" s="3">
        <v>309744</v>
      </c>
      <c r="L774" s="3">
        <v>77931</v>
      </c>
    </row>
    <row r="775" spans="1:12" x14ac:dyDescent="0.25">
      <c r="A775" t="s">
        <v>27</v>
      </c>
      <c r="B775" t="s">
        <v>27</v>
      </c>
      <c r="C775" t="s">
        <v>28</v>
      </c>
      <c r="D775" t="s">
        <v>15</v>
      </c>
      <c r="E775" s="2">
        <v>45444</v>
      </c>
      <c r="F775" s="3">
        <v>411033</v>
      </c>
      <c r="G775" s="3">
        <v>316369</v>
      </c>
      <c r="H775" s="3">
        <v>94664</v>
      </c>
      <c r="I775" s="3">
        <v>11729</v>
      </c>
      <c r="J775" s="4">
        <v>397.04</v>
      </c>
      <c r="K775" s="3">
        <v>320495</v>
      </c>
      <c r="L775" s="3">
        <v>90538</v>
      </c>
    </row>
    <row r="776" spans="1:12" x14ac:dyDescent="0.25">
      <c r="A776" t="s">
        <v>27</v>
      </c>
      <c r="B776" t="s">
        <v>27</v>
      </c>
      <c r="C776" t="s">
        <v>28</v>
      </c>
      <c r="D776" t="s">
        <v>15</v>
      </c>
      <c r="E776" s="2">
        <v>45474</v>
      </c>
      <c r="F776" s="3">
        <v>466445</v>
      </c>
      <c r="G776" s="3">
        <v>351370</v>
      </c>
      <c r="H776" s="3">
        <v>115075</v>
      </c>
      <c r="I776" s="3">
        <v>13500</v>
      </c>
      <c r="J776" s="4">
        <v>402.17</v>
      </c>
      <c r="K776" s="3">
        <v>366613</v>
      </c>
      <c r="L776" s="3">
        <v>99832</v>
      </c>
    </row>
    <row r="777" spans="1:12" x14ac:dyDescent="0.25">
      <c r="A777" t="s">
        <v>27</v>
      </c>
      <c r="B777" t="s">
        <v>27</v>
      </c>
      <c r="C777" t="s">
        <v>28</v>
      </c>
      <c r="D777" t="s">
        <v>15</v>
      </c>
      <c r="E777" s="2">
        <v>45505</v>
      </c>
      <c r="F777" s="3">
        <v>467558</v>
      </c>
      <c r="G777" s="3">
        <v>349971</v>
      </c>
      <c r="H777" s="3">
        <v>117587</v>
      </c>
      <c r="I777" s="3">
        <v>13531</v>
      </c>
      <c r="J777" s="4">
        <v>407.7</v>
      </c>
      <c r="K777" s="3">
        <v>370156</v>
      </c>
      <c r="L777" s="3">
        <v>97402</v>
      </c>
    </row>
    <row r="778" spans="1:12" x14ac:dyDescent="0.25">
      <c r="A778" t="s">
        <v>27</v>
      </c>
      <c r="B778" t="s">
        <v>27</v>
      </c>
      <c r="C778" t="s">
        <v>28</v>
      </c>
      <c r="D778" t="s">
        <v>15</v>
      </c>
      <c r="E778" s="2">
        <v>45536</v>
      </c>
      <c r="F778" s="3">
        <v>458964</v>
      </c>
      <c r="G778" s="3">
        <v>351718</v>
      </c>
      <c r="H778" s="3">
        <v>107246</v>
      </c>
      <c r="I778" s="3">
        <v>14201</v>
      </c>
      <c r="J778" s="4">
        <v>386.21</v>
      </c>
      <c r="K778" s="3">
        <v>364753</v>
      </c>
      <c r="L778" s="3">
        <v>94211</v>
      </c>
    </row>
    <row r="779" spans="1:12" x14ac:dyDescent="0.25">
      <c r="A779" t="s">
        <v>27</v>
      </c>
      <c r="B779" t="s">
        <v>27</v>
      </c>
      <c r="C779" t="s">
        <v>28</v>
      </c>
      <c r="D779" t="s">
        <v>15</v>
      </c>
      <c r="E779" s="2">
        <v>45566</v>
      </c>
      <c r="F779" s="3">
        <v>511435</v>
      </c>
      <c r="G779" s="3">
        <v>395537</v>
      </c>
      <c r="H779" s="3">
        <v>115898</v>
      </c>
      <c r="I779" s="3">
        <v>15531</v>
      </c>
      <c r="J779" s="4">
        <v>387.72</v>
      </c>
      <c r="K779" s="3">
        <v>400331</v>
      </c>
      <c r="L779" s="3">
        <v>111104</v>
      </c>
    </row>
    <row r="780" spans="1:12" x14ac:dyDescent="0.25">
      <c r="A780" t="s">
        <v>27</v>
      </c>
      <c r="B780" t="s">
        <v>27</v>
      </c>
      <c r="C780" t="s">
        <v>28</v>
      </c>
      <c r="D780" t="s">
        <v>15</v>
      </c>
      <c r="E780" s="2">
        <v>45597</v>
      </c>
      <c r="F780" s="3">
        <v>506319</v>
      </c>
      <c r="G780" s="3">
        <v>382102</v>
      </c>
      <c r="H780" s="3">
        <v>124217</v>
      </c>
      <c r="I780" s="3">
        <v>14276</v>
      </c>
      <c r="J780" s="4">
        <v>388.28</v>
      </c>
      <c r="K780" s="3">
        <v>394558</v>
      </c>
      <c r="L780" s="3">
        <v>111761</v>
      </c>
    </row>
    <row r="781" spans="1:12" x14ac:dyDescent="0.25">
      <c r="A781" t="s">
        <v>27</v>
      </c>
      <c r="B781" t="s">
        <v>27</v>
      </c>
      <c r="C781" t="s">
        <v>28</v>
      </c>
      <c r="D781" t="s">
        <v>15</v>
      </c>
      <c r="E781" s="2">
        <v>45627</v>
      </c>
      <c r="F781" s="3">
        <v>455236</v>
      </c>
      <c r="G781" s="3">
        <v>339855</v>
      </c>
      <c r="H781" s="3">
        <v>115381</v>
      </c>
      <c r="I781" s="3">
        <v>13608</v>
      </c>
      <c r="J781" s="4">
        <v>386.97</v>
      </c>
      <c r="K781" s="3">
        <v>360709</v>
      </c>
      <c r="L781" s="3">
        <v>94527</v>
      </c>
    </row>
    <row r="782" spans="1:12" x14ac:dyDescent="0.25">
      <c r="A782" t="s">
        <v>27</v>
      </c>
      <c r="B782" t="s">
        <v>27</v>
      </c>
      <c r="C782" t="s">
        <v>28</v>
      </c>
      <c r="D782" t="s">
        <v>15</v>
      </c>
      <c r="E782" s="2">
        <v>45658</v>
      </c>
      <c r="F782" s="3">
        <v>451218</v>
      </c>
      <c r="G782" s="3">
        <v>342056</v>
      </c>
      <c r="H782" s="3">
        <v>109162</v>
      </c>
      <c r="I782" s="3">
        <v>13798</v>
      </c>
      <c r="J782" s="4">
        <v>392.67</v>
      </c>
      <c r="K782" s="3">
        <v>357200</v>
      </c>
      <c r="L782" s="3">
        <v>94018</v>
      </c>
    </row>
    <row r="783" spans="1:12" x14ac:dyDescent="0.25">
      <c r="A783" t="s">
        <v>27</v>
      </c>
      <c r="B783" t="s">
        <v>27</v>
      </c>
      <c r="C783" t="s">
        <v>28</v>
      </c>
      <c r="D783" t="s">
        <v>15</v>
      </c>
      <c r="E783" s="2">
        <v>45689</v>
      </c>
      <c r="F783" s="3">
        <v>431483</v>
      </c>
      <c r="G783" s="3">
        <v>326613</v>
      </c>
      <c r="H783" s="3">
        <v>104870</v>
      </c>
      <c r="I783" s="3">
        <v>12339</v>
      </c>
      <c r="J783" s="4">
        <v>397.37</v>
      </c>
      <c r="K783" s="3">
        <v>336540</v>
      </c>
      <c r="L783" s="3">
        <v>94943</v>
      </c>
    </row>
    <row r="784" spans="1:12" x14ac:dyDescent="0.25">
      <c r="A784" t="s">
        <v>27</v>
      </c>
      <c r="B784" t="s">
        <v>27</v>
      </c>
      <c r="C784" t="s">
        <v>28</v>
      </c>
      <c r="D784" t="s">
        <v>15</v>
      </c>
      <c r="E784" s="2">
        <v>45717</v>
      </c>
      <c r="F784" s="3">
        <v>439648</v>
      </c>
      <c r="G784" s="3">
        <v>334462</v>
      </c>
      <c r="H784" s="3">
        <v>105186</v>
      </c>
      <c r="I784" s="3">
        <v>13405</v>
      </c>
      <c r="J784" s="4">
        <v>377.45</v>
      </c>
      <c r="K784" s="3">
        <v>345462</v>
      </c>
      <c r="L784" s="3">
        <v>94186</v>
      </c>
    </row>
    <row r="785" spans="1:12" x14ac:dyDescent="0.25">
      <c r="A785" t="s">
        <v>27</v>
      </c>
      <c r="B785" t="s">
        <v>27</v>
      </c>
      <c r="C785" t="s">
        <v>28</v>
      </c>
      <c r="D785" t="s">
        <v>15</v>
      </c>
      <c r="E785" s="2">
        <v>45748</v>
      </c>
      <c r="F785" s="3">
        <v>408814</v>
      </c>
      <c r="G785" s="3">
        <v>304616</v>
      </c>
      <c r="H785" s="3">
        <v>104198</v>
      </c>
      <c r="I785" s="3">
        <v>12113</v>
      </c>
      <c r="J785" s="4">
        <v>383.37</v>
      </c>
      <c r="K785" s="3">
        <v>324854</v>
      </c>
      <c r="L785" s="3">
        <v>83960</v>
      </c>
    </row>
    <row r="786" spans="1:12" x14ac:dyDescent="0.25">
      <c r="A786" t="s">
        <v>27</v>
      </c>
      <c r="B786" t="s">
        <v>27</v>
      </c>
      <c r="C786" t="s">
        <v>28</v>
      </c>
      <c r="D786" t="s">
        <v>15</v>
      </c>
      <c r="E786" s="2">
        <v>45778</v>
      </c>
      <c r="F786" s="3">
        <v>402807</v>
      </c>
      <c r="G786" s="3">
        <v>302038</v>
      </c>
      <c r="H786" s="3">
        <v>100769</v>
      </c>
      <c r="I786" s="3">
        <v>11642</v>
      </c>
      <c r="J786" s="4">
        <v>374.88</v>
      </c>
      <c r="K786" s="3">
        <v>319336</v>
      </c>
      <c r="L786" s="3">
        <v>83471</v>
      </c>
    </row>
    <row r="787" spans="1:12" x14ac:dyDescent="0.25">
      <c r="A787" t="s">
        <v>27</v>
      </c>
      <c r="B787" t="s">
        <v>27</v>
      </c>
      <c r="C787" t="s">
        <v>28</v>
      </c>
      <c r="D787" t="s">
        <v>15</v>
      </c>
      <c r="E787" s="2">
        <v>45809</v>
      </c>
      <c r="F787" s="3">
        <v>453173</v>
      </c>
      <c r="G787" s="3">
        <v>347858</v>
      </c>
      <c r="H787" s="3">
        <v>105315</v>
      </c>
      <c r="I787" s="3">
        <v>13585</v>
      </c>
      <c r="J787" s="4">
        <v>394.51</v>
      </c>
      <c r="K787" s="3">
        <v>359825</v>
      </c>
      <c r="L787" s="3">
        <v>93348</v>
      </c>
    </row>
    <row r="788" spans="1:12" x14ac:dyDescent="0.25">
      <c r="A788" t="s">
        <v>27</v>
      </c>
      <c r="B788" t="s">
        <v>27</v>
      </c>
      <c r="C788" t="s">
        <v>28</v>
      </c>
      <c r="D788" t="s">
        <v>15</v>
      </c>
      <c r="E788" s="2">
        <v>45839</v>
      </c>
      <c r="F788" s="3">
        <v>443848</v>
      </c>
      <c r="G788" s="3">
        <v>340033</v>
      </c>
      <c r="H788" s="3">
        <v>103815</v>
      </c>
      <c r="I788" s="3">
        <v>12756</v>
      </c>
      <c r="J788" s="4">
        <v>375.05</v>
      </c>
      <c r="K788" s="3">
        <v>353905</v>
      </c>
      <c r="L788" s="3">
        <v>89943</v>
      </c>
    </row>
    <row r="789" spans="1:12" x14ac:dyDescent="0.25">
      <c r="A789" t="s">
        <v>27</v>
      </c>
      <c r="B789" t="s">
        <v>27</v>
      </c>
      <c r="C789" t="s">
        <v>28</v>
      </c>
      <c r="D789" t="s">
        <v>15</v>
      </c>
      <c r="E789" s="2">
        <v>45870</v>
      </c>
      <c r="F789" s="3">
        <v>511935</v>
      </c>
      <c r="G789" s="3">
        <v>388778</v>
      </c>
      <c r="H789" s="3">
        <v>123157</v>
      </c>
      <c r="I789" s="3">
        <v>15669</v>
      </c>
      <c r="J789" s="4">
        <v>403.8</v>
      </c>
      <c r="K789" s="3">
        <v>404804</v>
      </c>
      <c r="L789" s="3">
        <v>107131</v>
      </c>
    </row>
    <row r="790" spans="1:12" x14ac:dyDescent="0.25">
      <c r="A790" t="s">
        <v>27</v>
      </c>
      <c r="B790" t="s">
        <v>27</v>
      </c>
      <c r="C790" t="s">
        <v>28</v>
      </c>
      <c r="D790" t="s">
        <v>15</v>
      </c>
      <c r="E790" s="2">
        <v>45901</v>
      </c>
      <c r="F790" s="3">
        <v>490033</v>
      </c>
      <c r="G790" s="3">
        <v>377810</v>
      </c>
      <c r="H790" s="3">
        <v>112223</v>
      </c>
      <c r="I790" s="3">
        <v>14672</v>
      </c>
      <c r="J790" s="4">
        <v>402.1</v>
      </c>
      <c r="K790" s="3">
        <v>384003</v>
      </c>
      <c r="L790" s="3">
        <v>106030</v>
      </c>
    </row>
    <row r="791" spans="1:12" x14ac:dyDescent="0.25">
      <c r="A791" t="s">
        <v>27</v>
      </c>
      <c r="B791" t="s">
        <v>27</v>
      </c>
      <c r="C791" t="s">
        <v>28</v>
      </c>
      <c r="D791" t="s">
        <v>15</v>
      </c>
      <c r="E791" s="2">
        <v>45931</v>
      </c>
      <c r="F791" s="3">
        <v>520224</v>
      </c>
      <c r="G791" s="3">
        <v>388324</v>
      </c>
      <c r="H791" s="3">
        <v>131900</v>
      </c>
      <c r="I791" s="3">
        <v>14830</v>
      </c>
      <c r="J791" s="4">
        <v>398.6</v>
      </c>
      <c r="K791" s="3">
        <v>414149</v>
      </c>
      <c r="L791" s="3">
        <v>106075</v>
      </c>
    </row>
    <row r="792" spans="1:12" x14ac:dyDescent="0.25">
      <c r="A792" t="s">
        <v>27</v>
      </c>
      <c r="B792" t="s">
        <v>27</v>
      </c>
      <c r="C792" t="s">
        <v>28</v>
      </c>
      <c r="D792" t="s">
        <v>15</v>
      </c>
      <c r="E792" s="2">
        <v>45962</v>
      </c>
      <c r="F792" s="3">
        <v>524745</v>
      </c>
      <c r="G792" s="3">
        <v>399335</v>
      </c>
      <c r="H792" s="3">
        <v>125410</v>
      </c>
      <c r="I792" s="3">
        <v>15090</v>
      </c>
      <c r="J792" s="4">
        <v>396.68</v>
      </c>
      <c r="K792" s="3">
        <v>409658</v>
      </c>
      <c r="L792" s="3">
        <v>115087</v>
      </c>
    </row>
    <row r="793" spans="1:12" x14ac:dyDescent="0.25">
      <c r="A793" t="s">
        <v>27</v>
      </c>
      <c r="B793" t="s">
        <v>27</v>
      </c>
      <c r="C793" t="s">
        <v>28</v>
      </c>
      <c r="D793" t="s">
        <v>15</v>
      </c>
      <c r="E793" s="2">
        <v>45992</v>
      </c>
      <c r="F793" s="3">
        <v>522565</v>
      </c>
      <c r="G793" s="3">
        <v>398343</v>
      </c>
      <c r="H793" s="3">
        <v>124222</v>
      </c>
      <c r="I793" s="3">
        <v>15161</v>
      </c>
      <c r="J793" s="4">
        <v>375.15</v>
      </c>
      <c r="K793" s="3">
        <v>416722</v>
      </c>
      <c r="L793" s="3">
        <v>105843</v>
      </c>
    </row>
    <row r="794" spans="1:12" x14ac:dyDescent="0.25">
      <c r="A794" t="s">
        <v>27</v>
      </c>
      <c r="B794" t="s">
        <v>27</v>
      </c>
      <c r="C794" t="s">
        <v>28</v>
      </c>
      <c r="D794" t="s">
        <v>16</v>
      </c>
      <c r="E794" s="2">
        <v>45292</v>
      </c>
      <c r="F794" s="3">
        <v>147149</v>
      </c>
      <c r="G794" s="3">
        <v>94474</v>
      </c>
      <c r="H794" s="3">
        <v>52675</v>
      </c>
      <c r="I794" s="3">
        <v>2581</v>
      </c>
      <c r="J794" s="4">
        <v>651.94000000000005</v>
      </c>
      <c r="K794" s="3">
        <v>115555</v>
      </c>
      <c r="L794" s="3">
        <v>31594</v>
      </c>
    </row>
    <row r="795" spans="1:12" x14ac:dyDescent="0.25">
      <c r="A795" t="s">
        <v>27</v>
      </c>
      <c r="B795" t="s">
        <v>27</v>
      </c>
      <c r="C795" t="s">
        <v>28</v>
      </c>
      <c r="D795" t="s">
        <v>16</v>
      </c>
      <c r="E795" s="2">
        <v>45323</v>
      </c>
      <c r="F795" s="3">
        <v>133394</v>
      </c>
      <c r="G795" s="3">
        <v>87245</v>
      </c>
      <c r="H795" s="3">
        <v>46149</v>
      </c>
      <c r="I795" s="3">
        <v>2276</v>
      </c>
      <c r="J795" s="4">
        <v>630.08000000000004</v>
      </c>
      <c r="K795" s="3">
        <v>105784</v>
      </c>
      <c r="L795" s="3">
        <v>27610</v>
      </c>
    </row>
    <row r="796" spans="1:12" x14ac:dyDescent="0.25">
      <c r="A796" t="s">
        <v>27</v>
      </c>
      <c r="B796" t="s">
        <v>27</v>
      </c>
      <c r="C796" t="s">
        <v>28</v>
      </c>
      <c r="D796" t="s">
        <v>16</v>
      </c>
      <c r="E796" s="2">
        <v>45352</v>
      </c>
      <c r="F796" s="3">
        <v>130316</v>
      </c>
      <c r="G796" s="3">
        <v>81472</v>
      </c>
      <c r="H796" s="3">
        <v>48844</v>
      </c>
      <c r="I796" s="3">
        <v>2303</v>
      </c>
      <c r="J796" s="4">
        <v>674.88</v>
      </c>
      <c r="K796" s="3">
        <v>102082</v>
      </c>
      <c r="L796" s="3">
        <v>28234</v>
      </c>
    </row>
    <row r="797" spans="1:12" x14ac:dyDescent="0.25">
      <c r="A797" t="s">
        <v>27</v>
      </c>
      <c r="B797" t="s">
        <v>27</v>
      </c>
      <c r="C797" t="s">
        <v>28</v>
      </c>
      <c r="D797" t="s">
        <v>16</v>
      </c>
      <c r="E797" s="2">
        <v>45383</v>
      </c>
      <c r="F797" s="3">
        <v>136441</v>
      </c>
      <c r="G797" s="3">
        <v>85593</v>
      </c>
      <c r="H797" s="3">
        <v>50848</v>
      </c>
      <c r="I797" s="3">
        <v>2279</v>
      </c>
      <c r="J797" s="4">
        <v>651.9</v>
      </c>
      <c r="K797" s="3">
        <v>108642</v>
      </c>
      <c r="L797" s="3">
        <v>27799</v>
      </c>
    </row>
    <row r="798" spans="1:12" x14ac:dyDescent="0.25">
      <c r="A798" t="s">
        <v>27</v>
      </c>
      <c r="B798" t="s">
        <v>27</v>
      </c>
      <c r="C798" t="s">
        <v>28</v>
      </c>
      <c r="D798" t="s">
        <v>16</v>
      </c>
      <c r="E798" s="2">
        <v>45413</v>
      </c>
      <c r="F798" s="3">
        <v>142784</v>
      </c>
      <c r="G798" s="3">
        <v>89536</v>
      </c>
      <c r="H798" s="3">
        <v>53248</v>
      </c>
      <c r="I798" s="3">
        <v>2410</v>
      </c>
      <c r="J798" s="4">
        <v>671.65</v>
      </c>
      <c r="K798" s="3">
        <v>113680</v>
      </c>
      <c r="L798" s="3">
        <v>29104</v>
      </c>
    </row>
    <row r="799" spans="1:12" x14ac:dyDescent="0.25">
      <c r="A799" t="s">
        <v>27</v>
      </c>
      <c r="B799" t="s">
        <v>27</v>
      </c>
      <c r="C799" t="s">
        <v>28</v>
      </c>
      <c r="D799" t="s">
        <v>16</v>
      </c>
      <c r="E799" s="2">
        <v>45444</v>
      </c>
      <c r="F799" s="3">
        <v>145309</v>
      </c>
      <c r="G799" s="3">
        <v>94658</v>
      </c>
      <c r="H799" s="3">
        <v>50651</v>
      </c>
      <c r="I799" s="3">
        <v>2506</v>
      </c>
      <c r="J799" s="4">
        <v>617.29</v>
      </c>
      <c r="K799" s="3">
        <v>115947</v>
      </c>
      <c r="L799" s="3">
        <v>29362</v>
      </c>
    </row>
    <row r="800" spans="1:12" x14ac:dyDescent="0.25">
      <c r="A800" t="s">
        <v>27</v>
      </c>
      <c r="B800" t="s">
        <v>27</v>
      </c>
      <c r="C800" t="s">
        <v>28</v>
      </c>
      <c r="D800" t="s">
        <v>16</v>
      </c>
      <c r="E800" s="2">
        <v>45474</v>
      </c>
      <c r="F800" s="3">
        <v>149002</v>
      </c>
      <c r="G800" s="3">
        <v>97363</v>
      </c>
      <c r="H800" s="3">
        <v>51639</v>
      </c>
      <c r="I800" s="3">
        <v>2633</v>
      </c>
      <c r="J800" s="4">
        <v>653.72</v>
      </c>
      <c r="K800" s="3">
        <v>116192</v>
      </c>
      <c r="L800" s="3">
        <v>32810</v>
      </c>
    </row>
    <row r="801" spans="1:12" x14ac:dyDescent="0.25">
      <c r="A801" t="s">
        <v>27</v>
      </c>
      <c r="B801" t="s">
        <v>27</v>
      </c>
      <c r="C801" t="s">
        <v>28</v>
      </c>
      <c r="D801" t="s">
        <v>16</v>
      </c>
      <c r="E801" s="2">
        <v>45505</v>
      </c>
      <c r="F801" s="3">
        <v>155388</v>
      </c>
      <c r="G801" s="3">
        <v>99471</v>
      </c>
      <c r="H801" s="3">
        <v>55917</v>
      </c>
      <c r="I801" s="3">
        <v>2622</v>
      </c>
      <c r="J801" s="4">
        <v>631.04999999999995</v>
      </c>
      <c r="K801" s="3">
        <v>123093</v>
      </c>
      <c r="L801" s="3">
        <v>32295</v>
      </c>
    </row>
    <row r="802" spans="1:12" x14ac:dyDescent="0.25">
      <c r="A802" t="s">
        <v>27</v>
      </c>
      <c r="B802" t="s">
        <v>27</v>
      </c>
      <c r="C802" t="s">
        <v>28</v>
      </c>
      <c r="D802" t="s">
        <v>16</v>
      </c>
      <c r="E802" s="2">
        <v>45536</v>
      </c>
      <c r="F802" s="3">
        <v>181436</v>
      </c>
      <c r="G802" s="3">
        <v>116352</v>
      </c>
      <c r="H802" s="3">
        <v>65084</v>
      </c>
      <c r="I802" s="3">
        <v>3218</v>
      </c>
      <c r="J802" s="4">
        <v>657.69</v>
      </c>
      <c r="K802" s="3">
        <v>141690</v>
      </c>
      <c r="L802" s="3">
        <v>39746</v>
      </c>
    </row>
    <row r="803" spans="1:12" x14ac:dyDescent="0.25">
      <c r="A803" t="s">
        <v>27</v>
      </c>
      <c r="B803" t="s">
        <v>27</v>
      </c>
      <c r="C803" t="s">
        <v>28</v>
      </c>
      <c r="D803" t="s">
        <v>16</v>
      </c>
      <c r="E803" s="2">
        <v>45566</v>
      </c>
      <c r="F803" s="3">
        <v>177832</v>
      </c>
      <c r="G803" s="3">
        <v>113881</v>
      </c>
      <c r="H803" s="3">
        <v>63951</v>
      </c>
      <c r="I803" s="3">
        <v>3074</v>
      </c>
      <c r="J803" s="4">
        <v>637.76</v>
      </c>
      <c r="K803" s="3">
        <v>142063</v>
      </c>
      <c r="L803" s="3">
        <v>35769</v>
      </c>
    </row>
    <row r="804" spans="1:12" x14ac:dyDescent="0.25">
      <c r="A804" t="s">
        <v>27</v>
      </c>
      <c r="B804" t="s">
        <v>27</v>
      </c>
      <c r="C804" t="s">
        <v>28</v>
      </c>
      <c r="D804" t="s">
        <v>16</v>
      </c>
      <c r="E804" s="2">
        <v>45597</v>
      </c>
      <c r="F804" s="3">
        <v>176598</v>
      </c>
      <c r="G804" s="3">
        <v>111760</v>
      </c>
      <c r="H804" s="3">
        <v>64838</v>
      </c>
      <c r="I804" s="3">
        <v>3036</v>
      </c>
      <c r="J804" s="4">
        <v>637.34</v>
      </c>
      <c r="K804" s="3">
        <v>137730</v>
      </c>
      <c r="L804" s="3">
        <v>38868</v>
      </c>
    </row>
    <row r="805" spans="1:12" x14ac:dyDescent="0.25">
      <c r="A805" t="s">
        <v>27</v>
      </c>
      <c r="B805" t="s">
        <v>27</v>
      </c>
      <c r="C805" t="s">
        <v>28</v>
      </c>
      <c r="D805" t="s">
        <v>16</v>
      </c>
      <c r="E805" s="2">
        <v>45627</v>
      </c>
      <c r="F805" s="3">
        <v>181086</v>
      </c>
      <c r="G805" s="3">
        <v>113788</v>
      </c>
      <c r="H805" s="3">
        <v>67298</v>
      </c>
      <c r="I805" s="3">
        <v>3225</v>
      </c>
      <c r="J805" s="4">
        <v>623.51</v>
      </c>
      <c r="K805" s="3">
        <v>143827</v>
      </c>
      <c r="L805" s="3">
        <v>37259</v>
      </c>
    </row>
    <row r="806" spans="1:12" x14ac:dyDescent="0.25">
      <c r="A806" t="s">
        <v>27</v>
      </c>
      <c r="B806" t="s">
        <v>27</v>
      </c>
      <c r="C806" t="s">
        <v>28</v>
      </c>
      <c r="D806" t="s">
        <v>16</v>
      </c>
      <c r="E806" s="2">
        <v>45658</v>
      </c>
      <c r="F806" s="3">
        <v>171508</v>
      </c>
      <c r="G806" s="3">
        <v>111545</v>
      </c>
      <c r="H806" s="3">
        <v>59963</v>
      </c>
      <c r="I806" s="3">
        <v>2830</v>
      </c>
      <c r="J806" s="4">
        <v>613.92999999999995</v>
      </c>
      <c r="K806" s="3">
        <v>135846</v>
      </c>
      <c r="L806" s="3">
        <v>35662</v>
      </c>
    </row>
    <row r="807" spans="1:12" x14ac:dyDescent="0.25">
      <c r="A807" t="s">
        <v>27</v>
      </c>
      <c r="B807" t="s">
        <v>27</v>
      </c>
      <c r="C807" t="s">
        <v>28</v>
      </c>
      <c r="D807" t="s">
        <v>16</v>
      </c>
      <c r="E807" s="2">
        <v>45689</v>
      </c>
      <c r="F807" s="3">
        <v>153602</v>
      </c>
      <c r="G807" s="3">
        <v>98463</v>
      </c>
      <c r="H807" s="3">
        <v>55139</v>
      </c>
      <c r="I807" s="3">
        <v>2755</v>
      </c>
      <c r="J807" s="4">
        <v>656.53</v>
      </c>
      <c r="K807" s="3">
        <v>120761</v>
      </c>
      <c r="L807" s="3">
        <v>32841</v>
      </c>
    </row>
    <row r="808" spans="1:12" x14ac:dyDescent="0.25">
      <c r="A808" t="s">
        <v>27</v>
      </c>
      <c r="B808" t="s">
        <v>27</v>
      </c>
      <c r="C808" t="s">
        <v>28</v>
      </c>
      <c r="D808" t="s">
        <v>16</v>
      </c>
      <c r="E808" s="2">
        <v>45717</v>
      </c>
      <c r="F808" s="3">
        <v>160692</v>
      </c>
      <c r="G808" s="3">
        <v>100660</v>
      </c>
      <c r="H808" s="3">
        <v>60032</v>
      </c>
      <c r="I808" s="3">
        <v>2715</v>
      </c>
      <c r="J808" s="4">
        <v>650.94000000000005</v>
      </c>
      <c r="K808" s="3">
        <v>125992</v>
      </c>
      <c r="L808" s="3">
        <v>34700</v>
      </c>
    </row>
    <row r="809" spans="1:12" x14ac:dyDescent="0.25">
      <c r="A809" t="s">
        <v>27</v>
      </c>
      <c r="B809" t="s">
        <v>27</v>
      </c>
      <c r="C809" t="s">
        <v>28</v>
      </c>
      <c r="D809" t="s">
        <v>16</v>
      </c>
      <c r="E809" s="2">
        <v>45748</v>
      </c>
      <c r="F809" s="3">
        <v>160633</v>
      </c>
      <c r="G809" s="3">
        <v>102231</v>
      </c>
      <c r="H809" s="3">
        <v>58402</v>
      </c>
      <c r="I809" s="3">
        <v>2750</v>
      </c>
      <c r="J809" s="4">
        <v>655.62</v>
      </c>
      <c r="K809" s="3">
        <v>125970</v>
      </c>
      <c r="L809" s="3">
        <v>34663</v>
      </c>
    </row>
    <row r="810" spans="1:12" x14ac:dyDescent="0.25">
      <c r="A810" t="s">
        <v>27</v>
      </c>
      <c r="B810" t="s">
        <v>27</v>
      </c>
      <c r="C810" t="s">
        <v>28</v>
      </c>
      <c r="D810" t="s">
        <v>16</v>
      </c>
      <c r="E810" s="2">
        <v>45778</v>
      </c>
      <c r="F810" s="3">
        <v>153986</v>
      </c>
      <c r="G810" s="3">
        <v>100774</v>
      </c>
      <c r="H810" s="3">
        <v>53212</v>
      </c>
      <c r="I810" s="3">
        <v>2781</v>
      </c>
      <c r="J810" s="4">
        <v>656.23</v>
      </c>
      <c r="K810" s="3">
        <v>121908</v>
      </c>
      <c r="L810" s="3">
        <v>32078</v>
      </c>
    </row>
    <row r="811" spans="1:12" x14ac:dyDescent="0.25">
      <c r="A811" t="s">
        <v>27</v>
      </c>
      <c r="B811" t="s">
        <v>27</v>
      </c>
      <c r="C811" t="s">
        <v>28</v>
      </c>
      <c r="D811" t="s">
        <v>16</v>
      </c>
      <c r="E811" s="2">
        <v>45809</v>
      </c>
      <c r="F811" s="3">
        <v>167957</v>
      </c>
      <c r="G811" s="3">
        <v>109230</v>
      </c>
      <c r="H811" s="3">
        <v>58727</v>
      </c>
      <c r="I811" s="3">
        <v>2805</v>
      </c>
      <c r="J811" s="4">
        <v>612.38</v>
      </c>
      <c r="K811" s="3">
        <v>131778</v>
      </c>
      <c r="L811" s="3">
        <v>36179</v>
      </c>
    </row>
    <row r="812" spans="1:12" x14ac:dyDescent="0.25">
      <c r="A812" t="s">
        <v>27</v>
      </c>
      <c r="B812" t="s">
        <v>27</v>
      </c>
      <c r="C812" t="s">
        <v>28</v>
      </c>
      <c r="D812" t="s">
        <v>16</v>
      </c>
      <c r="E812" s="2">
        <v>45839</v>
      </c>
      <c r="F812" s="3">
        <v>173306</v>
      </c>
      <c r="G812" s="3">
        <v>109630</v>
      </c>
      <c r="H812" s="3">
        <v>63676</v>
      </c>
      <c r="I812" s="3">
        <v>3077</v>
      </c>
      <c r="J812" s="4">
        <v>647.27</v>
      </c>
      <c r="K812" s="3">
        <v>137130</v>
      </c>
      <c r="L812" s="3">
        <v>36176</v>
      </c>
    </row>
    <row r="813" spans="1:12" x14ac:dyDescent="0.25">
      <c r="A813" t="s">
        <v>27</v>
      </c>
      <c r="B813" t="s">
        <v>27</v>
      </c>
      <c r="C813" t="s">
        <v>28</v>
      </c>
      <c r="D813" t="s">
        <v>16</v>
      </c>
      <c r="E813" s="2">
        <v>45870</v>
      </c>
      <c r="F813" s="3">
        <v>193992</v>
      </c>
      <c r="G813" s="3">
        <v>121492</v>
      </c>
      <c r="H813" s="3">
        <v>72500</v>
      </c>
      <c r="I813" s="3">
        <v>3423</v>
      </c>
      <c r="J813" s="4">
        <v>634.03</v>
      </c>
      <c r="K813" s="3">
        <v>153757</v>
      </c>
      <c r="L813" s="3">
        <v>40235</v>
      </c>
    </row>
    <row r="814" spans="1:12" x14ac:dyDescent="0.25">
      <c r="A814" t="s">
        <v>27</v>
      </c>
      <c r="B814" t="s">
        <v>27</v>
      </c>
      <c r="C814" t="s">
        <v>28</v>
      </c>
      <c r="D814" t="s">
        <v>16</v>
      </c>
      <c r="E814" s="2">
        <v>45901</v>
      </c>
      <c r="F814" s="3">
        <v>201830</v>
      </c>
      <c r="G814" s="3">
        <v>129802</v>
      </c>
      <c r="H814" s="3">
        <v>72028</v>
      </c>
      <c r="I814" s="3">
        <v>3563</v>
      </c>
      <c r="J814" s="4">
        <v>651.73</v>
      </c>
      <c r="K814" s="3">
        <v>158767</v>
      </c>
      <c r="L814" s="3">
        <v>43063</v>
      </c>
    </row>
    <row r="815" spans="1:12" x14ac:dyDescent="0.25">
      <c r="A815" t="s">
        <v>27</v>
      </c>
      <c r="B815" t="s">
        <v>27</v>
      </c>
      <c r="C815" t="s">
        <v>28</v>
      </c>
      <c r="D815" t="s">
        <v>16</v>
      </c>
      <c r="E815" s="2">
        <v>45931</v>
      </c>
      <c r="F815" s="3">
        <v>207392</v>
      </c>
      <c r="G815" s="3">
        <v>134837</v>
      </c>
      <c r="H815" s="3">
        <v>72555</v>
      </c>
      <c r="I815" s="3">
        <v>3636</v>
      </c>
      <c r="J815" s="4">
        <v>662.99</v>
      </c>
      <c r="K815" s="3">
        <v>162118</v>
      </c>
      <c r="L815" s="3">
        <v>45274</v>
      </c>
    </row>
    <row r="816" spans="1:12" x14ac:dyDescent="0.25">
      <c r="A816" t="s">
        <v>27</v>
      </c>
      <c r="B816" t="s">
        <v>27</v>
      </c>
      <c r="C816" t="s">
        <v>28</v>
      </c>
      <c r="D816" t="s">
        <v>16</v>
      </c>
      <c r="E816" s="2">
        <v>45962</v>
      </c>
      <c r="F816" s="3">
        <v>214782</v>
      </c>
      <c r="G816" s="3">
        <v>134335</v>
      </c>
      <c r="H816" s="3">
        <v>80447</v>
      </c>
      <c r="I816" s="3">
        <v>3568</v>
      </c>
      <c r="J816" s="4">
        <v>641.57000000000005</v>
      </c>
      <c r="K816" s="3">
        <v>167892</v>
      </c>
      <c r="L816" s="3">
        <v>46890</v>
      </c>
    </row>
    <row r="817" spans="1:12" x14ac:dyDescent="0.25">
      <c r="A817" t="s">
        <v>27</v>
      </c>
      <c r="B817" t="s">
        <v>27</v>
      </c>
      <c r="C817" t="s">
        <v>28</v>
      </c>
      <c r="D817" t="s">
        <v>16</v>
      </c>
      <c r="E817" s="2">
        <v>45992</v>
      </c>
      <c r="F817" s="3">
        <v>201839</v>
      </c>
      <c r="G817" s="3">
        <v>127084</v>
      </c>
      <c r="H817" s="3">
        <v>74755</v>
      </c>
      <c r="I817" s="3">
        <v>3569</v>
      </c>
      <c r="J817" s="4">
        <v>644.26</v>
      </c>
      <c r="K817" s="3">
        <v>159512</v>
      </c>
      <c r="L817" s="3">
        <v>42327</v>
      </c>
    </row>
    <row r="818" spans="1:12" x14ac:dyDescent="0.25">
      <c r="A818" t="s">
        <v>27</v>
      </c>
      <c r="B818" t="s">
        <v>27</v>
      </c>
      <c r="C818" t="s">
        <v>28</v>
      </c>
      <c r="D818" t="s">
        <v>17</v>
      </c>
      <c r="E818" s="2">
        <v>45292</v>
      </c>
      <c r="F818" s="3">
        <v>108046</v>
      </c>
      <c r="G818" s="3">
        <v>66408</v>
      </c>
      <c r="H818" s="3">
        <v>41638</v>
      </c>
      <c r="I818" s="3">
        <v>640</v>
      </c>
      <c r="J818" s="4">
        <v>342.19</v>
      </c>
      <c r="K818" s="3">
        <v>84431</v>
      </c>
      <c r="L818" s="3">
        <v>23615</v>
      </c>
    </row>
    <row r="819" spans="1:12" x14ac:dyDescent="0.25">
      <c r="A819" t="s">
        <v>27</v>
      </c>
      <c r="B819" t="s">
        <v>27</v>
      </c>
      <c r="C819" t="s">
        <v>28</v>
      </c>
      <c r="D819" t="s">
        <v>17</v>
      </c>
      <c r="E819" s="2">
        <v>45323</v>
      </c>
      <c r="F819" s="3">
        <v>101017</v>
      </c>
      <c r="G819" s="3">
        <v>60385</v>
      </c>
      <c r="H819" s="3">
        <v>40632</v>
      </c>
      <c r="I819" s="3">
        <v>618</v>
      </c>
      <c r="J819" s="4">
        <v>349.44</v>
      </c>
      <c r="K819" s="3">
        <v>80245</v>
      </c>
      <c r="L819" s="3">
        <v>20772</v>
      </c>
    </row>
    <row r="820" spans="1:12" x14ac:dyDescent="0.25">
      <c r="A820" t="s">
        <v>27</v>
      </c>
      <c r="B820" t="s">
        <v>27</v>
      </c>
      <c r="C820" t="s">
        <v>28</v>
      </c>
      <c r="D820" t="s">
        <v>17</v>
      </c>
      <c r="E820" s="2">
        <v>45352</v>
      </c>
      <c r="F820" s="3">
        <v>90734</v>
      </c>
      <c r="G820" s="3">
        <v>54027</v>
      </c>
      <c r="H820" s="3">
        <v>36707</v>
      </c>
      <c r="I820" s="3">
        <v>566</v>
      </c>
      <c r="J820" s="4">
        <v>351.61</v>
      </c>
      <c r="K820" s="3">
        <v>72203</v>
      </c>
      <c r="L820" s="3">
        <v>18531</v>
      </c>
    </row>
    <row r="821" spans="1:12" x14ac:dyDescent="0.25">
      <c r="A821" t="s">
        <v>27</v>
      </c>
      <c r="B821" t="s">
        <v>27</v>
      </c>
      <c r="C821" t="s">
        <v>28</v>
      </c>
      <c r="D821" t="s">
        <v>17</v>
      </c>
      <c r="E821" s="2">
        <v>45383</v>
      </c>
      <c r="F821" s="3">
        <v>97789</v>
      </c>
      <c r="G821" s="3">
        <v>57986</v>
      </c>
      <c r="H821" s="3">
        <v>39803</v>
      </c>
      <c r="I821" s="3">
        <v>597</v>
      </c>
      <c r="J821" s="4">
        <v>330.16</v>
      </c>
      <c r="K821" s="3">
        <v>77176</v>
      </c>
      <c r="L821" s="3">
        <v>20613</v>
      </c>
    </row>
    <row r="822" spans="1:12" x14ac:dyDescent="0.25">
      <c r="A822" t="s">
        <v>27</v>
      </c>
      <c r="B822" t="s">
        <v>27</v>
      </c>
      <c r="C822" t="s">
        <v>28</v>
      </c>
      <c r="D822" t="s">
        <v>17</v>
      </c>
      <c r="E822" s="2">
        <v>45413</v>
      </c>
      <c r="F822" s="3">
        <v>98104</v>
      </c>
      <c r="G822" s="3">
        <v>58407</v>
      </c>
      <c r="H822" s="3">
        <v>39697</v>
      </c>
      <c r="I822" s="3">
        <v>580</v>
      </c>
      <c r="J822" s="4">
        <v>321.75</v>
      </c>
      <c r="K822" s="3">
        <v>76696</v>
      </c>
      <c r="L822" s="3">
        <v>21408</v>
      </c>
    </row>
    <row r="823" spans="1:12" x14ac:dyDescent="0.25">
      <c r="A823" t="s">
        <v>27</v>
      </c>
      <c r="B823" t="s">
        <v>27</v>
      </c>
      <c r="C823" t="s">
        <v>28</v>
      </c>
      <c r="D823" t="s">
        <v>17</v>
      </c>
      <c r="E823" s="2">
        <v>45444</v>
      </c>
      <c r="F823" s="3">
        <v>107227</v>
      </c>
      <c r="G823" s="3">
        <v>63047</v>
      </c>
      <c r="H823" s="3">
        <v>44180</v>
      </c>
      <c r="I823" s="3">
        <v>666</v>
      </c>
      <c r="J823" s="4">
        <v>322.25</v>
      </c>
      <c r="K823" s="3">
        <v>85368</v>
      </c>
      <c r="L823" s="3">
        <v>21859</v>
      </c>
    </row>
    <row r="824" spans="1:12" x14ac:dyDescent="0.25">
      <c r="A824" t="s">
        <v>27</v>
      </c>
      <c r="B824" t="s">
        <v>27</v>
      </c>
      <c r="C824" t="s">
        <v>28</v>
      </c>
      <c r="D824" t="s">
        <v>17</v>
      </c>
      <c r="E824" s="2">
        <v>45474</v>
      </c>
      <c r="F824" s="3">
        <v>101917</v>
      </c>
      <c r="G824" s="3">
        <v>60635</v>
      </c>
      <c r="H824" s="3">
        <v>41282</v>
      </c>
      <c r="I824" s="3">
        <v>590</v>
      </c>
      <c r="J824" s="4">
        <v>345.05</v>
      </c>
      <c r="K824" s="3">
        <v>81439</v>
      </c>
      <c r="L824" s="3">
        <v>20478</v>
      </c>
    </row>
    <row r="825" spans="1:12" x14ac:dyDescent="0.25">
      <c r="A825" t="s">
        <v>27</v>
      </c>
      <c r="B825" t="s">
        <v>27</v>
      </c>
      <c r="C825" t="s">
        <v>28</v>
      </c>
      <c r="D825" t="s">
        <v>17</v>
      </c>
      <c r="E825" s="2">
        <v>45505</v>
      </c>
      <c r="F825" s="3">
        <v>109224</v>
      </c>
      <c r="G825" s="3">
        <v>64558</v>
      </c>
      <c r="H825" s="3">
        <v>44666</v>
      </c>
      <c r="I825" s="3">
        <v>632</v>
      </c>
      <c r="J825" s="4">
        <v>332.42</v>
      </c>
      <c r="K825" s="3">
        <v>87001</v>
      </c>
      <c r="L825" s="3">
        <v>22223</v>
      </c>
    </row>
    <row r="826" spans="1:12" x14ac:dyDescent="0.25">
      <c r="A826" t="s">
        <v>27</v>
      </c>
      <c r="B826" t="s">
        <v>27</v>
      </c>
      <c r="C826" t="s">
        <v>28</v>
      </c>
      <c r="D826" t="s">
        <v>17</v>
      </c>
      <c r="E826" s="2">
        <v>45536</v>
      </c>
      <c r="F826" s="3">
        <v>120378</v>
      </c>
      <c r="G826" s="3">
        <v>73764</v>
      </c>
      <c r="H826" s="3">
        <v>46614</v>
      </c>
      <c r="I826" s="3">
        <v>761</v>
      </c>
      <c r="J826" s="4">
        <v>321.20999999999998</v>
      </c>
      <c r="K826" s="3">
        <v>95910</v>
      </c>
      <c r="L826" s="3">
        <v>24468</v>
      </c>
    </row>
    <row r="827" spans="1:12" x14ac:dyDescent="0.25">
      <c r="A827" t="s">
        <v>27</v>
      </c>
      <c r="B827" t="s">
        <v>27</v>
      </c>
      <c r="C827" t="s">
        <v>28</v>
      </c>
      <c r="D827" t="s">
        <v>17</v>
      </c>
      <c r="E827" s="2">
        <v>45566</v>
      </c>
      <c r="F827" s="3">
        <v>117638</v>
      </c>
      <c r="G827" s="3">
        <v>71714</v>
      </c>
      <c r="H827" s="3">
        <v>45924</v>
      </c>
      <c r="I827" s="3">
        <v>705</v>
      </c>
      <c r="J827" s="4">
        <v>351.04</v>
      </c>
      <c r="K827" s="3">
        <v>92801</v>
      </c>
      <c r="L827" s="3">
        <v>24837</v>
      </c>
    </row>
    <row r="828" spans="1:12" x14ac:dyDescent="0.25">
      <c r="A828" t="s">
        <v>27</v>
      </c>
      <c r="B828" t="s">
        <v>27</v>
      </c>
      <c r="C828" t="s">
        <v>28</v>
      </c>
      <c r="D828" t="s">
        <v>17</v>
      </c>
      <c r="E828" s="2">
        <v>45597</v>
      </c>
      <c r="F828" s="3">
        <v>122595</v>
      </c>
      <c r="G828" s="3">
        <v>73404</v>
      </c>
      <c r="H828" s="3">
        <v>49191</v>
      </c>
      <c r="I828" s="3">
        <v>767</v>
      </c>
      <c r="J828" s="4">
        <v>323.67</v>
      </c>
      <c r="K828" s="3">
        <v>97197</v>
      </c>
      <c r="L828" s="3">
        <v>25398</v>
      </c>
    </row>
    <row r="829" spans="1:12" x14ac:dyDescent="0.25">
      <c r="A829" t="s">
        <v>27</v>
      </c>
      <c r="B829" t="s">
        <v>27</v>
      </c>
      <c r="C829" t="s">
        <v>28</v>
      </c>
      <c r="D829" t="s">
        <v>17</v>
      </c>
      <c r="E829" s="2">
        <v>45627</v>
      </c>
      <c r="F829" s="3">
        <v>123336</v>
      </c>
      <c r="G829" s="3">
        <v>73997</v>
      </c>
      <c r="H829" s="3">
        <v>49339</v>
      </c>
      <c r="I829" s="3">
        <v>755</v>
      </c>
      <c r="J829" s="4">
        <v>332.05</v>
      </c>
      <c r="K829" s="3">
        <v>96728</v>
      </c>
      <c r="L829" s="3">
        <v>26608</v>
      </c>
    </row>
    <row r="830" spans="1:12" x14ac:dyDescent="0.25">
      <c r="A830" t="s">
        <v>27</v>
      </c>
      <c r="B830" t="s">
        <v>27</v>
      </c>
      <c r="C830" t="s">
        <v>28</v>
      </c>
      <c r="D830" t="s">
        <v>17</v>
      </c>
      <c r="E830" s="2">
        <v>45658</v>
      </c>
      <c r="F830" s="3">
        <v>112985</v>
      </c>
      <c r="G830" s="3">
        <v>68732</v>
      </c>
      <c r="H830" s="3">
        <v>44253</v>
      </c>
      <c r="I830" s="3">
        <v>690</v>
      </c>
      <c r="J830" s="4">
        <v>328.13</v>
      </c>
      <c r="K830" s="3">
        <v>90139</v>
      </c>
      <c r="L830" s="3">
        <v>22846</v>
      </c>
    </row>
    <row r="831" spans="1:12" x14ac:dyDescent="0.25">
      <c r="A831" t="s">
        <v>27</v>
      </c>
      <c r="B831" t="s">
        <v>27</v>
      </c>
      <c r="C831" t="s">
        <v>28</v>
      </c>
      <c r="D831" t="s">
        <v>17</v>
      </c>
      <c r="E831" s="2">
        <v>45689</v>
      </c>
      <c r="F831" s="3">
        <v>108606</v>
      </c>
      <c r="G831" s="3">
        <v>63564</v>
      </c>
      <c r="H831" s="3">
        <v>45042</v>
      </c>
      <c r="I831" s="3">
        <v>635</v>
      </c>
      <c r="J831" s="4">
        <v>335.51</v>
      </c>
      <c r="K831" s="3">
        <v>85183</v>
      </c>
      <c r="L831" s="3">
        <v>23423</v>
      </c>
    </row>
    <row r="832" spans="1:12" x14ac:dyDescent="0.25">
      <c r="A832" t="s">
        <v>27</v>
      </c>
      <c r="B832" t="s">
        <v>27</v>
      </c>
      <c r="C832" t="s">
        <v>28</v>
      </c>
      <c r="D832" t="s">
        <v>17</v>
      </c>
      <c r="E832" s="2">
        <v>45717</v>
      </c>
      <c r="F832" s="3">
        <v>100330</v>
      </c>
      <c r="G832" s="3">
        <v>59584</v>
      </c>
      <c r="H832" s="3">
        <v>40746</v>
      </c>
      <c r="I832" s="3">
        <v>637</v>
      </c>
      <c r="J832" s="4">
        <v>320.54000000000002</v>
      </c>
      <c r="K832" s="3">
        <v>79861</v>
      </c>
      <c r="L832" s="3">
        <v>20469</v>
      </c>
    </row>
    <row r="833" spans="1:12" x14ac:dyDescent="0.25">
      <c r="A833" t="s">
        <v>27</v>
      </c>
      <c r="B833" t="s">
        <v>27</v>
      </c>
      <c r="C833" t="s">
        <v>28</v>
      </c>
      <c r="D833" t="s">
        <v>17</v>
      </c>
      <c r="E833" s="2">
        <v>45748</v>
      </c>
      <c r="F833" s="3">
        <v>108784</v>
      </c>
      <c r="G833" s="3">
        <v>63699</v>
      </c>
      <c r="H833" s="3">
        <v>45085</v>
      </c>
      <c r="I833" s="3">
        <v>659</v>
      </c>
      <c r="J833" s="4">
        <v>350.97</v>
      </c>
      <c r="K833" s="3">
        <v>85142</v>
      </c>
      <c r="L833" s="3">
        <v>23642</v>
      </c>
    </row>
    <row r="834" spans="1:12" x14ac:dyDescent="0.25">
      <c r="A834" t="s">
        <v>27</v>
      </c>
      <c r="B834" t="s">
        <v>27</v>
      </c>
      <c r="C834" t="s">
        <v>28</v>
      </c>
      <c r="D834" t="s">
        <v>17</v>
      </c>
      <c r="E834" s="2">
        <v>45778</v>
      </c>
      <c r="F834" s="3">
        <v>110174</v>
      </c>
      <c r="G834" s="3">
        <v>66421</v>
      </c>
      <c r="H834" s="3">
        <v>43753</v>
      </c>
      <c r="I834" s="3">
        <v>674</v>
      </c>
      <c r="J834" s="4">
        <v>327.72</v>
      </c>
      <c r="K834" s="3">
        <v>87482</v>
      </c>
      <c r="L834" s="3">
        <v>22692</v>
      </c>
    </row>
    <row r="835" spans="1:12" x14ac:dyDescent="0.25">
      <c r="A835" t="s">
        <v>27</v>
      </c>
      <c r="B835" t="s">
        <v>27</v>
      </c>
      <c r="C835" t="s">
        <v>28</v>
      </c>
      <c r="D835" t="s">
        <v>17</v>
      </c>
      <c r="E835" s="2">
        <v>45809</v>
      </c>
      <c r="F835" s="3">
        <v>106015</v>
      </c>
      <c r="G835" s="3">
        <v>63354</v>
      </c>
      <c r="H835" s="3">
        <v>42661</v>
      </c>
      <c r="I835" s="3">
        <v>642</v>
      </c>
      <c r="J835" s="4">
        <v>329.96</v>
      </c>
      <c r="K835" s="3">
        <v>83630</v>
      </c>
      <c r="L835" s="3">
        <v>22385</v>
      </c>
    </row>
    <row r="836" spans="1:12" x14ac:dyDescent="0.25">
      <c r="A836" t="s">
        <v>27</v>
      </c>
      <c r="B836" t="s">
        <v>27</v>
      </c>
      <c r="C836" t="s">
        <v>28</v>
      </c>
      <c r="D836" t="s">
        <v>17</v>
      </c>
      <c r="E836" s="2">
        <v>45839</v>
      </c>
      <c r="F836" s="3">
        <v>119213</v>
      </c>
      <c r="G836" s="3">
        <v>70164</v>
      </c>
      <c r="H836" s="3">
        <v>49049</v>
      </c>
      <c r="I836" s="3">
        <v>689</v>
      </c>
      <c r="J836" s="4">
        <v>338.65</v>
      </c>
      <c r="K836" s="3">
        <v>92822</v>
      </c>
      <c r="L836" s="3">
        <v>26391</v>
      </c>
    </row>
    <row r="837" spans="1:12" x14ac:dyDescent="0.25">
      <c r="A837" t="s">
        <v>27</v>
      </c>
      <c r="B837" t="s">
        <v>27</v>
      </c>
      <c r="C837" t="s">
        <v>28</v>
      </c>
      <c r="D837" t="s">
        <v>17</v>
      </c>
      <c r="E837" s="2">
        <v>45870</v>
      </c>
      <c r="F837" s="3">
        <v>128514</v>
      </c>
      <c r="G837" s="3">
        <v>78189</v>
      </c>
      <c r="H837" s="3">
        <v>50325</v>
      </c>
      <c r="I837" s="3">
        <v>742</v>
      </c>
      <c r="J837" s="4">
        <v>332.33</v>
      </c>
      <c r="K837" s="3">
        <v>102190</v>
      </c>
      <c r="L837" s="3">
        <v>26324</v>
      </c>
    </row>
    <row r="838" spans="1:12" x14ac:dyDescent="0.25">
      <c r="A838" t="s">
        <v>27</v>
      </c>
      <c r="B838" t="s">
        <v>27</v>
      </c>
      <c r="C838" t="s">
        <v>28</v>
      </c>
      <c r="D838" t="s">
        <v>17</v>
      </c>
      <c r="E838" s="2">
        <v>45901</v>
      </c>
      <c r="F838" s="3">
        <v>138778</v>
      </c>
      <c r="G838" s="3">
        <v>83496</v>
      </c>
      <c r="H838" s="3">
        <v>55282</v>
      </c>
      <c r="I838" s="3">
        <v>867</v>
      </c>
      <c r="J838" s="4">
        <v>338.23</v>
      </c>
      <c r="K838" s="3">
        <v>109857</v>
      </c>
      <c r="L838" s="3">
        <v>28921</v>
      </c>
    </row>
    <row r="839" spans="1:12" x14ac:dyDescent="0.25">
      <c r="A839" t="s">
        <v>27</v>
      </c>
      <c r="B839" t="s">
        <v>27</v>
      </c>
      <c r="C839" t="s">
        <v>28</v>
      </c>
      <c r="D839" t="s">
        <v>17</v>
      </c>
      <c r="E839" s="2">
        <v>45931</v>
      </c>
      <c r="F839" s="3">
        <v>132442</v>
      </c>
      <c r="G839" s="3">
        <v>78201</v>
      </c>
      <c r="H839" s="3">
        <v>54241</v>
      </c>
      <c r="I839" s="3">
        <v>778</v>
      </c>
      <c r="J839" s="4">
        <v>344.47</v>
      </c>
      <c r="K839" s="3">
        <v>104500</v>
      </c>
      <c r="L839" s="3">
        <v>27942</v>
      </c>
    </row>
    <row r="840" spans="1:12" x14ac:dyDescent="0.25">
      <c r="A840" t="s">
        <v>27</v>
      </c>
      <c r="B840" t="s">
        <v>27</v>
      </c>
      <c r="C840" t="s">
        <v>28</v>
      </c>
      <c r="D840" t="s">
        <v>17</v>
      </c>
      <c r="E840" s="2">
        <v>45962</v>
      </c>
      <c r="F840" s="3">
        <v>128201</v>
      </c>
      <c r="G840" s="3">
        <v>77567</v>
      </c>
      <c r="H840" s="3">
        <v>50634</v>
      </c>
      <c r="I840" s="3">
        <v>791</v>
      </c>
      <c r="J840" s="4">
        <v>335.42</v>
      </c>
      <c r="K840" s="3">
        <v>100640</v>
      </c>
      <c r="L840" s="3">
        <v>27561</v>
      </c>
    </row>
    <row r="841" spans="1:12" x14ac:dyDescent="0.25">
      <c r="A841" t="s">
        <v>27</v>
      </c>
      <c r="B841" t="s">
        <v>27</v>
      </c>
      <c r="C841" t="s">
        <v>28</v>
      </c>
      <c r="D841" t="s">
        <v>17</v>
      </c>
      <c r="E841" s="2">
        <v>45992</v>
      </c>
      <c r="F841" s="3">
        <v>126506</v>
      </c>
      <c r="G841" s="3">
        <v>76026</v>
      </c>
      <c r="H841" s="3">
        <v>50480</v>
      </c>
      <c r="I841" s="3">
        <v>731</v>
      </c>
      <c r="J841" s="4">
        <v>327.36</v>
      </c>
      <c r="K841" s="3">
        <v>100067</v>
      </c>
      <c r="L841" s="3">
        <v>26439</v>
      </c>
    </row>
    <row r="842" spans="1:12" x14ac:dyDescent="0.25">
      <c r="A842" t="s">
        <v>27</v>
      </c>
      <c r="B842" t="s">
        <v>27</v>
      </c>
      <c r="C842" t="s">
        <v>28</v>
      </c>
      <c r="D842" t="s">
        <v>18</v>
      </c>
      <c r="E842" s="2">
        <v>45292</v>
      </c>
      <c r="F842" s="3">
        <v>101180</v>
      </c>
      <c r="G842" s="3">
        <v>62834</v>
      </c>
      <c r="H842" s="3">
        <v>38346</v>
      </c>
      <c r="I842" s="3">
        <v>3513</v>
      </c>
      <c r="J842" s="4">
        <v>186.1</v>
      </c>
      <c r="K842" s="3">
        <v>80611</v>
      </c>
      <c r="L842" s="3">
        <v>20569</v>
      </c>
    </row>
    <row r="843" spans="1:12" x14ac:dyDescent="0.25">
      <c r="A843" t="s">
        <v>27</v>
      </c>
      <c r="B843" t="s">
        <v>27</v>
      </c>
      <c r="C843" t="s">
        <v>28</v>
      </c>
      <c r="D843" t="s">
        <v>18</v>
      </c>
      <c r="E843" s="2">
        <v>45323</v>
      </c>
      <c r="F843" s="3">
        <v>90502</v>
      </c>
      <c r="G843" s="3">
        <v>56893</v>
      </c>
      <c r="H843" s="3">
        <v>33609</v>
      </c>
      <c r="I843" s="3">
        <v>3258</v>
      </c>
      <c r="J843" s="4">
        <v>197.79</v>
      </c>
      <c r="K843" s="3">
        <v>71418</v>
      </c>
      <c r="L843" s="3">
        <v>19084</v>
      </c>
    </row>
    <row r="844" spans="1:12" x14ac:dyDescent="0.25">
      <c r="A844" t="s">
        <v>27</v>
      </c>
      <c r="B844" t="s">
        <v>27</v>
      </c>
      <c r="C844" t="s">
        <v>28</v>
      </c>
      <c r="D844" t="s">
        <v>18</v>
      </c>
      <c r="E844" s="2">
        <v>45352</v>
      </c>
      <c r="F844" s="3">
        <v>86035</v>
      </c>
      <c r="G844" s="3">
        <v>53845</v>
      </c>
      <c r="H844" s="3">
        <v>32190</v>
      </c>
      <c r="I844" s="3">
        <v>2978</v>
      </c>
      <c r="J844" s="4">
        <v>191.94</v>
      </c>
      <c r="K844" s="3">
        <v>68674</v>
      </c>
      <c r="L844" s="3">
        <v>17361</v>
      </c>
    </row>
    <row r="845" spans="1:12" x14ac:dyDescent="0.25">
      <c r="A845" t="s">
        <v>27</v>
      </c>
      <c r="B845" t="s">
        <v>27</v>
      </c>
      <c r="C845" t="s">
        <v>28</v>
      </c>
      <c r="D845" t="s">
        <v>18</v>
      </c>
      <c r="E845" s="2">
        <v>45383</v>
      </c>
      <c r="F845" s="3">
        <v>89867</v>
      </c>
      <c r="G845" s="3">
        <v>54643</v>
      </c>
      <c r="H845" s="3">
        <v>35224</v>
      </c>
      <c r="I845" s="3">
        <v>3366</v>
      </c>
      <c r="J845" s="4">
        <v>192</v>
      </c>
      <c r="K845" s="3">
        <v>70966</v>
      </c>
      <c r="L845" s="3">
        <v>18901</v>
      </c>
    </row>
    <row r="846" spans="1:12" x14ac:dyDescent="0.25">
      <c r="A846" t="s">
        <v>27</v>
      </c>
      <c r="B846" t="s">
        <v>27</v>
      </c>
      <c r="C846" t="s">
        <v>28</v>
      </c>
      <c r="D846" t="s">
        <v>18</v>
      </c>
      <c r="E846" s="2">
        <v>45413</v>
      </c>
      <c r="F846" s="3">
        <v>89733</v>
      </c>
      <c r="G846" s="3">
        <v>56011</v>
      </c>
      <c r="H846" s="3">
        <v>33722</v>
      </c>
      <c r="I846" s="3">
        <v>3108</v>
      </c>
      <c r="J846" s="4">
        <v>191.44</v>
      </c>
      <c r="K846" s="3">
        <v>71725</v>
      </c>
      <c r="L846" s="3">
        <v>18008</v>
      </c>
    </row>
    <row r="847" spans="1:12" x14ac:dyDescent="0.25">
      <c r="A847" t="s">
        <v>27</v>
      </c>
      <c r="B847" t="s">
        <v>27</v>
      </c>
      <c r="C847" t="s">
        <v>28</v>
      </c>
      <c r="D847" t="s">
        <v>18</v>
      </c>
      <c r="E847" s="2">
        <v>45444</v>
      </c>
      <c r="F847" s="3">
        <v>96807</v>
      </c>
      <c r="G847" s="3">
        <v>59476</v>
      </c>
      <c r="H847" s="3">
        <v>37331</v>
      </c>
      <c r="I847" s="3">
        <v>3419</v>
      </c>
      <c r="J847" s="4">
        <v>187.68</v>
      </c>
      <c r="K847" s="3">
        <v>76766</v>
      </c>
      <c r="L847" s="3">
        <v>20041</v>
      </c>
    </row>
    <row r="848" spans="1:12" x14ac:dyDescent="0.25">
      <c r="A848" t="s">
        <v>27</v>
      </c>
      <c r="B848" t="s">
        <v>27</v>
      </c>
      <c r="C848" t="s">
        <v>28</v>
      </c>
      <c r="D848" t="s">
        <v>18</v>
      </c>
      <c r="E848" s="2">
        <v>45474</v>
      </c>
      <c r="F848" s="3">
        <v>105186</v>
      </c>
      <c r="G848" s="3">
        <v>65028</v>
      </c>
      <c r="H848" s="3">
        <v>40158</v>
      </c>
      <c r="I848" s="3">
        <v>3794</v>
      </c>
      <c r="J848" s="4">
        <v>188.78</v>
      </c>
      <c r="K848" s="3">
        <v>83670</v>
      </c>
      <c r="L848" s="3">
        <v>21516</v>
      </c>
    </row>
    <row r="849" spans="1:12" x14ac:dyDescent="0.25">
      <c r="A849" t="s">
        <v>27</v>
      </c>
      <c r="B849" t="s">
        <v>27</v>
      </c>
      <c r="C849" t="s">
        <v>28</v>
      </c>
      <c r="D849" t="s">
        <v>18</v>
      </c>
      <c r="E849" s="2">
        <v>45505</v>
      </c>
      <c r="F849" s="3">
        <v>106274</v>
      </c>
      <c r="G849" s="3">
        <v>64449</v>
      </c>
      <c r="H849" s="3">
        <v>41825</v>
      </c>
      <c r="I849" s="3">
        <v>3977</v>
      </c>
      <c r="J849" s="4">
        <v>190.83</v>
      </c>
      <c r="K849" s="3">
        <v>83645</v>
      </c>
      <c r="L849" s="3">
        <v>22629</v>
      </c>
    </row>
    <row r="850" spans="1:12" x14ac:dyDescent="0.25">
      <c r="A850" t="s">
        <v>27</v>
      </c>
      <c r="B850" t="s">
        <v>27</v>
      </c>
      <c r="C850" t="s">
        <v>28</v>
      </c>
      <c r="D850" t="s">
        <v>18</v>
      </c>
      <c r="E850" s="2">
        <v>45536</v>
      </c>
      <c r="F850" s="3">
        <v>115898</v>
      </c>
      <c r="G850" s="3">
        <v>71643</v>
      </c>
      <c r="H850" s="3">
        <v>44255</v>
      </c>
      <c r="I850" s="3">
        <v>4129</v>
      </c>
      <c r="J850" s="4">
        <v>203.63</v>
      </c>
      <c r="K850" s="3">
        <v>91676</v>
      </c>
      <c r="L850" s="3">
        <v>24222</v>
      </c>
    </row>
    <row r="851" spans="1:12" x14ac:dyDescent="0.25">
      <c r="A851" t="s">
        <v>27</v>
      </c>
      <c r="B851" t="s">
        <v>27</v>
      </c>
      <c r="C851" t="s">
        <v>28</v>
      </c>
      <c r="D851" t="s">
        <v>18</v>
      </c>
      <c r="E851" s="2">
        <v>45566</v>
      </c>
      <c r="F851" s="3">
        <v>115250</v>
      </c>
      <c r="G851" s="3">
        <v>71924</v>
      </c>
      <c r="H851" s="3">
        <v>43326</v>
      </c>
      <c r="I851" s="3">
        <v>4006</v>
      </c>
      <c r="J851" s="4">
        <v>200.34</v>
      </c>
      <c r="K851" s="3">
        <v>89985</v>
      </c>
      <c r="L851" s="3">
        <v>25265</v>
      </c>
    </row>
    <row r="852" spans="1:12" x14ac:dyDescent="0.25">
      <c r="A852" t="s">
        <v>27</v>
      </c>
      <c r="B852" t="s">
        <v>27</v>
      </c>
      <c r="C852" t="s">
        <v>28</v>
      </c>
      <c r="D852" t="s">
        <v>18</v>
      </c>
      <c r="E852" s="2">
        <v>45597</v>
      </c>
      <c r="F852" s="3">
        <v>112896</v>
      </c>
      <c r="G852" s="3">
        <v>70728</v>
      </c>
      <c r="H852" s="3">
        <v>42168</v>
      </c>
      <c r="I852" s="3">
        <v>4035</v>
      </c>
      <c r="J852" s="4">
        <v>196.71</v>
      </c>
      <c r="K852" s="3">
        <v>87924</v>
      </c>
      <c r="L852" s="3">
        <v>24972</v>
      </c>
    </row>
    <row r="853" spans="1:12" x14ac:dyDescent="0.25">
      <c r="A853" t="s">
        <v>27</v>
      </c>
      <c r="B853" t="s">
        <v>27</v>
      </c>
      <c r="C853" t="s">
        <v>28</v>
      </c>
      <c r="D853" t="s">
        <v>18</v>
      </c>
      <c r="E853" s="2">
        <v>45627</v>
      </c>
      <c r="F853" s="3">
        <v>113512</v>
      </c>
      <c r="G853" s="3">
        <v>70920</v>
      </c>
      <c r="H853" s="3">
        <v>42592</v>
      </c>
      <c r="I853" s="3">
        <v>3996</v>
      </c>
      <c r="J853" s="4">
        <v>194.73</v>
      </c>
      <c r="K853" s="3">
        <v>89732</v>
      </c>
      <c r="L853" s="3">
        <v>23780</v>
      </c>
    </row>
    <row r="854" spans="1:12" x14ac:dyDescent="0.25">
      <c r="A854" t="s">
        <v>27</v>
      </c>
      <c r="B854" t="s">
        <v>27</v>
      </c>
      <c r="C854" t="s">
        <v>28</v>
      </c>
      <c r="D854" t="s">
        <v>18</v>
      </c>
      <c r="E854" s="2">
        <v>45658</v>
      </c>
      <c r="F854" s="3">
        <v>111072</v>
      </c>
      <c r="G854" s="3">
        <v>69839</v>
      </c>
      <c r="H854" s="3">
        <v>41233</v>
      </c>
      <c r="I854" s="3">
        <v>3987</v>
      </c>
      <c r="J854" s="4">
        <v>192.99</v>
      </c>
      <c r="K854" s="3">
        <v>88475</v>
      </c>
      <c r="L854" s="3">
        <v>22597</v>
      </c>
    </row>
    <row r="855" spans="1:12" x14ac:dyDescent="0.25">
      <c r="A855" t="s">
        <v>27</v>
      </c>
      <c r="B855" t="s">
        <v>27</v>
      </c>
      <c r="C855" t="s">
        <v>28</v>
      </c>
      <c r="D855" t="s">
        <v>18</v>
      </c>
      <c r="E855" s="2">
        <v>45689</v>
      </c>
      <c r="F855" s="3">
        <v>100326</v>
      </c>
      <c r="G855" s="3">
        <v>63597</v>
      </c>
      <c r="H855" s="3">
        <v>36729</v>
      </c>
      <c r="I855" s="3">
        <v>3695</v>
      </c>
      <c r="J855" s="4">
        <v>195.33</v>
      </c>
      <c r="K855" s="3">
        <v>78722</v>
      </c>
      <c r="L855" s="3">
        <v>21604</v>
      </c>
    </row>
    <row r="856" spans="1:12" x14ac:dyDescent="0.25">
      <c r="A856" t="s">
        <v>27</v>
      </c>
      <c r="B856" t="s">
        <v>27</v>
      </c>
      <c r="C856" t="s">
        <v>28</v>
      </c>
      <c r="D856" t="s">
        <v>18</v>
      </c>
      <c r="E856" s="2">
        <v>45717</v>
      </c>
      <c r="F856" s="3">
        <v>100374</v>
      </c>
      <c r="G856" s="3">
        <v>62928</v>
      </c>
      <c r="H856" s="3">
        <v>37446</v>
      </c>
      <c r="I856" s="3">
        <v>3650</v>
      </c>
      <c r="J856" s="4">
        <v>192.78</v>
      </c>
      <c r="K856" s="3">
        <v>78977</v>
      </c>
      <c r="L856" s="3">
        <v>21397</v>
      </c>
    </row>
    <row r="857" spans="1:12" x14ac:dyDescent="0.25">
      <c r="A857" t="s">
        <v>27</v>
      </c>
      <c r="B857" t="s">
        <v>27</v>
      </c>
      <c r="C857" t="s">
        <v>28</v>
      </c>
      <c r="D857" t="s">
        <v>18</v>
      </c>
      <c r="E857" s="2">
        <v>45748</v>
      </c>
      <c r="F857" s="3">
        <v>95287</v>
      </c>
      <c r="G857" s="3">
        <v>59970</v>
      </c>
      <c r="H857" s="3">
        <v>35317</v>
      </c>
      <c r="I857" s="3">
        <v>3463</v>
      </c>
      <c r="J857" s="4">
        <v>186.41</v>
      </c>
      <c r="K857" s="3">
        <v>75956</v>
      </c>
      <c r="L857" s="3">
        <v>19331</v>
      </c>
    </row>
    <row r="858" spans="1:12" x14ac:dyDescent="0.25">
      <c r="A858" t="s">
        <v>27</v>
      </c>
      <c r="B858" t="s">
        <v>27</v>
      </c>
      <c r="C858" t="s">
        <v>28</v>
      </c>
      <c r="D858" t="s">
        <v>18</v>
      </c>
      <c r="E858" s="2">
        <v>45778</v>
      </c>
      <c r="F858" s="3">
        <v>93592</v>
      </c>
      <c r="G858" s="3">
        <v>58648</v>
      </c>
      <c r="H858" s="3">
        <v>34944</v>
      </c>
      <c r="I858" s="3">
        <v>3438</v>
      </c>
      <c r="J858" s="4">
        <v>193.83</v>
      </c>
      <c r="K858" s="3">
        <v>73261</v>
      </c>
      <c r="L858" s="3">
        <v>20331</v>
      </c>
    </row>
    <row r="859" spans="1:12" x14ac:dyDescent="0.25">
      <c r="A859" t="s">
        <v>27</v>
      </c>
      <c r="B859" t="s">
        <v>27</v>
      </c>
      <c r="C859" t="s">
        <v>28</v>
      </c>
      <c r="D859" t="s">
        <v>18</v>
      </c>
      <c r="E859" s="2">
        <v>45809</v>
      </c>
      <c r="F859" s="3">
        <v>101834</v>
      </c>
      <c r="G859" s="3">
        <v>62883</v>
      </c>
      <c r="H859" s="3">
        <v>38951</v>
      </c>
      <c r="I859" s="3">
        <v>3703</v>
      </c>
      <c r="J859" s="4">
        <v>204.06</v>
      </c>
      <c r="K859" s="3">
        <v>81167</v>
      </c>
      <c r="L859" s="3">
        <v>20667</v>
      </c>
    </row>
    <row r="860" spans="1:12" x14ac:dyDescent="0.25">
      <c r="A860" t="s">
        <v>27</v>
      </c>
      <c r="B860" t="s">
        <v>27</v>
      </c>
      <c r="C860" t="s">
        <v>28</v>
      </c>
      <c r="D860" t="s">
        <v>18</v>
      </c>
      <c r="E860" s="2">
        <v>45839</v>
      </c>
      <c r="F860" s="3">
        <v>110751</v>
      </c>
      <c r="G860" s="3">
        <v>68107</v>
      </c>
      <c r="H860" s="3">
        <v>42644</v>
      </c>
      <c r="I860" s="3">
        <v>4013</v>
      </c>
      <c r="J860" s="4">
        <v>186.74</v>
      </c>
      <c r="K860" s="3">
        <v>88409</v>
      </c>
      <c r="L860" s="3">
        <v>22342</v>
      </c>
    </row>
    <row r="861" spans="1:12" x14ac:dyDescent="0.25">
      <c r="A861" t="s">
        <v>27</v>
      </c>
      <c r="B861" t="s">
        <v>27</v>
      </c>
      <c r="C861" t="s">
        <v>28</v>
      </c>
      <c r="D861" t="s">
        <v>18</v>
      </c>
      <c r="E861" s="2">
        <v>45870</v>
      </c>
      <c r="F861" s="3">
        <v>108808</v>
      </c>
      <c r="G861" s="3">
        <v>68229</v>
      </c>
      <c r="H861" s="3">
        <v>40579</v>
      </c>
      <c r="I861" s="3">
        <v>4077</v>
      </c>
      <c r="J861" s="4">
        <v>200.66</v>
      </c>
      <c r="K861" s="3">
        <v>86250</v>
      </c>
      <c r="L861" s="3">
        <v>22558</v>
      </c>
    </row>
    <row r="862" spans="1:12" x14ac:dyDescent="0.25">
      <c r="A862" t="s">
        <v>27</v>
      </c>
      <c r="B862" t="s">
        <v>27</v>
      </c>
      <c r="C862" t="s">
        <v>28</v>
      </c>
      <c r="D862" t="s">
        <v>18</v>
      </c>
      <c r="E862" s="2">
        <v>45901</v>
      </c>
      <c r="F862" s="3">
        <v>119402</v>
      </c>
      <c r="G862" s="3">
        <v>72890</v>
      </c>
      <c r="H862" s="3">
        <v>46512</v>
      </c>
      <c r="I862" s="3">
        <v>4291</v>
      </c>
      <c r="J862" s="4">
        <v>198.46</v>
      </c>
      <c r="K862" s="3">
        <v>93473</v>
      </c>
      <c r="L862" s="3">
        <v>25929</v>
      </c>
    </row>
    <row r="863" spans="1:12" x14ac:dyDescent="0.25">
      <c r="A863" t="s">
        <v>27</v>
      </c>
      <c r="B863" t="s">
        <v>27</v>
      </c>
      <c r="C863" t="s">
        <v>28</v>
      </c>
      <c r="D863" t="s">
        <v>18</v>
      </c>
      <c r="E863" s="2">
        <v>45931</v>
      </c>
      <c r="F863" s="3">
        <v>122862</v>
      </c>
      <c r="G863" s="3">
        <v>77923</v>
      </c>
      <c r="H863" s="3">
        <v>44939</v>
      </c>
      <c r="I863" s="3">
        <v>4234</v>
      </c>
      <c r="J863" s="4">
        <v>187.36</v>
      </c>
      <c r="K863" s="3">
        <v>96363</v>
      </c>
      <c r="L863" s="3">
        <v>26499</v>
      </c>
    </row>
    <row r="864" spans="1:12" x14ac:dyDescent="0.25">
      <c r="A864" t="s">
        <v>27</v>
      </c>
      <c r="B864" t="s">
        <v>27</v>
      </c>
      <c r="C864" t="s">
        <v>28</v>
      </c>
      <c r="D864" t="s">
        <v>18</v>
      </c>
      <c r="E864" s="2">
        <v>45962</v>
      </c>
      <c r="F864" s="3">
        <v>128641</v>
      </c>
      <c r="G864" s="3">
        <v>80930</v>
      </c>
      <c r="H864" s="3">
        <v>47711</v>
      </c>
      <c r="I864" s="3">
        <v>4582</v>
      </c>
      <c r="J864" s="4">
        <v>198.61</v>
      </c>
      <c r="K864" s="3">
        <v>101242</v>
      </c>
      <c r="L864" s="3">
        <v>27399</v>
      </c>
    </row>
    <row r="865" spans="1:12" x14ac:dyDescent="0.25">
      <c r="A865" t="s">
        <v>27</v>
      </c>
      <c r="B865" t="s">
        <v>27</v>
      </c>
      <c r="C865" t="s">
        <v>28</v>
      </c>
      <c r="D865" t="s">
        <v>18</v>
      </c>
      <c r="E865" s="2">
        <v>45992</v>
      </c>
      <c r="F865" s="3">
        <v>112440</v>
      </c>
      <c r="G865" s="3">
        <v>68715</v>
      </c>
      <c r="H865" s="3">
        <v>43725</v>
      </c>
      <c r="I865" s="3">
        <v>4048</v>
      </c>
      <c r="J865" s="4">
        <v>204.23</v>
      </c>
      <c r="K865" s="3">
        <v>89418</v>
      </c>
      <c r="L865" s="3">
        <v>23022</v>
      </c>
    </row>
    <row r="866" spans="1:12" x14ac:dyDescent="0.25">
      <c r="A866" t="s">
        <v>27</v>
      </c>
      <c r="B866" t="s">
        <v>27</v>
      </c>
      <c r="C866" t="s">
        <v>28</v>
      </c>
      <c r="D866" t="s">
        <v>19</v>
      </c>
      <c r="E866" s="2">
        <v>45292</v>
      </c>
      <c r="F866" s="3">
        <v>90908</v>
      </c>
      <c r="G866" s="3">
        <v>51860</v>
      </c>
      <c r="H866" s="3">
        <v>39048</v>
      </c>
      <c r="I866" s="3">
        <v>3664</v>
      </c>
      <c r="J866" s="4">
        <v>107.86</v>
      </c>
      <c r="K866" s="3">
        <v>71189</v>
      </c>
      <c r="L866" s="3">
        <v>19719</v>
      </c>
    </row>
    <row r="867" spans="1:12" x14ac:dyDescent="0.25">
      <c r="A867" t="s">
        <v>27</v>
      </c>
      <c r="B867" t="s">
        <v>27</v>
      </c>
      <c r="C867" t="s">
        <v>28</v>
      </c>
      <c r="D867" t="s">
        <v>19</v>
      </c>
      <c r="E867" s="2">
        <v>45323</v>
      </c>
      <c r="F867" s="3">
        <v>87164</v>
      </c>
      <c r="G867" s="3">
        <v>50691</v>
      </c>
      <c r="H867" s="3">
        <v>36473</v>
      </c>
      <c r="I867" s="3">
        <v>3533</v>
      </c>
      <c r="J867" s="4">
        <v>110.14</v>
      </c>
      <c r="K867" s="3">
        <v>69127</v>
      </c>
      <c r="L867" s="3">
        <v>18037</v>
      </c>
    </row>
    <row r="868" spans="1:12" x14ac:dyDescent="0.25">
      <c r="A868" t="s">
        <v>27</v>
      </c>
      <c r="B868" t="s">
        <v>27</v>
      </c>
      <c r="C868" t="s">
        <v>28</v>
      </c>
      <c r="D868" t="s">
        <v>19</v>
      </c>
      <c r="E868" s="2">
        <v>45352</v>
      </c>
      <c r="F868" s="3">
        <v>80904</v>
      </c>
      <c r="G868" s="3">
        <v>47881</v>
      </c>
      <c r="H868" s="3">
        <v>33023</v>
      </c>
      <c r="I868" s="3">
        <v>3472</v>
      </c>
      <c r="J868" s="4">
        <v>111.98</v>
      </c>
      <c r="K868" s="3">
        <v>64482</v>
      </c>
      <c r="L868" s="3">
        <v>16422</v>
      </c>
    </row>
    <row r="869" spans="1:12" x14ac:dyDescent="0.25">
      <c r="A869" t="s">
        <v>27</v>
      </c>
      <c r="B869" t="s">
        <v>27</v>
      </c>
      <c r="C869" t="s">
        <v>28</v>
      </c>
      <c r="D869" t="s">
        <v>19</v>
      </c>
      <c r="E869" s="2">
        <v>45383</v>
      </c>
      <c r="F869" s="3">
        <v>78846</v>
      </c>
      <c r="G869" s="3">
        <v>45018</v>
      </c>
      <c r="H869" s="3">
        <v>33828</v>
      </c>
      <c r="I869" s="3">
        <v>3273</v>
      </c>
      <c r="J869" s="4">
        <v>115.34</v>
      </c>
      <c r="K869" s="3">
        <v>62205</v>
      </c>
      <c r="L869" s="3">
        <v>16641</v>
      </c>
    </row>
    <row r="870" spans="1:12" x14ac:dyDescent="0.25">
      <c r="A870" t="s">
        <v>27</v>
      </c>
      <c r="B870" t="s">
        <v>27</v>
      </c>
      <c r="C870" t="s">
        <v>28</v>
      </c>
      <c r="D870" t="s">
        <v>19</v>
      </c>
      <c r="E870" s="2">
        <v>45413</v>
      </c>
      <c r="F870" s="3">
        <v>79350</v>
      </c>
      <c r="G870" s="3">
        <v>45136</v>
      </c>
      <c r="H870" s="3">
        <v>34214</v>
      </c>
      <c r="I870" s="3">
        <v>3248</v>
      </c>
      <c r="J870" s="4">
        <v>109.71</v>
      </c>
      <c r="K870" s="3">
        <v>63082</v>
      </c>
      <c r="L870" s="3">
        <v>16268</v>
      </c>
    </row>
    <row r="871" spans="1:12" x14ac:dyDescent="0.25">
      <c r="A871" t="s">
        <v>27</v>
      </c>
      <c r="B871" t="s">
        <v>27</v>
      </c>
      <c r="C871" t="s">
        <v>28</v>
      </c>
      <c r="D871" t="s">
        <v>19</v>
      </c>
      <c r="E871" s="2">
        <v>45444</v>
      </c>
      <c r="F871" s="3">
        <v>90303</v>
      </c>
      <c r="G871" s="3">
        <v>52365</v>
      </c>
      <c r="H871" s="3">
        <v>37938</v>
      </c>
      <c r="I871" s="3">
        <v>3738</v>
      </c>
      <c r="J871" s="4">
        <v>109.53</v>
      </c>
      <c r="K871" s="3">
        <v>71196</v>
      </c>
      <c r="L871" s="3">
        <v>19107</v>
      </c>
    </row>
    <row r="872" spans="1:12" x14ac:dyDescent="0.25">
      <c r="A872" t="s">
        <v>27</v>
      </c>
      <c r="B872" t="s">
        <v>27</v>
      </c>
      <c r="C872" t="s">
        <v>28</v>
      </c>
      <c r="D872" t="s">
        <v>19</v>
      </c>
      <c r="E872" s="2">
        <v>45474</v>
      </c>
      <c r="F872" s="3">
        <v>98955</v>
      </c>
      <c r="G872" s="3">
        <v>56541</v>
      </c>
      <c r="H872" s="3">
        <v>42414</v>
      </c>
      <c r="I872" s="3">
        <v>4050</v>
      </c>
      <c r="J872" s="4">
        <v>106.39</v>
      </c>
      <c r="K872" s="3">
        <v>78168</v>
      </c>
      <c r="L872" s="3">
        <v>20787</v>
      </c>
    </row>
    <row r="873" spans="1:12" x14ac:dyDescent="0.25">
      <c r="A873" t="s">
        <v>27</v>
      </c>
      <c r="B873" t="s">
        <v>27</v>
      </c>
      <c r="C873" t="s">
        <v>28</v>
      </c>
      <c r="D873" t="s">
        <v>19</v>
      </c>
      <c r="E873" s="2">
        <v>45505</v>
      </c>
      <c r="F873" s="3">
        <v>102015</v>
      </c>
      <c r="G873" s="3">
        <v>59334</v>
      </c>
      <c r="H873" s="3">
        <v>42681</v>
      </c>
      <c r="I873" s="3">
        <v>4426</v>
      </c>
      <c r="J873" s="4">
        <v>113.14</v>
      </c>
      <c r="K873" s="3">
        <v>79856</v>
      </c>
      <c r="L873" s="3">
        <v>22159</v>
      </c>
    </row>
    <row r="874" spans="1:12" x14ac:dyDescent="0.25">
      <c r="A874" t="s">
        <v>27</v>
      </c>
      <c r="B874" t="s">
        <v>27</v>
      </c>
      <c r="C874" t="s">
        <v>28</v>
      </c>
      <c r="D874" t="s">
        <v>19</v>
      </c>
      <c r="E874" s="2">
        <v>45536</v>
      </c>
      <c r="F874" s="3">
        <v>107799</v>
      </c>
      <c r="G874" s="3">
        <v>63531</v>
      </c>
      <c r="H874" s="3">
        <v>44268</v>
      </c>
      <c r="I874" s="3">
        <v>4437</v>
      </c>
      <c r="J874" s="4">
        <v>113.61</v>
      </c>
      <c r="K874" s="3">
        <v>84717</v>
      </c>
      <c r="L874" s="3">
        <v>23082</v>
      </c>
    </row>
    <row r="875" spans="1:12" x14ac:dyDescent="0.25">
      <c r="A875" t="s">
        <v>27</v>
      </c>
      <c r="B875" t="s">
        <v>27</v>
      </c>
      <c r="C875" t="s">
        <v>28</v>
      </c>
      <c r="D875" t="s">
        <v>19</v>
      </c>
      <c r="E875" s="2">
        <v>45566</v>
      </c>
      <c r="F875" s="3">
        <v>99619</v>
      </c>
      <c r="G875" s="3">
        <v>57109</v>
      </c>
      <c r="H875" s="3">
        <v>42510</v>
      </c>
      <c r="I875" s="3">
        <v>4021</v>
      </c>
      <c r="J875" s="4">
        <v>114.67</v>
      </c>
      <c r="K875" s="3">
        <v>77850</v>
      </c>
      <c r="L875" s="3">
        <v>21769</v>
      </c>
    </row>
    <row r="876" spans="1:12" x14ac:dyDescent="0.25">
      <c r="A876" t="s">
        <v>27</v>
      </c>
      <c r="B876" t="s">
        <v>27</v>
      </c>
      <c r="C876" t="s">
        <v>28</v>
      </c>
      <c r="D876" t="s">
        <v>19</v>
      </c>
      <c r="E876" s="2">
        <v>45597</v>
      </c>
      <c r="F876" s="3">
        <v>100865</v>
      </c>
      <c r="G876" s="3">
        <v>58997</v>
      </c>
      <c r="H876" s="3">
        <v>41868</v>
      </c>
      <c r="I876" s="3">
        <v>4396</v>
      </c>
      <c r="J876" s="4">
        <v>113.49</v>
      </c>
      <c r="K876" s="3">
        <v>79523</v>
      </c>
      <c r="L876" s="3">
        <v>21342</v>
      </c>
    </row>
    <row r="877" spans="1:12" x14ac:dyDescent="0.25">
      <c r="A877" t="s">
        <v>27</v>
      </c>
      <c r="B877" t="s">
        <v>27</v>
      </c>
      <c r="C877" t="s">
        <v>28</v>
      </c>
      <c r="D877" t="s">
        <v>19</v>
      </c>
      <c r="E877" s="2">
        <v>45627</v>
      </c>
      <c r="F877" s="3">
        <v>103008</v>
      </c>
      <c r="G877" s="3">
        <v>60169</v>
      </c>
      <c r="H877" s="3">
        <v>42839</v>
      </c>
      <c r="I877" s="3">
        <v>4464</v>
      </c>
      <c r="J877" s="4">
        <v>115.67</v>
      </c>
      <c r="K877" s="3">
        <v>82193</v>
      </c>
      <c r="L877" s="3">
        <v>20815</v>
      </c>
    </row>
    <row r="878" spans="1:12" x14ac:dyDescent="0.25">
      <c r="A878" t="s">
        <v>27</v>
      </c>
      <c r="B878" t="s">
        <v>27</v>
      </c>
      <c r="C878" t="s">
        <v>28</v>
      </c>
      <c r="D878" t="s">
        <v>19</v>
      </c>
      <c r="E878" s="2">
        <v>45658</v>
      </c>
      <c r="F878" s="3">
        <v>98682</v>
      </c>
      <c r="G878" s="3">
        <v>58593</v>
      </c>
      <c r="H878" s="3">
        <v>40089</v>
      </c>
      <c r="I878" s="3">
        <v>4317</v>
      </c>
      <c r="J878" s="4">
        <v>115.55</v>
      </c>
      <c r="K878" s="3">
        <v>77536</v>
      </c>
      <c r="L878" s="3">
        <v>21146</v>
      </c>
    </row>
    <row r="879" spans="1:12" x14ac:dyDescent="0.25">
      <c r="A879" t="s">
        <v>27</v>
      </c>
      <c r="B879" t="s">
        <v>27</v>
      </c>
      <c r="C879" t="s">
        <v>28</v>
      </c>
      <c r="D879" t="s">
        <v>19</v>
      </c>
      <c r="E879" s="2">
        <v>45689</v>
      </c>
      <c r="F879" s="3">
        <v>98561</v>
      </c>
      <c r="G879" s="3">
        <v>57617</v>
      </c>
      <c r="H879" s="3">
        <v>40944</v>
      </c>
      <c r="I879" s="3">
        <v>4064</v>
      </c>
      <c r="J879" s="4">
        <v>116.29</v>
      </c>
      <c r="K879" s="3">
        <v>76865</v>
      </c>
      <c r="L879" s="3">
        <v>21696</v>
      </c>
    </row>
    <row r="880" spans="1:12" x14ac:dyDescent="0.25">
      <c r="A880" t="s">
        <v>27</v>
      </c>
      <c r="B880" t="s">
        <v>27</v>
      </c>
      <c r="C880" t="s">
        <v>28</v>
      </c>
      <c r="D880" t="s">
        <v>19</v>
      </c>
      <c r="E880" s="2">
        <v>45717</v>
      </c>
      <c r="F880" s="3">
        <v>94366</v>
      </c>
      <c r="G880" s="3">
        <v>53517</v>
      </c>
      <c r="H880" s="3">
        <v>40849</v>
      </c>
      <c r="I880" s="3">
        <v>3985</v>
      </c>
      <c r="J880" s="4">
        <v>111.57</v>
      </c>
      <c r="K880" s="3">
        <v>74863</v>
      </c>
      <c r="L880" s="3">
        <v>19503</v>
      </c>
    </row>
    <row r="881" spans="1:12" x14ac:dyDescent="0.25">
      <c r="A881" t="s">
        <v>27</v>
      </c>
      <c r="B881" t="s">
        <v>27</v>
      </c>
      <c r="C881" t="s">
        <v>28</v>
      </c>
      <c r="D881" t="s">
        <v>19</v>
      </c>
      <c r="E881" s="2">
        <v>45748</v>
      </c>
      <c r="F881" s="3">
        <v>90543</v>
      </c>
      <c r="G881" s="3">
        <v>52738</v>
      </c>
      <c r="H881" s="3">
        <v>37805</v>
      </c>
      <c r="I881" s="3">
        <v>3961</v>
      </c>
      <c r="J881" s="4">
        <v>115.99</v>
      </c>
      <c r="K881" s="3">
        <v>71182</v>
      </c>
      <c r="L881" s="3">
        <v>19361</v>
      </c>
    </row>
    <row r="882" spans="1:12" x14ac:dyDescent="0.25">
      <c r="A882" t="s">
        <v>27</v>
      </c>
      <c r="B882" t="s">
        <v>27</v>
      </c>
      <c r="C882" t="s">
        <v>28</v>
      </c>
      <c r="D882" t="s">
        <v>19</v>
      </c>
      <c r="E882" s="2">
        <v>45778</v>
      </c>
      <c r="F882" s="3">
        <v>89837</v>
      </c>
      <c r="G882" s="3">
        <v>52683</v>
      </c>
      <c r="H882" s="3">
        <v>37154</v>
      </c>
      <c r="I882" s="3">
        <v>3599</v>
      </c>
      <c r="J882" s="4">
        <v>111.5</v>
      </c>
      <c r="K882" s="3">
        <v>70064</v>
      </c>
      <c r="L882" s="3">
        <v>19773</v>
      </c>
    </row>
    <row r="883" spans="1:12" x14ac:dyDescent="0.25">
      <c r="A883" t="s">
        <v>27</v>
      </c>
      <c r="B883" t="s">
        <v>27</v>
      </c>
      <c r="C883" t="s">
        <v>28</v>
      </c>
      <c r="D883" t="s">
        <v>19</v>
      </c>
      <c r="E883" s="2">
        <v>45809</v>
      </c>
      <c r="F883" s="3">
        <v>96456</v>
      </c>
      <c r="G883" s="3">
        <v>54816</v>
      </c>
      <c r="H883" s="3">
        <v>41640</v>
      </c>
      <c r="I883" s="3">
        <v>4035</v>
      </c>
      <c r="J883" s="4">
        <v>116.83</v>
      </c>
      <c r="K883" s="3">
        <v>75306</v>
      </c>
      <c r="L883" s="3">
        <v>21150</v>
      </c>
    </row>
    <row r="884" spans="1:12" x14ac:dyDescent="0.25">
      <c r="A884" t="s">
        <v>27</v>
      </c>
      <c r="B884" t="s">
        <v>27</v>
      </c>
      <c r="C884" t="s">
        <v>28</v>
      </c>
      <c r="D884" t="s">
        <v>19</v>
      </c>
      <c r="E884" s="2">
        <v>45839</v>
      </c>
      <c r="F884" s="3">
        <v>98277</v>
      </c>
      <c r="G884" s="3">
        <v>57422</v>
      </c>
      <c r="H884" s="3">
        <v>40855</v>
      </c>
      <c r="I884" s="3">
        <v>3987</v>
      </c>
      <c r="J884" s="4">
        <v>110.53</v>
      </c>
      <c r="K884" s="3">
        <v>77348</v>
      </c>
      <c r="L884" s="3">
        <v>20929</v>
      </c>
    </row>
    <row r="885" spans="1:12" x14ac:dyDescent="0.25">
      <c r="A885" t="s">
        <v>27</v>
      </c>
      <c r="B885" t="s">
        <v>27</v>
      </c>
      <c r="C885" t="s">
        <v>28</v>
      </c>
      <c r="D885" t="s">
        <v>19</v>
      </c>
      <c r="E885" s="2">
        <v>45870</v>
      </c>
      <c r="F885" s="3">
        <v>110327</v>
      </c>
      <c r="G885" s="3">
        <v>62697</v>
      </c>
      <c r="H885" s="3">
        <v>47630</v>
      </c>
      <c r="I885" s="3">
        <v>4754</v>
      </c>
      <c r="J885" s="4">
        <v>111.72</v>
      </c>
      <c r="K885" s="3">
        <v>87087</v>
      </c>
      <c r="L885" s="3">
        <v>23240</v>
      </c>
    </row>
    <row r="886" spans="1:12" x14ac:dyDescent="0.25">
      <c r="A886" t="s">
        <v>27</v>
      </c>
      <c r="B886" t="s">
        <v>27</v>
      </c>
      <c r="C886" t="s">
        <v>28</v>
      </c>
      <c r="D886" t="s">
        <v>19</v>
      </c>
      <c r="E886" s="2">
        <v>45901</v>
      </c>
      <c r="F886" s="3">
        <v>110893</v>
      </c>
      <c r="G886" s="3">
        <v>62674</v>
      </c>
      <c r="H886" s="3">
        <v>48219</v>
      </c>
      <c r="I886" s="3">
        <v>4622</v>
      </c>
      <c r="J886" s="4">
        <v>108.67</v>
      </c>
      <c r="K886" s="3">
        <v>87611</v>
      </c>
      <c r="L886" s="3">
        <v>23282</v>
      </c>
    </row>
    <row r="887" spans="1:12" x14ac:dyDescent="0.25">
      <c r="A887" t="s">
        <v>27</v>
      </c>
      <c r="B887" t="s">
        <v>27</v>
      </c>
      <c r="C887" t="s">
        <v>28</v>
      </c>
      <c r="D887" t="s">
        <v>19</v>
      </c>
      <c r="E887" s="2">
        <v>45931</v>
      </c>
      <c r="F887" s="3">
        <v>121775</v>
      </c>
      <c r="G887" s="3">
        <v>71817</v>
      </c>
      <c r="H887" s="3">
        <v>49958</v>
      </c>
      <c r="I887" s="3">
        <v>4977</v>
      </c>
      <c r="J887" s="4">
        <v>116.26</v>
      </c>
      <c r="K887" s="3">
        <v>95382</v>
      </c>
      <c r="L887" s="3">
        <v>26393</v>
      </c>
    </row>
    <row r="888" spans="1:12" x14ac:dyDescent="0.25">
      <c r="A888" t="s">
        <v>27</v>
      </c>
      <c r="B888" t="s">
        <v>27</v>
      </c>
      <c r="C888" t="s">
        <v>28</v>
      </c>
      <c r="D888" t="s">
        <v>19</v>
      </c>
      <c r="E888" s="2">
        <v>45962</v>
      </c>
      <c r="F888" s="3">
        <v>120046</v>
      </c>
      <c r="G888" s="3">
        <v>69434</v>
      </c>
      <c r="H888" s="3">
        <v>50612</v>
      </c>
      <c r="I888" s="3">
        <v>4925</v>
      </c>
      <c r="J888" s="4">
        <v>107.57</v>
      </c>
      <c r="K888" s="3">
        <v>94386</v>
      </c>
      <c r="L888" s="3">
        <v>25660</v>
      </c>
    </row>
    <row r="889" spans="1:12" x14ac:dyDescent="0.25">
      <c r="A889" t="s">
        <v>27</v>
      </c>
      <c r="B889" t="s">
        <v>27</v>
      </c>
      <c r="C889" t="s">
        <v>28</v>
      </c>
      <c r="D889" t="s">
        <v>19</v>
      </c>
      <c r="E889" s="2">
        <v>45992</v>
      </c>
      <c r="F889" s="3">
        <v>110954</v>
      </c>
      <c r="G889" s="3">
        <v>64245</v>
      </c>
      <c r="H889" s="3">
        <v>46709</v>
      </c>
      <c r="I889" s="3">
        <v>4528</v>
      </c>
      <c r="J889" s="4">
        <v>111.1</v>
      </c>
      <c r="K889" s="3">
        <v>88102</v>
      </c>
      <c r="L889" s="3">
        <v>22852</v>
      </c>
    </row>
    <row r="890" spans="1:12" x14ac:dyDescent="0.25">
      <c r="A890" t="s">
        <v>27</v>
      </c>
      <c r="B890" t="s">
        <v>27</v>
      </c>
      <c r="C890" t="s">
        <v>28</v>
      </c>
      <c r="D890" t="s">
        <v>20</v>
      </c>
      <c r="E890" s="2">
        <v>45292</v>
      </c>
      <c r="F890" s="3">
        <v>100158</v>
      </c>
      <c r="G890" s="3">
        <v>68094</v>
      </c>
      <c r="H890" s="3">
        <v>32064</v>
      </c>
      <c r="I890" s="3">
        <v>2330</v>
      </c>
      <c r="J890" s="4">
        <v>356.05</v>
      </c>
      <c r="K890" s="3">
        <v>79623</v>
      </c>
      <c r="L890" s="3">
        <v>20535</v>
      </c>
    </row>
    <row r="891" spans="1:12" x14ac:dyDescent="0.25">
      <c r="A891" t="s">
        <v>27</v>
      </c>
      <c r="B891" t="s">
        <v>27</v>
      </c>
      <c r="C891" t="s">
        <v>28</v>
      </c>
      <c r="D891" t="s">
        <v>20</v>
      </c>
      <c r="E891" s="2">
        <v>45323</v>
      </c>
      <c r="F891" s="3">
        <v>92486</v>
      </c>
      <c r="G891" s="3">
        <v>65092</v>
      </c>
      <c r="H891" s="3">
        <v>27394</v>
      </c>
      <c r="I891" s="3">
        <v>2143</v>
      </c>
      <c r="J891" s="4">
        <v>341.66</v>
      </c>
      <c r="K891" s="3">
        <v>72801</v>
      </c>
      <c r="L891" s="3">
        <v>19685</v>
      </c>
    </row>
    <row r="892" spans="1:12" x14ac:dyDescent="0.25">
      <c r="A892" t="s">
        <v>27</v>
      </c>
      <c r="B892" t="s">
        <v>27</v>
      </c>
      <c r="C892" t="s">
        <v>28</v>
      </c>
      <c r="D892" t="s">
        <v>20</v>
      </c>
      <c r="E892" s="2">
        <v>45352</v>
      </c>
      <c r="F892" s="3">
        <v>93179</v>
      </c>
      <c r="G892" s="3">
        <v>64385</v>
      </c>
      <c r="H892" s="3">
        <v>28794</v>
      </c>
      <c r="I892" s="3">
        <v>2206</v>
      </c>
      <c r="J892" s="4">
        <v>357.74</v>
      </c>
      <c r="K892" s="3">
        <v>73821</v>
      </c>
      <c r="L892" s="3">
        <v>19358</v>
      </c>
    </row>
    <row r="893" spans="1:12" x14ac:dyDescent="0.25">
      <c r="A893" t="s">
        <v>27</v>
      </c>
      <c r="B893" t="s">
        <v>27</v>
      </c>
      <c r="C893" t="s">
        <v>28</v>
      </c>
      <c r="D893" t="s">
        <v>20</v>
      </c>
      <c r="E893" s="2">
        <v>45383</v>
      </c>
      <c r="F893" s="3">
        <v>87756</v>
      </c>
      <c r="G893" s="3">
        <v>60614</v>
      </c>
      <c r="H893" s="3">
        <v>27142</v>
      </c>
      <c r="I893" s="3">
        <v>2035</v>
      </c>
      <c r="J893" s="4">
        <v>355.65</v>
      </c>
      <c r="K893" s="3">
        <v>68517</v>
      </c>
      <c r="L893" s="3">
        <v>19239</v>
      </c>
    </row>
    <row r="894" spans="1:12" x14ac:dyDescent="0.25">
      <c r="A894" t="s">
        <v>27</v>
      </c>
      <c r="B894" t="s">
        <v>27</v>
      </c>
      <c r="C894" t="s">
        <v>28</v>
      </c>
      <c r="D894" t="s">
        <v>20</v>
      </c>
      <c r="E894" s="2">
        <v>45413</v>
      </c>
      <c r="F894" s="3">
        <v>91627</v>
      </c>
      <c r="G894" s="3">
        <v>63809</v>
      </c>
      <c r="H894" s="3">
        <v>27818</v>
      </c>
      <c r="I894" s="3">
        <v>2203</v>
      </c>
      <c r="J894" s="4">
        <v>360.54</v>
      </c>
      <c r="K894" s="3">
        <v>72213</v>
      </c>
      <c r="L894" s="3">
        <v>19414</v>
      </c>
    </row>
    <row r="895" spans="1:12" x14ac:dyDescent="0.25">
      <c r="A895" t="s">
        <v>27</v>
      </c>
      <c r="B895" t="s">
        <v>27</v>
      </c>
      <c r="C895" t="s">
        <v>28</v>
      </c>
      <c r="D895" t="s">
        <v>20</v>
      </c>
      <c r="E895" s="2">
        <v>45444</v>
      </c>
      <c r="F895" s="3">
        <v>93247</v>
      </c>
      <c r="G895" s="3">
        <v>64513</v>
      </c>
      <c r="H895" s="3">
        <v>28734</v>
      </c>
      <c r="I895" s="3">
        <v>2248</v>
      </c>
      <c r="J895" s="4">
        <v>348.35</v>
      </c>
      <c r="K895" s="3">
        <v>74220</v>
      </c>
      <c r="L895" s="3">
        <v>19027</v>
      </c>
    </row>
    <row r="896" spans="1:12" x14ac:dyDescent="0.25">
      <c r="A896" t="s">
        <v>27</v>
      </c>
      <c r="B896" t="s">
        <v>27</v>
      </c>
      <c r="C896" t="s">
        <v>28</v>
      </c>
      <c r="D896" t="s">
        <v>20</v>
      </c>
      <c r="E896" s="2">
        <v>45474</v>
      </c>
      <c r="F896" s="3">
        <v>97169</v>
      </c>
      <c r="G896" s="3">
        <v>68158</v>
      </c>
      <c r="H896" s="3">
        <v>29011</v>
      </c>
      <c r="I896" s="3">
        <v>2297</v>
      </c>
      <c r="J896" s="4">
        <v>352.2</v>
      </c>
      <c r="K896" s="3">
        <v>76964</v>
      </c>
      <c r="L896" s="3">
        <v>20205</v>
      </c>
    </row>
    <row r="897" spans="1:12" x14ac:dyDescent="0.25">
      <c r="A897" t="s">
        <v>27</v>
      </c>
      <c r="B897" t="s">
        <v>27</v>
      </c>
      <c r="C897" t="s">
        <v>28</v>
      </c>
      <c r="D897" t="s">
        <v>20</v>
      </c>
      <c r="E897" s="2">
        <v>45505</v>
      </c>
      <c r="F897" s="3">
        <v>103791</v>
      </c>
      <c r="G897" s="3">
        <v>71732</v>
      </c>
      <c r="H897" s="3">
        <v>32059</v>
      </c>
      <c r="I897" s="3">
        <v>2358</v>
      </c>
      <c r="J897" s="4">
        <v>357.79</v>
      </c>
      <c r="K897" s="3">
        <v>81097</v>
      </c>
      <c r="L897" s="3">
        <v>22694</v>
      </c>
    </row>
    <row r="898" spans="1:12" x14ac:dyDescent="0.25">
      <c r="A898" t="s">
        <v>27</v>
      </c>
      <c r="B898" t="s">
        <v>27</v>
      </c>
      <c r="C898" t="s">
        <v>28</v>
      </c>
      <c r="D898" t="s">
        <v>20</v>
      </c>
      <c r="E898" s="2">
        <v>45536</v>
      </c>
      <c r="F898" s="3">
        <v>103421</v>
      </c>
      <c r="G898" s="3">
        <v>72192</v>
      </c>
      <c r="H898" s="3">
        <v>31229</v>
      </c>
      <c r="I898" s="3">
        <v>2469</v>
      </c>
      <c r="J898" s="4">
        <v>342.8</v>
      </c>
      <c r="K898" s="3">
        <v>81970</v>
      </c>
      <c r="L898" s="3">
        <v>21451</v>
      </c>
    </row>
    <row r="899" spans="1:12" x14ac:dyDescent="0.25">
      <c r="A899" t="s">
        <v>27</v>
      </c>
      <c r="B899" t="s">
        <v>27</v>
      </c>
      <c r="C899" t="s">
        <v>28</v>
      </c>
      <c r="D899" t="s">
        <v>20</v>
      </c>
      <c r="E899" s="2">
        <v>45566</v>
      </c>
      <c r="F899" s="3">
        <v>113144</v>
      </c>
      <c r="G899" s="3">
        <v>79221</v>
      </c>
      <c r="H899" s="3">
        <v>33923</v>
      </c>
      <c r="I899" s="3">
        <v>2824</v>
      </c>
      <c r="J899" s="4">
        <v>344.28</v>
      </c>
      <c r="K899" s="3">
        <v>89591</v>
      </c>
      <c r="L899" s="3">
        <v>23553</v>
      </c>
    </row>
    <row r="900" spans="1:12" x14ac:dyDescent="0.25">
      <c r="A900" t="s">
        <v>27</v>
      </c>
      <c r="B900" t="s">
        <v>27</v>
      </c>
      <c r="C900" t="s">
        <v>28</v>
      </c>
      <c r="D900" t="s">
        <v>20</v>
      </c>
      <c r="E900" s="2">
        <v>45597</v>
      </c>
      <c r="F900" s="3">
        <v>102785</v>
      </c>
      <c r="G900" s="3">
        <v>71890</v>
      </c>
      <c r="H900" s="3">
        <v>30895</v>
      </c>
      <c r="I900" s="3">
        <v>2477</v>
      </c>
      <c r="J900" s="4">
        <v>342.79</v>
      </c>
      <c r="K900" s="3">
        <v>80682</v>
      </c>
      <c r="L900" s="3">
        <v>22103</v>
      </c>
    </row>
    <row r="901" spans="1:12" x14ac:dyDescent="0.25">
      <c r="A901" t="s">
        <v>27</v>
      </c>
      <c r="B901" t="s">
        <v>27</v>
      </c>
      <c r="C901" t="s">
        <v>28</v>
      </c>
      <c r="D901" t="s">
        <v>20</v>
      </c>
      <c r="E901" s="2">
        <v>45627</v>
      </c>
      <c r="F901" s="3">
        <v>101606</v>
      </c>
      <c r="G901" s="3">
        <v>70546</v>
      </c>
      <c r="H901" s="3">
        <v>31060</v>
      </c>
      <c r="I901" s="3">
        <v>2487</v>
      </c>
      <c r="J901" s="4">
        <v>354.19</v>
      </c>
      <c r="K901" s="3">
        <v>80174</v>
      </c>
      <c r="L901" s="3">
        <v>21432</v>
      </c>
    </row>
    <row r="902" spans="1:12" x14ac:dyDescent="0.25">
      <c r="A902" t="s">
        <v>27</v>
      </c>
      <c r="B902" t="s">
        <v>27</v>
      </c>
      <c r="C902" t="s">
        <v>28</v>
      </c>
      <c r="D902" t="s">
        <v>20</v>
      </c>
      <c r="E902" s="2">
        <v>45658</v>
      </c>
      <c r="F902" s="3">
        <v>102076</v>
      </c>
      <c r="G902" s="3">
        <v>71586</v>
      </c>
      <c r="H902" s="3">
        <v>30490</v>
      </c>
      <c r="I902" s="3">
        <v>2478</v>
      </c>
      <c r="J902" s="4">
        <v>359.91</v>
      </c>
      <c r="K902" s="3">
        <v>80882</v>
      </c>
      <c r="L902" s="3">
        <v>21194</v>
      </c>
    </row>
    <row r="903" spans="1:12" x14ac:dyDescent="0.25">
      <c r="A903" t="s">
        <v>27</v>
      </c>
      <c r="B903" t="s">
        <v>27</v>
      </c>
      <c r="C903" t="s">
        <v>28</v>
      </c>
      <c r="D903" t="s">
        <v>20</v>
      </c>
      <c r="E903" s="2">
        <v>45689</v>
      </c>
      <c r="F903" s="3">
        <v>88352</v>
      </c>
      <c r="G903" s="3">
        <v>59941</v>
      </c>
      <c r="H903" s="3">
        <v>28411</v>
      </c>
      <c r="I903" s="3">
        <v>2032</v>
      </c>
      <c r="J903" s="4">
        <v>371.37</v>
      </c>
      <c r="K903" s="3">
        <v>69375</v>
      </c>
      <c r="L903" s="3">
        <v>18977</v>
      </c>
    </row>
    <row r="904" spans="1:12" x14ac:dyDescent="0.25">
      <c r="A904" t="s">
        <v>27</v>
      </c>
      <c r="B904" t="s">
        <v>27</v>
      </c>
      <c r="C904" t="s">
        <v>28</v>
      </c>
      <c r="D904" t="s">
        <v>20</v>
      </c>
      <c r="E904" s="2">
        <v>45717</v>
      </c>
      <c r="F904" s="3">
        <v>88900</v>
      </c>
      <c r="G904" s="3">
        <v>60101</v>
      </c>
      <c r="H904" s="3">
        <v>28799</v>
      </c>
      <c r="I904" s="3">
        <v>2138</v>
      </c>
      <c r="J904" s="4">
        <v>341.04</v>
      </c>
      <c r="K904" s="3">
        <v>70933</v>
      </c>
      <c r="L904" s="3">
        <v>17967</v>
      </c>
    </row>
    <row r="905" spans="1:12" x14ac:dyDescent="0.25">
      <c r="A905" t="s">
        <v>27</v>
      </c>
      <c r="B905" t="s">
        <v>27</v>
      </c>
      <c r="C905" t="s">
        <v>28</v>
      </c>
      <c r="D905" t="s">
        <v>20</v>
      </c>
      <c r="E905" s="2">
        <v>45748</v>
      </c>
      <c r="F905" s="3">
        <v>93505</v>
      </c>
      <c r="G905" s="3">
        <v>64756</v>
      </c>
      <c r="H905" s="3">
        <v>28749</v>
      </c>
      <c r="I905" s="3">
        <v>2181</v>
      </c>
      <c r="J905" s="4">
        <v>363.18</v>
      </c>
      <c r="K905" s="3">
        <v>74758</v>
      </c>
      <c r="L905" s="3">
        <v>18747</v>
      </c>
    </row>
    <row r="906" spans="1:12" x14ac:dyDescent="0.25">
      <c r="A906" t="s">
        <v>27</v>
      </c>
      <c r="B906" t="s">
        <v>27</v>
      </c>
      <c r="C906" t="s">
        <v>28</v>
      </c>
      <c r="D906" t="s">
        <v>20</v>
      </c>
      <c r="E906" s="2">
        <v>45778</v>
      </c>
      <c r="F906" s="3">
        <v>90865</v>
      </c>
      <c r="G906" s="3">
        <v>63483</v>
      </c>
      <c r="H906" s="3">
        <v>27382</v>
      </c>
      <c r="I906" s="3">
        <v>2235</v>
      </c>
      <c r="J906" s="4">
        <v>340.88</v>
      </c>
      <c r="K906" s="3">
        <v>70943</v>
      </c>
      <c r="L906" s="3">
        <v>19922</v>
      </c>
    </row>
    <row r="907" spans="1:12" x14ac:dyDescent="0.25">
      <c r="A907" t="s">
        <v>27</v>
      </c>
      <c r="B907" t="s">
        <v>27</v>
      </c>
      <c r="C907" t="s">
        <v>28</v>
      </c>
      <c r="D907" t="s">
        <v>20</v>
      </c>
      <c r="E907" s="2">
        <v>45809</v>
      </c>
      <c r="F907" s="3">
        <v>94965</v>
      </c>
      <c r="G907" s="3">
        <v>64714</v>
      </c>
      <c r="H907" s="3">
        <v>30251</v>
      </c>
      <c r="I907" s="3">
        <v>2325</v>
      </c>
      <c r="J907" s="4">
        <v>364.08</v>
      </c>
      <c r="K907" s="3">
        <v>73983</v>
      </c>
      <c r="L907" s="3">
        <v>20982</v>
      </c>
    </row>
    <row r="908" spans="1:12" x14ac:dyDescent="0.25">
      <c r="A908" t="s">
        <v>27</v>
      </c>
      <c r="B908" t="s">
        <v>27</v>
      </c>
      <c r="C908" t="s">
        <v>28</v>
      </c>
      <c r="D908" t="s">
        <v>20</v>
      </c>
      <c r="E908" s="2">
        <v>45839</v>
      </c>
      <c r="F908" s="3">
        <v>105301</v>
      </c>
      <c r="G908" s="3">
        <v>74097</v>
      </c>
      <c r="H908" s="3">
        <v>31204</v>
      </c>
      <c r="I908" s="3">
        <v>2580</v>
      </c>
      <c r="J908" s="4">
        <v>351.7</v>
      </c>
      <c r="K908" s="3">
        <v>82119</v>
      </c>
      <c r="L908" s="3">
        <v>23182</v>
      </c>
    </row>
    <row r="909" spans="1:12" x14ac:dyDescent="0.25">
      <c r="A909" t="s">
        <v>27</v>
      </c>
      <c r="B909" t="s">
        <v>27</v>
      </c>
      <c r="C909" t="s">
        <v>28</v>
      </c>
      <c r="D909" t="s">
        <v>20</v>
      </c>
      <c r="E909" s="2">
        <v>45870</v>
      </c>
      <c r="F909" s="3">
        <v>109710</v>
      </c>
      <c r="G909" s="3">
        <v>76406</v>
      </c>
      <c r="H909" s="3">
        <v>33304</v>
      </c>
      <c r="I909" s="3">
        <v>2722</v>
      </c>
      <c r="J909" s="4">
        <v>337.47</v>
      </c>
      <c r="K909" s="3">
        <v>86105</v>
      </c>
      <c r="L909" s="3">
        <v>23605</v>
      </c>
    </row>
    <row r="910" spans="1:12" x14ac:dyDescent="0.25">
      <c r="A910" t="s">
        <v>27</v>
      </c>
      <c r="B910" t="s">
        <v>27</v>
      </c>
      <c r="C910" t="s">
        <v>28</v>
      </c>
      <c r="D910" t="s">
        <v>20</v>
      </c>
      <c r="E910" s="2">
        <v>45901</v>
      </c>
      <c r="F910" s="3">
        <v>108666</v>
      </c>
      <c r="G910" s="3">
        <v>73369</v>
      </c>
      <c r="H910" s="3">
        <v>35297</v>
      </c>
      <c r="I910" s="3">
        <v>2489</v>
      </c>
      <c r="J910" s="4">
        <v>344.83</v>
      </c>
      <c r="K910" s="3">
        <v>84652</v>
      </c>
      <c r="L910" s="3">
        <v>24014</v>
      </c>
    </row>
    <row r="911" spans="1:12" x14ac:dyDescent="0.25">
      <c r="A911" t="s">
        <v>27</v>
      </c>
      <c r="B911" t="s">
        <v>27</v>
      </c>
      <c r="C911" t="s">
        <v>28</v>
      </c>
      <c r="D911" t="s">
        <v>20</v>
      </c>
      <c r="E911" s="2">
        <v>45931</v>
      </c>
      <c r="F911" s="3">
        <v>104666</v>
      </c>
      <c r="G911" s="3">
        <v>72526</v>
      </c>
      <c r="H911" s="3">
        <v>32140</v>
      </c>
      <c r="I911" s="3">
        <v>2584</v>
      </c>
      <c r="J911" s="4">
        <v>366.97</v>
      </c>
      <c r="K911" s="3">
        <v>83053</v>
      </c>
      <c r="L911" s="3">
        <v>21613</v>
      </c>
    </row>
    <row r="912" spans="1:12" x14ac:dyDescent="0.25">
      <c r="A912" t="s">
        <v>27</v>
      </c>
      <c r="B912" t="s">
        <v>27</v>
      </c>
      <c r="C912" t="s">
        <v>28</v>
      </c>
      <c r="D912" t="s">
        <v>20</v>
      </c>
      <c r="E912" s="2">
        <v>45962</v>
      </c>
      <c r="F912" s="3">
        <v>104798</v>
      </c>
      <c r="G912" s="3">
        <v>72171</v>
      </c>
      <c r="H912" s="3">
        <v>32627</v>
      </c>
      <c r="I912" s="3">
        <v>2401</v>
      </c>
      <c r="J912" s="4">
        <v>341.33</v>
      </c>
      <c r="K912" s="3">
        <v>81937</v>
      </c>
      <c r="L912" s="3">
        <v>22861</v>
      </c>
    </row>
    <row r="913" spans="1:12" x14ac:dyDescent="0.25">
      <c r="A913" t="s">
        <v>27</v>
      </c>
      <c r="B913" t="s">
        <v>27</v>
      </c>
      <c r="C913" t="s">
        <v>28</v>
      </c>
      <c r="D913" t="s">
        <v>20</v>
      </c>
      <c r="E913" s="2">
        <v>45992</v>
      </c>
      <c r="F913" s="3">
        <v>99554</v>
      </c>
      <c r="G913" s="3">
        <v>69617</v>
      </c>
      <c r="H913" s="3">
        <v>29937</v>
      </c>
      <c r="I913" s="3">
        <v>2495</v>
      </c>
      <c r="J913" s="4">
        <v>362.38</v>
      </c>
      <c r="K913" s="3">
        <v>79122</v>
      </c>
      <c r="L913" s="3">
        <v>20432</v>
      </c>
    </row>
    <row r="914" spans="1:12" x14ac:dyDescent="0.25">
      <c r="A914" t="s">
        <v>27</v>
      </c>
      <c r="B914" t="s">
        <v>27</v>
      </c>
      <c r="C914" t="s">
        <v>28</v>
      </c>
      <c r="D914" t="s">
        <v>21</v>
      </c>
      <c r="E914" s="2">
        <v>45292</v>
      </c>
      <c r="F914" s="3">
        <v>63831</v>
      </c>
      <c r="G914" s="3">
        <v>35197</v>
      </c>
      <c r="H914" s="3">
        <v>28634</v>
      </c>
      <c r="I914" s="3">
        <v>722</v>
      </c>
      <c r="J914" s="4">
        <v>145.63999999999999</v>
      </c>
      <c r="K914" s="3">
        <v>50698</v>
      </c>
      <c r="L914" s="3">
        <v>13133</v>
      </c>
    </row>
    <row r="915" spans="1:12" x14ac:dyDescent="0.25">
      <c r="A915" t="s">
        <v>27</v>
      </c>
      <c r="B915" t="s">
        <v>27</v>
      </c>
      <c r="C915" t="s">
        <v>28</v>
      </c>
      <c r="D915" t="s">
        <v>21</v>
      </c>
      <c r="E915" s="2">
        <v>45323</v>
      </c>
      <c r="F915" s="3">
        <v>62637</v>
      </c>
      <c r="G915" s="3">
        <v>35356</v>
      </c>
      <c r="H915" s="3">
        <v>27281</v>
      </c>
      <c r="I915" s="3">
        <v>710</v>
      </c>
      <c r="J915" s="4">
        <v>144.12</v>
      </c>
      <c r="K915" s="3">
        <v>49527</v>
      </c>
      <c r="L915" s="3">
        <v>13110</v>
      </c>
    </row>
    <row r="916" spans="1:12" x14ac:dyDescent="0.25">
      <c r="A916" t="s">
        <v>27</v>
      </c>
      <c r="B916" t="s">
        <v>27</v>
      </c>
      <c r="C916" t="s">
        <v>28</v>
      </c>
      <c r="D916" t="s">
        <v>21</v>
      </c>
      <c r="E916" s="2">
        <v>45352</v>
      </c>
      <c r="F916" s="3">
        <v>58592</v>
      </c>
      <c r="G916" s="3">
        <v>32656</v>
      </c>
      <c r="H916" s="3">
        <v>25936</v>
      </c>
      <c r="I916" s="3">
        <v>712</v>
      </c>
      <c r="J916" s="4">
        <v>155.22</v>
      </c>
      <c r="K916" s="3">
        <v>46006</v>
      </c>
      <c r="L916" s="3">
        <v>12586</v>
      </c>
    </row>
    <row r="917" spans="1:12" x14ac:dyDescent="0.25">
      <c r="A917" t="s">
        <v>27</v>
      </c>
      <c r="B917" t="s">
        <v>27</v>
      </c>
      <c r="C917" t="s">
        <v>28</v>
      </c>
      <c r="D917" t="s">
        <v>21</v>
      </c>
      <c r="E917" s="2">
        <v>45383</v>
      </c>
      <c r="F917" s="3">
        <v>56788</v>
      </c>
      <c r="G917" s="3">
        <v>31607</v>
      </c>
      <c r="H917" s="3">
        <v>25181</v>
      </c>
      <c r="I917" s="3">
        <v>670</v>
      </c>
      <c r="J917" s="4">
        <v>145.76</v>
      </c>
      <c r="K917" s="3">
        <v>45257</v>
      </c>
      <c r="L917" s="3">
        <v>11531</v>
      </c>
    </row>
    <row r="918" spans="1:12" x14ac:dyDescent="0.25">
      <c r="A918" t="s">
        <v>27</v>
      </c>
      <c r="B918" t="s">
        <v>27</v>
      </c>
      <c r="C918" t="s">
        <v>28</v>
      </c>
      <c r="D918" t="s">
        <v>21</v>
      </c>
      <c r="E918" s="2">
        <v>45413</v>
      </c>
      <c r="F918" s="3">
        <v>57011</v>
      </c>
      <c r="G918" s="3">
        <v>31895</v>
      </c>
      <c r="H918" s="3">
        <v>25116</v>
      </c>
      <c r="I918" s="3">
        <v>658</v>
      </c>
      <c r="J918" s="4">
        <v>154.87</v>
      </c>
      <c r="K918" s="3">
        <v>44494</v>
      </c>
      <c r="L918" s="3">
        <v>12517</v>
      </c>
    </row>
    <row r="919" spans="1:12" x14ac:dyDescent="0.25">
      <c r="A919" t="s">
        <v>27</v>
      </c>
      <c r="B919" t="s">
        <v>27</v>
      </c>
      <c r="C919" t="s">
        <v>28</v>
      </c>
      <c r="D919" t="s">
        <v>21</v>
      </c>
      <c r="E919" s="2">
        <v>45444</v>
      </c>
      <c r="F919" s="3">
        <v>60291</v>
      </c>
      <c r="G919" s="3">
        <v>33655</v>
      </c>
      <c r="H919" s="3">
        <v>26636</v>
      </c>
      <c r="I919" s="3">
        <v>698</v>
      </c>
      <c r="J919" s="4">
        <v>151.43</v>
      </c>
      <c r="K919" s="3">
        <v>47820</v>
      </c>
      <c r="L919" s="3">
        <v>12471</v>
      </c>
    </row>
    <row r="920" spans="1:12" x14ac:dyDescent="0.25">
      <c r="A920" t="s">
        <v>27</v>
      </c>
      <c r="B920" t="s">
        <v>27</v>
      </c>
      <c r="C920" t="s">
        <v>28</v>
      </c>
      <c r="D920" t="s">
        <v>21</v>
      </c>
      <c r="E920" s="2">
        <v>45474</v>
      </c>
      <c r="F920" s="3">
        <v>66357</v>
      </c>
      <c r="G920" s="3">
        <v>36443</v>
      </c>
      <c r="H920" s="3">
        <v>29914</v>
      </c>
      <c r="I920" s="3">
        <v>793</v>
      </c>
      <c r="J920" s="4">
        <v>144.94999999999999</v>
      </c>
      <c r="K920" s="3">
        <v>52783</v>
      </c>
      <c r="L920" s="3">
        <v>13574</v>
      </c>
    </row>
    <row r="921" spans="1:12" x14ac:dyDescent="0.25">
      <c r="A921" t="s">
        <v>27</v>
      </c>
      <c r="B921" t="s">
        <v>27</v>
      </c>
      <c r="C921" t="s">
        <v>28</v>
      </c>
      <c r="D921" t="s">
        <v>21</v>
      </c>
      <c r="E921" s="2">
        <v>45505</v>
      </c>
      <c r="F921" s="3">
        <v>72280</v>
      </c>
      <c r="G921" s="3">
        <v>39504</v>
      </c>
      <c r="H921" s="3">
        <v>32776</v>
      </c>
      <c r="I921" s="3">
        <v>834</v>
      </c>
      <c r="J921" s="4">
        <v>143.19</v>
      </c>
      <c r="K921" s="3">
        <v>56955</v>
      </c>
      <c r="L921" s="3">
        <v>15325</v>
      </c>
    </row>
    <row r="922" spans="1:12" x14ac:dyDescent="0.25">
      <c r="A922" t="s">
        <v>27</v>
      </c>
      <c r="B922" t="s">
        <v>27</v>
      </c>
      <c r="C922" t="s">
        <v>28</v>
      </c>
      <c r="D922" t="s">
        <v>21</v>
      </c>
      <c r="E922" s="2">
        <v>45536</v>
      </c>
      <c r="F922" s="3">
        <v>74157</v>
      </c>
      <c r="G922" s="3">
        <v>41873</v>
      </c>
      <c r="H922" s="3">
        <v>32284</v>
      </c>
      <c r="I922" s="3">
        <v>843</v>
      </c>
      <c r="J922" s="4">
        <v>149.75</v>
      </c>
      <c r="K922" s="3">
        <v>58042</v>
      </c>
      <c r="L922" s="3">
        <v>16115</v>
      </c>
    </row>
    <row r="923" spans="1:12" x14ac:dyDescent="0.25">
      <c r="A923" t="s">
        <v>27</v>
      </c>
      <c r="B923" t="s">
        <v>27</v>
      </c>
      <c r="C923" t="s">
        <v>28</v>
      </c>
      <c r="D923" t="s">
        <v>21</v>
      </c>
      <c r="E923" s="2">
        <v>45566</v>
      </c>
      <c r="F923" s="3">
        <v>74154</v>
      </c>
      <c r="G923" s="3">
        <v>39807</v>
      </c>
      <c r="H923" s="3">
        <v>34347</v>
      </c>
      <c r="I923" s="3">
        <v>888</v>
      </c>
      <c r="J923" s="4">
        <v>146.16999999999999</v>
      </c>
      <c r="K923" s="3">
        <v>58004</v>
      </c>
      <c r="L923" s="3">
        <v>16150</v>
      </c>
    </row>
    <row r="924" spans="1:12" x14ac:dyDescent="0.25">
      <c r="A924" t="s">
        <v>27</v>
      </c>
      <c r="B924" t="s">
        <v>27</v>
      </c>
      <c r="C924" t="s">
        <v>28</v>
      </c>
      <c r="D924" t="s">
        <v>21</v>
      </c>
      <c r="E924" s="2">
        <v>45597</v>
      </c>
      <c r="F924" s="3">
        <v>72537</v>
      </c>
      <c r="G924" s="3">
        <v>40434</v>
      </c>
      <c r="H924" s="3">
        <v>32103</v>
      </c>
      <c r="I924" s="3">
        <v>849</v>
      </c>
      <c r="J924" s="4">
        <v>150.51</v>
      </c>
      <c r="K924" s="3">
        <v>57813</v>
      </c>
      <c r="L924" s="3">
        <v>14724</v>
      </c>
    </row>
    <row r="925" spans="1:12" x14ac:dyDescent="0.25">
      <c r="A925" t="s">
        <v>27</v>
      </c>
      <c r="B925" t="s">
        <v>27</v>
      </c>
      <c r="C925" t="s">
        <v>28</v>
      </c>
      <c r="D925" t="s">
        <v>21</v>
      </c>
      <c r="E925" s="2">
        <v>45627</v>
      </c>
      <c r="F925" s="3">
        <v>73371</v>
      </c>
      <c r="G925" s="3">
        <v>39820</v>
      </c>
      <c r="H925" s="3">
        <v>33551</v>
      </c>
      <c r="I925" s="3">
        <v>844</v>
      </c>
      <c r="J925" s="4">
        <v>142.76</v>
      </c>
      <c r="K925" s="3">
        <v>57785</v>
      </c>
      <c r="L925" s="3">
        <v>15586</v>
      </c>
    </row>
    <row r="926" spans="1:12" x14ac:dyDescent="0.25">
      <c r="A926" t="s">
        <v>27</v>
      </c>
      <c r="B926" t="s">
        <v>27</v>
      </c>
      <c r="C926" t="s">
        <v>28</v>
      </c>
      <c r="D926" t="s">
        <v>21</v>
      </c>
      <c r="E926" s="2">
        <v>45658</v>
      </c>
      <c r="F926" s="3">
        <v>68638</v>
      </c>
      <c r="G926" s="3">
        <v>38439</v>
      </c>
      <c r="H926" s="3">
        <v>30199</v>
      </c>
      <c r="I926" s="3">
        <v>794</v>
      </c>
      <c r="J926" s="4">
        <v>151.36000000000001</v>
      </c>
      <c r="K926" s="3">
        <v>53529</v>
      </c>
      <c r="L926" s="3">
        <v>15109</v>
      </c>
    </row>
    <row r="927" spans="1:12" x14ac:dyDescent="0.25">
      <c r="A927" t="s">
        <v>27</v>
      </c>
      <c r="B927" t="s">
        <v>27</v>
      </c>
      <c r="C927" t="s">
        <v>28</v>
      </c>
      <c r="D927" t="s">
        <v>21</v>
      </c>
      <c r="E927" s="2">
        <v>45689</v>
      </c>
      <c r="F927" s="3">
        <v>63940</v>
      </c>
      <c r="G927" s="3">
        <v>35096</v>
      </c>
      <c r="H927" s="3">
        <v>28844</v>
      </c>
      <c r="I927" s="3">
        <v>778</v>
      </c>
      <c r="J927" s="4">
        <v>142.01</v>
      </c>
      <c r="K927" s="3">
        <v>50950</v>
      </c>
      <c r="L927" s="3">
        <v>12990</v>
      </c>
    </row>
    <row r="928" spans="1:12" x14ac:dyDescent="0.25">
      <c r="A928" t="s">
        <v>27</v>
      </c>
      <c r="B928" t="s">
        <v>27</v>
      </c>
      <c r="C928" t="s">
        <v>28</v>
      </c>
      <c r="D928" t="s">
        <v>21</v>
      </c>
      <c r="E928" s="2">
        <v>45717</v>
      </c>
      <c r="F928" s="3">
        <v>68652</v>
      </c>
      <c r="G928" s="3">
        <v>37180</v>
      </c>
      <c r="H928" s="3">
        <v>31472</v>
      </c>
      <c r="I928" s="3">
        <v>804</v>
      </c>
      <c r="J928" s="4">
        <v>153.4</v>
      </c>
      <c r="K928" s="3">
        <v>53891</v>
      </c>
      <c r="L928" s="3">
        <v>14761</v>
      </c>
    </row>
    <row r="929" spans="1:12" x14ac:dyDescent="0.25">
      <c r="A929" t="s">
        <v>27</v>
      </c>
      <c r="B929" t="s">
        <v>27</v>
      </c>
      <c r="C929" t="s">
        <v>28</v>
      </c>
      <c r="D929" t="s">
        <v>21</v>
      </c>
      <c r="E929" s="2">
        <v>45748</v>
      </c>
      <c r="F929" s="3">
        <v>64845</v>
      </c>
      <c r="G929" s="3">
        <v>35954</v>
      </c>
      <c r="H929" s="3">
        <v>28891</v>
      </c>
      <c r="I929" s="3">
        <v>779</v>
      </c>
      <c r="J929" s="4">
        <v>146.11000000000001</v>
      </c>
      <c r="K929" s="3">
        <v>50756</v>
      </c>
      <c r="L929" s="3">
        <v>14089</v>
      </c>
    </row>
    <row r="930" spans="1:12" x14ac:dyDescent="0.25">
      <c r="A930" t="s">
        <v>27</v>
      </c>
      <c r="B930" t="s">
        <v>27</v>
      </c>
      <c r="C930" t="s">
        <v>28</v>
      </c>
      <c r="D930" t="s">
        <v>21</v>
      </c>
      <c r="E930" s="2">
        <v>45778</v>
      </c>
      <c r="F930" s="3">
        <v>65009</v>
      </c>
      <c r="G930" s="3">
        <v>35464</v>
      </c>
      <c r="H930" s="3">
        <v>29545</v>
      </c>
      <c r="I930" s="3">
        <v>767</v>
      </c>
      <c r="J930" s="4">
        <v>146.02000000000001</v>
      </c>
      <c r="K930" s="3">
        <v>51091</v>
      </c>
      <c r="L930" s="3">
        <v>13918</v>
      </c>
    </row>
    <row r="931" spans="1:12" x14ac:dyDescent="0.25">
      <c r="A931" t="s">
        <v>27</v>
      </c>
      <c r="B931" t="s">
        <v>27</v>
      </c>
      <c r="C931" t="s">
        <v>28</v>
      </c>
      <c r="D931" t="s">
        <v>21</v>
      </c>
      <c r="E931" s="2">
        <v>45809</v>
      </c>
      <c r="F931" s="3">
        <v>65971</v>
      </c>
      <c r="G931" s="3">
        <v>36518</v>
      </c>
      <c r="H931" s="3">
        <v>29453</v>
      </c>
      <c r="I931" s="3">
        <v>788</v>
      </c>
      <c r="J931" s="4">
        <v>148.13999999999999</v>
      </c>
      <c r="K931" s="3">
        <v>52631</v>
      </c>
      <c r="L931" s="3">
        <v>13340</v>
      </c>
    </row>
    <row r="932" spans="1:12" x14ac:dyDescent="0.25">
      <c r="A932" t="s">
        <v>27</v>
      </c>
      <c r="B932" t="s">
        <v>27</v>
      </c>
      <c r="C932" t="s">
        <v>28</v>
      </c>
      <c r="D932" t="s">
        <v>21</v>
      </c>
      <c r="E932" s="2">
        <v>45839</v>
      </c>
      <c r="F932" s="3">
        <v>73873</v>
      </c>
      <c r="G932" s="3">
        <v>41484</v>
      </c>
      <c r="H932" s="3">
        <v>32389</v>
      </c>
      <c r="I932" s="3">
        <v>858</v>
      </c>
      <c r="J932" s="4">
        <v>148.31</v>
      </c>
      <c r="K932" s="3">
        <v>58015</v>
      </c>
      <c r="L932" s="3">
        <v>15858</v>
      </c>
    </row>
    <row r="933" spans="1:12" x14ac:dyDescent="0.25">
      <c r="A933" t="s">
        <v>27</v>
      </c>
      <c r="B933" t="s">
        <v>27</v>
      </c>
      <c r="C933" t="s">
        <v>28</v>
      </c>
      <c r="D933" t="s">
        <v>21</v>
      </c>
      <c r="E933" s="2">
        <v>45870</v>
      </c>
      <c r="F933" s="3">
        <v>83011</v>
      </c>
      <c r="G933" s="3">
        <v>44526</v>
      </c>
      <c r="H933" s="3">
        <v>38485</v>
      </c>
      <c r="I933" s="3">
        <v>967</v>
      </c>
      <c r="J933" s="4">
        <v>141.93</v>
      </c>
      <c r="K933" s="3">
        <v>65025</v>
      </c>
      <c r="L933" s="3">
        <v>17986</v>
      </c>
    </row>
    <row r="934" spans="1:12" x14ac:dyDescent="0.25">
      <c r="A934" t="s">
        <v>27</v>
      </c>
      <c r="B934" t="s">
        <v>27</v>
      </c>
      <c r="C934" t="s">
        <v>28</v>
      </c>
      <c r="D934" t="s">
        <v>21</v>
      </c>
      <c r="E934" s="2">
        <v>45901</v>
      </c>
      <c r="F934" s="3">
        <v>87199</v>
      </c>
      <c r="G934" s="3">
        <v>47039</v>
      </c>
      <c r="H934" s="3">
        <v>40160</v>
      </c>
      <c r="I934" s="3">
        <v>1001</v>
      </c>
      <c r="J934" s="4">
        <v>151.55000000000001</v>
      </c>
      <c r="K934" s="3">
        <v>68692</v>
      </c>
      <c r="L934" s="3">
        <v>18507</v>
      </c>
    </row>
    <row r="935" spans="1:12" x14ac:dyDescent="0.25">
      <c r="A935" t="s">
        <v>27</v>
      </c>
      <c r="B935" t="s">
        <v>27</v>
      </c>
      <c r="C935" t="s">
        <v>28</v>
      </c>
      <c r="D935" t="s">
        <v>21</v>
      </c>
      <c r="E935" s="2">
        <v>45931</v>
      </c>
      <c r="F935" s="3">
        <v>87310</v>
      </c>
      <c r="G935" s="3">
        <v>48230</v>
      </c>
      <c r="H935" s="3">
        <v>39080</v>
      </c>
      <c r="I935" s="3">
        <v>1080</v>
      </c>
      <c r="J935" s="4">
        <v>152.96</v>
      </c>
      <c r="K935" s="3">
        <v>68184</v>
      </c>
      <c r="L935" s="3">
        <v>19126</v>
      </c>
    </row>
    <row r="936" spans="1:12" x14ac:dyDescent="0.25">
      <c r="A936" t="s">
        <v>27</v>
      </c>
      <c r="B936" t="s">
        <v>27</v>
      </c>
      <c r="C936" t="s">
        <v>28</v>
      </c>
      <c r="D936" t="s">
        <v>21</v>
      </c>
      <c r="E936" s="2">
        <v>45962</v>
      </c>
      <c r="F936" s="3">
        <v>80907</v>
      </c>
      <c r="G936" s="3">
        <v>45159</v>
      </c>
      <c r="H936" s="3">
        <v>35748</v>
      </c>
      <c r="I936" s="3">
        <v>944</v>
      </c>
      <c r="J936" s="4">
        <v>143.88</v>
      </c>
      <c r="K936" s="3">
        <v>63507</v>
      </c>
      <c r="L936" s="3">
        <v>17400</v>
      </c>
    </row>
    <row r="937" spans="1:12" x14ac:dyDescent="0.25">
      <c r="A937" t="s">
        <v>27</v>
      </c>
      <c r="B937" t="s">
        <v>27</v>
      </c>
      <c r="C937" t="s">
        <v>28</v>
      </c>
      <c r="D937" t="s">
        <v>21</v>
      </c>
      <c r="E937" s="2">
        <v>45992</v>
      </c>
      <c r="F937" s="3">
        <v>84912</v>
      </c>
      <c r="G937" s="3">
        <v>47771</v>
      </c>
      <c r="H937" s="3">
        <v>37141</v>
      </c>
      <c r="I937" s="3">
        <v>1031</v>
      </c>
      <c r="J937" s="4">
        <v>150.99</v>
      </c>
      <c r="K937" s="3">
        <v>66364</v>
      </c>
      <c r="L937" s="3">
        <v>18548</v>
      </c>
    </row>
    <row r="938" spans="1:12" x14ac:dyDescent="0.25">
      <c r="A938" t="s">
        <v>27</v>
      </c>
      <c r="B938" t="s">
        <v>27</v>
      </c>
      <c r="C938" t="s">
        <v>28</v>
      </c>
      <c r="D938" t="s">
        <v>22</v>
      </c>
      <c r="E938" s="2">
        <v>45292</v>
      </c>
      <c r="F938" s="3">
        <v>52788</v>
      </c>
      <c r="G938" s="3">
        <v>28192</v>
      </c>
      <c r="H938" s="3">
        <v>24596</v>
      </c>
      <c r="I938" s="3">
        <v>5992</v>
      </c>
      <c r="J938" s="4">
        <v>73.23</v>
      </c>
      <c r="K938" s="3">
        <v>41443</v>
      </c>
      <c r="L938" s="3">
        <v>11345</v>
      </c>
    </row>
    <row r="939" spans="1:12" x14ac:dyDescent="0.25">
      <c r="A939" t="s">
        <v>27</v>
      </c>
      <c r="B939" t="s">
        <v>27</v>
      </c>
      <c r="C939" t="s">
        <v>28</v>
      </c>
      <c r="D939" t="s">
        <v>22</v>
      </c>
      <c r="E939" s="2">
        <v>45323</v>
      </c>
      <c r="F939" s="3">
        <v>51557</v>
      </c>
      <c r="G939" s="3">
        <v>27456</v>
      </c>
      <c r="H939" s="3">
        <v>24101</v>
      </c>
      <c r="I939" s="3">
        <v>5926</v>
      </c>
      <c r="J939" s="4">
        <v>71.47</v>
      </c>
      <c r="K939" s="3">
        <v>40699</v>
      </c>
      <c r="L939" s="3">
        <v>10858</v>
      </c>
    </row>
    <row r="940" spans="1:12" x14ac:dyDescent="0.25">
      <c r="A940" t="s">
        <v>27</v>
      </c>
      <c r="B940" t="s">
        <v>27</v>
      </c>
      <c r="C940" t="s">
        <v>28</v>
      </c>
      <c r="D940" t="s">
        <v>22</v>
      </c>
      <c r="E940" s="2">
        <v>45352</v>
      </c>
      <c r="F940" s="3">
        <v>48650</v>
      </c>
      <c r="G940" s="3">
        <v>24784</v>
      </c>
      <c r="H940" s="3">
        <v>23866</v>
      </c>
      <c r="I940" s="3">
        <v>5382</v>
      </c>
      <c r="J940" s="4">
        <v>68.83</v>
      </c>
      <c r="K940" s="3">
        <v>38875</v>
      </c>
      <c r="L940" s="3">
        <v>9775</v>
      </c>
    </row>
    <row r="941" spans="1:12" x14ac:dyDescent="0.25">
      <c r="A941" t="s">
        <v>27</v>
      </c>
      <c r="B941" t="s">
        <v>27</v>
      </c>
      <c r="C941" t="s">
        <v>28</v>
      </c>
      <c r="D941" t="s">
        <v>22</v>
      </c>
      <c r="E941" s="2">
        <v>45383</v>
      </c>
      <c r="F941" s="3">
        <v>49877</v>
      </c>
      <c r="G941" s="3">
        <v>25268</v>
      </c>
      <c r="H941" s="3">
        <v>24609</v>
      </c>
      <c r="I941" s="3">
        <v>5459</v>
      </c>
      <c r="J941" s="4">
        <v>69.28</v>
      </c>
      <c r="K941" s="3">
        <v>39789</v>
      </c>
      <c r="L941" s="3">
        <v>10088</v>
      </c>
    </row>
    <row r="942" spans="1:12" x14ac:dyDescent="0.25">
      <c r="A942" t="s">
        <v>27</v>
      </c>
      <c r="B942" t="s">
        <v>27</v>
      </c>
      <c r="C942" t="s">
        <v>28</v>
      </c>
      <c r="D942" t="s">
        <v>22</v>
      </c>
      <c r="E942" s="2">
        <v>45413</v>
      </c>
      <c r="F942" s="3">
        <v>51070</v>
      </c>
      <c r="G942" s="3">
        <v>26189</v>
      </c>
      <c r="H942" s="3">
        <v>24881</v>
      </c>
      <c r="I942" s="3">
        <v>5893</v>
      </c>
      <c r="J942" s="4">
        <v>66.72</v>
      </c>
      <c r="K942" s="3">
        <v>40040</v>
      </c>
      <c r="L942" s="3">
        <v>11030</v>
      </c>
    </row>
    <row r="943" spans="1:12" x14ac:dyDescent="0.25">
      <c r="A943" t="s">
        <v>27</v>
      </c>
      <c r="B943" t="s">
        <v>27</v>
      </c>
      <c r="C943" t="s">
        <v>28</v>
      </c>
      <c r="D943" t="s">
        <v>22</v>
      </c>
      <c r="E943" s="2">
        <v>45444</v>
      </c>
      <c r="F943" s="3">
        <v>52285</v>
      </c>
      <c r="G943" s="3">
        <v>27646</v>
      </c>
      <c r="H943" s="3">
        <v>24639</v>
      </c>
      <c r="I943" s="3">
        <v>5587</v>
      </c>
      <c r="J943" s="4">
        <v>72.16</v>
      </c>
      <c r="K943" s="3">
        <v>40791</v>
      </c>
      <c r="L943" s="3">
        <v>11494</v>
      </c>
    </row>
    <row r="944" spans="1:12" x14ac:dyDescent="0.25">
      <c r="A944" t="s">
        <v>27</v>
      </c>
      <c r="B944" t="s">
        <v>27</v>
      </c>
      <c r="C944" t="s">
        <v>28</v>
      </c>
      <c r="D944" t="s">
        <v>22</v>
      </c>
      <c r="E944" s="2">
        <v>45474</v>
      </c>
      <c r="F944" s="3">
        <v>53652</v>
      </c>
      <c r="G944" s="3">
        <v>27781</v>
      </c>
      <c r="H944" s="3">
        <v>25871</v>
      </c>
      <c r="I944" s="3">
        <v>5918</v>
      </c>
      <c r="J944" s="4">
        <v>67.41</v>
      </c>
      <c r="K944" s="3">
        <v>42207</v>
      </c>
      <c r="L944" s="3">
        <v>11445</v>
      </c>
    </row>
    <row r="945" spans="1:12" x14ac:dyDescent="0.25">
      <c r="A945" t="s">
        <v>27</v>
      </c>
      <c r="B945" t="s">
        <v>27</v>
      </c>
      <c r="C945" t="s">
        <v>28</v>
      </c>
      <c r="D945" t="s">
        <v>22</v>
      </c>
      <c r="E945" s="2">
        <v>45505</v>
      </c>
      <c r="F945" s="3">
        <v>61208</v>
      </c>
      <c r="G945" s="3">
        <v>32635</v>
      </c>
      <c r="H945" s="3">
        <v>28573</v>
      </c>
      <c r="I945" s="3">
        <v>6880</v>
      </c>
      <c r="J945" s="4">
        <v>67.459999999999994</v>
      </c>
      <c r="K945" s="3">
        <v>47970</v>
      </c>
      <c r="L945" s="3">
        <v>13238</v>
      </c>
    </row>
    <row r="946" spans="1:12" x14ac:dyDescent="0.25">
      <c r="A946" t="s">
        <v>27</v>
      </c>
      <c r="B946" t="s">
        <v>27</v>
      </c>
      <c r="C946" t="s">
        <v>28</v>
      </c>
      <c r="D946" t="s">
        <v>22</v>
      </c>
      <c r="E946" s="2">
        <v>45536</v>
      </c>
      <c r="F946" s="3">
        <v>60032</v>
      </c>
      <c r="G946" s="3">
        <v>30675</v>
      </c>
      <c r="H946" s="3">
        <v>29357</v>
      </c>
      <c r="I946" s="3">
        <v>6482</v>
      </c>
      <c r="J946" s="4">
        <v>68.22</v>
      </c>
      <c r="K946" s="3">
        <v>47970</v>
      </c>
      <c r="L946" s="3">
        <v>12062</v>
      </c>
    </row>
    <row r="947" spans="1:12" x14ac:dyDescent="0.25">
      <c r="A947" t="s">
        <v>27</v>
      </c>
      <c r="B947" t="s">
        <v>27</v>
      </c>
      <c r="C947" t="s">
        <v>28</v>
      </c>
      <c r="D947" t="s">
        <v>22</v>
      </c>
      <c r="E947" s="2">
        <v>45566</v>
      </c>
      <c r="F947" s="3">
        <v>58449</v>
      </c>
      <c r="G947" s="3">
        <v>30903</v>
      </c>
      <c r="H947" s="3">
        <v>27546</v>
      </c>
      <c r="I947" s="3">
        <v>6328</v>
      </c>
      <c r="J947" s="4">
        <v>71.540000000000006</v>
      </c>
      <c r="K947" s="3">
        <v>46600</v>
      </c>
      <c r="L947" s="3">
        <v>11849</v>
      </c>
    </row>
    <row r="948" spans="1:12" x14ac:dyDescent="0.25">
      <c r="A948" t="s">
        <v>27</v>
      </c>
      <c r="B948" t="s">
        <v>27</v>
      </c>
      <c r="C948" t="s">
        <v>28</v>
      </c>
      <c r="D948" t="s">
        <v>22</v>
      </c>
      <c r="E948" s="2">
        <v>45597</v>
      </c>
      <c r="F948" s="3">
        <v>65154</v>
      </c>
      <c r="G948" s="3">
        <v>33724</v>
      </c>
      <c r="H948" s="3">
        <v>31430</v>
      </c>
      <c r="I948" s="3">
        <v>6993</v>
      </c>
      <c r="J948" s="4">
        <v>69.22</v>
      </c>
      <c r="K948" s="3">
        <v>51392</v>
      </c>
      <c r="L948" s="3">
        <v>13762</v>
      </c>
    </row>
    <row r="949" spans="1:12" x14ac:dyDescent="0.25">
      <c r="A949" t="s">
        <v>27</v>
      </c>
      <c r="B949" t="s">
        <v>27</v>
      </c>
      <c r="C949" t="s">
        <v>28</v>
      </c>
      <c r="D949" t="s">
        <v>22</v>
      </c>
      <c r="E949" s="2">
        <v>45627</v>
      </c>
      <c r="F949" s="3">
        <v>58664</v>
      </c>
      <c r="G949" s="3">
        <v>30064</v>
      </c>
      <c r="H949" s="3">
        <v>28600</v>
      </c>
      <c r="I949" s="3">
        <v>6772</v>
      </c>
      <c r="J949" s="4">
        <v>67.040000000000006</v>
      </c>
      <c r="K949" s="3">
        <v>46857</v>
      </c>
      <c r="L949" s="3">
        <v>11807</v>
      </c>
    </row>
    <row r="950" spans="1:12" x14ac:dyDescent="0.25">
      <c r="A950" t="s">
        <v>27</v>
      </c>
      <c r="B950" t="s">
        <v>27</v>
      </c>
      <c r="C950" t="s">
        <v>28</v>
      </c>
      <c r="D950" t="s">
        <v>22</v>
      </c>
      <c r="E950" s="2">
        <v>45658</v>
      </c>
      <c r="F950" s="3">
        <v>57499</v>
      </c>
      <c r="G950" s="3">
        <v>29175</v>
      </c>
      <c r="H950" s="3">
        <v>28324</v>
      </c>
      <c r="I950" s="3">
        <v>6369</v>
      </c>
      <c r="J950" s="4">
        <v>67.7</v>
      </c>
      <c r="K950" s="3">
        <v>44775</v>
      </c>
      <c r="L950" s="3">
        <v>12724</v>
      </c>
    </row>
    <row r="951" spans="1:12" x14ac:dyDescent="0.25">
      <c r="A951" t="s">
        <v>27</v>
      </c>
      <c r="B951" t="s">
        <v>27</v>
      </c>
      <c r="C951" t="s">
        <v>28</v>
      </c>
      <c r="D951" t="s">
        <v>22</v>
      </c>
      <c r="E951" s="2">
        <v>45689</v>
      </c>
      <c r="F951" s="3">
        <v>54193</v>
      </c>
      <c r="G951" s="3">
        <v>28678</v>
      </c>
      <c r="H951" s="3">
        <v>25515</v>
      </c>
      <c r="I951" s="3">
        <v>5802</v>
      </c>
      <c r="J951" s="4">
        <v>68.39</v>
      </c>
      <c r="K951" s="3">
        <v>43085</v>
      </c>
      <c r="L951" s="3">
        <v>11108</v>
      </c>
    </row>
    <row r="952" spans="1:12" x14ac:dyDescent="0.25">
      <c r="A952" t="s">
        <v>27</v>
      </c>
      <c r="B952" t="s">
        <v>27</v>
      </c>
      <c r="C952" t="s">
        <v>28</v>
      </c>
      <c r="D952" t="s">
        <v>22</v>
      </c>
      <c r="E952" s="2">
        <v>45717</v>
      </c>
      <c r="F952" s="3">
        <v>51448</v>
      </c>
      <c r="G952" s="3">
        <v>26116</v>
      </c>
      <c r="H952" s="3">
        <v>25332</v>
      </c>
      <c r="I952" s="3">
        <v>5881</v>
      </c>
      <c r="J952" s="4">
        <v>67.319999999999993</v>
      </c>
      <c r="K952" s="3">
        <v>40615</v>
      </c>
      <c r="L952" s="3">
        <v>10833</v>
      </c>
    </row>
    <row r="953" spans="1:12" x14ac:dyDescent="0.25">
      <c r="A953" t="s">
        <v>27</v>
      </c>
      <c r="B953" t="s">
        <v>27</v>
      </c>
      <c r="C953" t="s">
        <v>28</v>
      </c>
      <c r="D953" t="s">
        <v>22</v>
      </c>
      <c r="E953" s="2">
        <v>45748</v>
      </c>
      <c r="F953" s="3">
        <v>54938</v>
      </c>
      <c r="G953" s="3">
        <v>29289</v>
      </c>
      <c r="H953" s="3">
        <v>25649</v>
      </c>
      <c r="I953" s="3">
        <v>6120</v>
      </c>
      <c r="J953" s="4">
        <v>69.67</v>
      </c>
      <c r="K953" s="3">
        <v>43160</v>
      </c>
      <c r="L953" s="3">
        <v>11778</v>
      </c>
    </row>
    <row r="954" spans="1:12" x14ac:dyDescent="0.25">
      <c r="A954" t="s">
        <v>27</v>
      </c>
      <c r="B954" t="s">
        <v>27</v>
      </c>
      <c r="C954" t="s">
        <v>28</v>
      </c>
      <c r="D954" t="s">
        <v>22</v>
      </c>
      <c r="E954" s="2">
        <v>45778</v>
      </c>
      <c r="F954" s="3">
        <v>55088</v>
      </c>
      <c r="G954" s="3">
        <v>28596</v>
      </c>
      <c r="H954" s="3">
        <v>26492</v>
      </c>
      <c r="I954" s="3">
        <v>6424</v>
      </c>
      <c r="J954" s="4">
        <v>69.78</v>
      </c>
      <c r="K954" s="3">
        <v>43132</v>
      </c>
      <c r="L954" s="3">
        <v>11956</v>
      </c>
    </row>
    <row r="955" spans="1:12" x14ac:dyDescent="0.25">
      <c r="A955" t="s">
        <v>27</v>
      </c>
      <c r="B955" t="s">
        <v>27</v>
      </c>
      <c r="C955" t="s">
        <v>28</v>
      </c>
      <c r="D955" t="s">
        <v>22</v>
      </c>
      <c r="E955" s="2">
        <v>45809</v>
      </c>
      <c r="F955" s="3">
        <v>57670</v>
      </c>
      <c r="G955" s="3">
        <v>30392</v>
      </c>
      <c r="H955" s="3">
        <v>27278</v>
      </c>
      <c r="I955" s="3">
        <v>6291</v>
      </c>
      <c r="J955" s="4">
        <v>71.91</v>
      </c>
      <c r="K955" s="3">
        <v>45869</v>
      </c>
      <c r="L955" s="3">
        <v>11801</v>
      </c>
    </row>
    <row r="956" spans="1:12" x14ac:dyDescent="0.25">
      <c r="A956" t="s">
        <v>27</v>
      </c>
      <c r="B956" t="s">
        <v>27</v>
      </c>
      <c r="C956" t="s">
        <v>28</v>
      </c>
      <c r="D956" t="s">
        <v>22</v>
      </c>
      <c r="E956" s="2">
        <v>45839</v>
      </c>
      <c r="F956" s="3">
        <v>58574</v>
      </c>
      <c r="G956" s="3">
        <v>30360</v>
      </c>
      <c r="H956" s="3">
        <v>28214</v>
      </c>
      <c r="I956" s="3">
        <v>6800</v>
      </c>
      <c r="J956" s="4">
        <v>70.8</v>
      </c>
      <c r="K956" s="3">
        <v>45694</v>
      </c>
      <c r="L956" s="3">
        <v>12880</v>
      </c>
    </row>
    <row r="957" spans="1:12" x14ac:dyDescent="0.25">
      <c r="A957" t="s">
        <v>27</v>
      </c>
      <c r="B957" t="s">
        <v>27</v>
      </c>
      <c r="C957" t="s">
        <v>28</v>
      </c>
      <c r="D957" t="s">
        <v>22</v>
      </c>
      <c r="E957" s="2">
        <v>45870</v>
      </c>
      <c r="F957" s="3">
        <v>65983</v>
      </c>
      <c r="G957" s="3">
        <v>35270</v>
      </c>
      <c r="H957" s="3">
        <v>30713</v>
      </c>
      <c r="I957" s="3">
        <v>7611</v>
      </c>
      <c r="J957" s="4">
        <v>67.260000000000005</v>
      </c>
      <c r="K957" s="3">
        <v>51747</v>
      </c>
      <c r="L957" s="3">
        <v>14236</v>
      </c>
    </row>
    <row r="958" spans="1:12" x14ac:dyDescent="0.25">
      <c r="A958" t="s">
        <v>27</v>
      </c>
      <c r="B958" t="s">
        <v>27</v>
      </c>
      <c r="C958" t="s">
        <v>28</v>
      </c>
      <c r="D958" t="s">
        <v>22</v>
      </c>
      <c r="E958" s="2">
        <v>45901</v>
      </c>
      <c r="F958" s="3">
        <v>68015</v>
      </c>
      <c r="G958" s="3">
        <v>34423</v>
      </c>
      <c r="H958" s="3">
        <v>33592</v>
      </c>
      <c r="I958" s="3">
        <v>7716</v>
      </c>
      <c r="J958" s="4">
        <v>69.16</v>
      </c>
      <c r="K958" s="3">
        <v>53079</v>
      </c>
      <c r="L958" s="3">
        <v>14936</v>
      </c>
    </row>
    <row r="959" spans="1:12" x14ac:dyDescent="0.25">
      <c r="A959" t="s">
        <v>27</v>
      </c>
      <c r="B959" t="s">
        <v>27</v>
      </c>
      <c r="C959" t="s">
        <v>28</v>
      </c>
      <c r="D959" t="s">
        <v>22</v>
      </c>
      <c r="E959" s="2">
        <v>45931</v>
      </c>
      <c r="F959" s="3">
        <v>62519</v>
      </c>
      <c r="G959" s="3">
        <v>32090</v>
      </c>
      <c r="H959" s="3">
        <v>30429</v>
      </c>
      <c r="I959" s="3">
        <v>6725</v>
      </c>
      <c r="J959" s="4">
        <v>67.03</v>
      </c>
      <c r="K959" s="3">
        <v>49161</v>
      </c>
      <c r="L959" s="3">
        <v>13358</v>
      </c>
    </row>
    <row r="960" spans="1:12" x14ac:dyDescent="0.25">
      <c r="A960" t="s">
        <v>27</v>
      </c>
      <c r="B960" t="s">
        <v>27</v>
      </c>
      <c r="C960" t="s">
        <v>28</v>
      </c>
      <c r="D960" t="s">
        <v>22</v>
      </c>
      <c r="E960" s="2">
        <v>45962</v>
      </c>
      <c r="F960" s="3">
        <v>63795</v>
      </c>
      <c r="G960" s="3">
        <v>33726</v>
      </c>
      <c r="H960" s="3">
        <v>30069</v>
      </c>
      <c r="I960" s="3">
        <v>7264</v>
      </c>
      <c r="J960" s="4">
        <v>68.91</v>
      </c>
      <c r="K960" s="3">
        <v>49754</v>
      </c>
      <c r="L960" s="3">
        <v>14041</v>
      </c>
    </row>
    <row r="961" spans="1:12" x14ac:dyDescent="0.25">
      <c r="A961" t="s">
        <v>27</v>
      </c>
      <c r="B961" t="s">
        <v>27</v>
      </c>
      <c r="C961" t="s">
        <v>28</v>
      </c>
      <c r="D961" t="s">
        <v>22</v>
      </c>
      <c r="E961" s="2">
        <v>45992</v>
      </c>
      <c r="F961" s="3">
        <v>67932</v>
      </c>
      <c r="G961" s="3">
        <v>34969</v>
      </c>
      <c r="H961" s="3">
        <v>32963</v>
      </c>
      <c r="I961" s="3">
        <v>7898</v>
      </c>
      <c r="J961" s="4">
        <v>68.680000000000007</v>
      </c>
      <c r="K961" s="3">
        <v>53246</v>
      </c>
      <c r="L961" s="3">
        <v>14686</v>
      </c>
    </row>
    <row r="962" spans="1:12" x14ac:dyDescent="0.25">
      <c r="A962" t="s">
        <v>29</v>
      </c>
      <c r="B962" t="s">
        <v>29</v>
      </c>
      <c r="C962" t="s">
        <v>28</v>
      </c>
      <c r="D962" t="s">
        <v>15</v>
      </c>
      <c r="E962" s="2">
        <v>45292</v>
      </c>
      <c r="F962" s="3">
        <v>346215</v>
      </c>
      <c r="G962" s="3">
        <v>266760</v>
      </c>
      <c r="H962" s="3">
        <v>79455</v>
      </c>
      <c r="I962" s="3">
        <v>10510</v>
      </c>
      <c r="J962" s="4">
        <v>406.99</v>
      </c>
      <c r="K962" s="3">
        <v>250023</v>
      </c>
      <c r="L962" s="3">
        <v>96192</v>
      </c>
    </row>
    <row r="963" spans="1:12" x14ac:dyDescent="0.25">
      <c r="A963" t="s">
        <v>29</v>
      </c>
      <c r="B963" t="s">
        <v>29</v>
      </c>
      <c r="C963" t="s">
        <v>28</v>
      </c>
      <c r="D963" t="s">
        <v>15</v>
      </c>
      <c r="E963" s="2">
        <v>45323</v>
      </c>
      <c r="F963" s="3">
        <v>307712</v>
      </c>
      <c r="G963" s="3">
        <v>238683</v>
      </c>
      <c r="H963" s="3">
        <v>69029</v>
      </c>
      <c r="I963" s="3">
        <v>9379</v>
      </c>
      <c r="J963" s="4">
        <v>394.56</v>
      </c>
      <c r="K963" s="3">
        <v>222042</v>
      </c>
      <c r="L963" s="3">
        <v>85670</v>
      </c>
    </row>
    <row r="964" spans="1:12" x14ac:dyDescent="0.25">
      <c r="A964" t="s">
        <v>29</v>
      </c>
      <c r="B964" t="s">
        <v>29</v>
      </c>
      <c r="C964" t="s">
        <v>28</v>
      </c>
      <c r="D964" t="s">
        <v>15</v>
      </c>
      <c r="E964" s="2">
        <v>45352</v>
      </c>
      <c r="F964" s="3">
        <v>302020</v>
      </c>
      <c r="G964" s="3">
        <v>236674</v>
      </c>
      <c r="H964" s="3">
        <v>65346</v>
      </c>
      <c r="I964" s="3">
        <v>9300</v>
      </c>
      <c r="J964" s="4">
        <v>387.25</v>
      </c>
      <c r="K964" s="3">
        <v>215381</v>
      </c>
      <c r="L964" s="3">
        <v>86639</v>
      </c>
    </row>
    <row r="965" spans="1:12" x14ac:dyDescent="0.25">
      <c r="A965" t="s">
        <v>29</v>
      </c>
      <c r="B965" t="s">
        <v>29</v>
      </c>
      <c r="C965" t="s">
        <v>28</v>
      </c>
      <c r="D965" t="s">
        <v>15</v>
      </c>
      <c r="E965" s="2">
        <v>45383</v>
      </c>
      <c r="F965" s="3">
        <v>290360</v>
      </c>
      <c r="G965" s="3">
        <v>219688</v>
      </c>
      <c r="H965" s="3">
        <v>70672</v>
      </c>
      <c r="I965" s="3">
        <v>8745</v>
      </c>
      <c r="J965" s="4">
        <v>402.49</v>
      </c>
      <c r="K965" s="3">
        <v>211293</v>
      </c>
      <c r="L965" s="3">
        <v>79067</v>
      </c>
    </row>
    <row r="966" spans="1:12" x14ac:dyDescent="0.25">
      <c r="A966" t="s">
        <v>29</v>
      </c>
      <c r="B966" t="s">
        <v>29</v>
      </c>
      <c r="C966" t="s">
        <v>28</v>
      </c>
      <c r="D966" t="s">
        <v>15</v>
      </c>
      <c r="E966" s="2">
        <v>45413</v>
      </c>
      <c r="F966" s="3">
        <v>289809</v>
      </c>
      <c r="G966" s="3">
        <v>222074</v>
      </c>
      <c r="H966" s="3">
        <v>67735</v>
      </c>
      <c r="I966" s="3">
        <v>8639</v>
      </c>
      <c r="J966" s="4">
        <v>424.72</v>
      </c>
      <c r="K966" s="3">
        <v>211633</v>
      </c>
      <c r="L966" s="3">
        <v>78176</v>
      </c>
    </row>
    <row r="967" spans="1:12" x14ac:dyDescent="0.25">
      <c r="A967" t="s">
        <v>29</v>
      </c>
      <c r="B967" t="s">
        <v>29</v>
      </c>
      <c r="C967" t="s">
        <v>28</v>
      </c>
      <c r="D967" t="s">
        <v>15</v>
      </c>
      <c r="E967" s="2">
        <v>45444</v>
      </c>
      <c r="F967" s="3">
        <v>333352</v>
      </c>
      <c r="G967" s="3">
        <v>255685</v>
      </c>
      <c r="H967" s="3">
        <v>77667</v>
      </c>
      <c r="I967" s="3">
        <v>10070</v>
      </c>
      <c r="J967" s="4">
        <v>417.16</v>
      </c>
      <c r="K967" s="3">
        <v>243357</v>
      </c>
      <c r="L967" s="3">
        <v>89995</v>
      </c>
    </row>
    <row r="968" spans="1:12" x14ac:dyDescent="0.25">
      <c r="A968" t="s">
        <v>29</v>
      </c>
      <c r="B968" t="s">
        <v>29</v>
      </c>
      <c r="C968" t="s">
        <v>28</v>
      </c>
      <c r="D968" t="s">
        <v>15</v>
      </c>
      <c r="E968" s="2">
        <v>45474</v>
      </c>
      <c r="F968" s="3">
        <v>347306</v>
      </c>
      <c r="G968" s="3">
        <v>266371</v>
      </c>
      <c r="H968" s="3">
        <v>80935</v>
      </c>
      <c r="I968" s="3">
        <v>9932</v>
      </c>
      <c r="J968" s="4">
        <v>416.11</v>
      </c>
      <c r="K968" s="3">
        <v>248663</v>
      </c>
      <c r="L968" s="3">
        <v>98643</v>
      </c>
    </row>
    <row r="969" spans="1:12" x14ac:dyDescent="0.25">
      <c r="A969" t="s">
        <v>29</v>
      </c>
      <c r="B969" t="s">
        <v>29</v>
      </c>
      <c r="C969" t="s">
        <v>28</v>
      </c>
      <c r="D969" t="s">
        <v>15</v>
      </c>
      <c r="E969" s="2">
        <v>45505</v>
      </c>
      <c r="F969" s="3">
        <v>355231</v>
      </c>
      <c r="G969" s="3">
        <v>268930</v>
      </c>
      <c r="H969" s="3">
        <v>86301</v>
      </c>
      <c r="I969" s="3">
        <v>10431</v>
      </c>
      <c r="J969" s="4">
        <v>392.91</v>
      </c>
      <c r="K969" s="3">
        <v>250715</v>
      </c>
      <c r="L969" s="3">
        <v>104516</v>
      </c>
    </row>
    <row r="970" spans="1:12" x14ac:dyDescent="0.25">
      <c r="A970" t="s">
        <v>29</v>
      </c>
      <c r="B970" t="s">
        <v>29</v>
      </c>
      <c r="C970" t="s">
        <v>28</v>
      </c>
      <c r="D970" t="s">
        <v>15</v>
      </c>
      <c r="E970" s="2">
        <v>45536</v>
      </c>
      <c r="F970" s="3">
        <v>355195</v>
      </c>
      <c r="G970" s="3">
        <v>272950</v>
      </c>
      <c r="H970" s="3">
        <v>82245</v>
      </c>
      <c r="I970" s="3">
        <v>10990</v>
      </c>
      <c r="J970" s="4">
        <v>422.37</v>
      </c>
      <c r="K970" s="3">
        <v>252608</v>
      </c>
      <c r="L970" s="3">
        <v>102587</v>
      </c>
    </row>
    <row r="971" spans="1:12" x14ac:dyDescent="0.25">
      <c r="A971" t="s">
        <v>29</v>
      </c>
      <c r="B971" t="s">
        <v>29</v>
      </c>
      <c r="C971" t="s">
        <v>28</v>
      </c>
      <c r="D971" t="s">
        <v>15</v>
      </c>
      <c r="E971" s="2">
        <v>45566</v>
      </c>
      <c r="F971" s="3">
        <v>380937</v>
      </c>
      <c r="G971" s="3">
        <v>289459</v>
      </c>
      <c r="H971" s="3">
        <v>91478</v>
      </c>
      <c r="I971" s="3">
        <v>11177</v>
      </c>
      <c r="J971" s="4">
        <v>400.72</v>
      </c>
      <c r="K971" s="3">
        <v>273066</v>
      </c>
      <c r="L971" s="3">
        <v>107871</v>
      </c>
    </row>
    <row r="972" spans="1:12" x14ac:dyDescent="0.25">
      <c r="A972" t="s">
        <v>29</v>
      </c>
      <c r="B972" t="s">
        <v>29</v>
      </c>
      <c r="C972" t="s">
        <v>28</v>
      </c>
      <c r="D972" t="s">
        <v>15</v>
      </c>
      <c r="E972" s="2">
        <v>45597</v>
      </c>
      <c r="F972" s="3">
        <v>349568</v>
      </c>
      <c r="G972" s="3">
        <v>270811</v>
      </c>
      <c r="H972" s="3">
        <v>78757</v>
      </c>
      <c r="I972" s="3">
        <v>10545</v>
      </c>
      <c r="J972" s="4">
        <v>424.73</v>
      </c>
      <c r="K972" s="3">
        <v>254223</v>
      </c>
      <c r="L972" s="3">
        <v>95345</v>
      </c>
    </row>
    <row r="973" spans="1:12" x14ac:dyDescent="0.25">
      <c r="A973" t="s">
        <v>29</v>
      </c>
      <c r="B973" t="s">
        <v>29</v>
      </c>
      <c r="C973" t="s">
        <v>28</v>
      </c>
      <c r="D973" t="s">
        <v>15</v>
      </c>
      <c r="E973" s="2">
        <v>45627</v>
      </c>
      <c r="F973" s="3">
        <v>354272</v>
      </c>
      <c r="G973" s="3">
        <v>268442</v>
      </c>
      <c r="H973" s="3">
        <v>85830</v>
      </c>
      <c r="I973" s="3">
        <v>10365</v>
      </c>
      <c r="J973" s="4">
        <v>427.7</v>
      </c>
      <c r="K973" s="3">
        <v>256743</v>
      </c>
      <c r="L973" s="3">
        <v>97529</v>
      </c>
    </row>
    <row r="974" spans="1:12" x14ac:dyDescent="0.25">
      <c r="A974" t="s">
        <v>29</v>
      </c>
      <c r="B974" t="s">
        <v>29</v>
      </c>
      <c r="C974" t="s">
        <v>28</v>
      </c>
      <c r="D974" t="s">
        <v>15</v>
      </c>
      <c r="E974" s="2">
        <v>45658</v>
      </c>
      <c r="F974" s="3">
        <v>324563</v>
      </c>
      <c r="G974" s="3">
        <v>247858</v>
      </c>
      <c r="H974" s="3">
        <v>76705</v>
      </c>
      <c r="I974" s="3">
        <v>9886</v>
      </c>
      <c r="J974" s="4">
        <v>403.01</v>
      </c>
      <c r="K974" s="3">
        <v>236719</v>
      </c>
      <c r="L974" s="3">
        <v>87844</v>
      </c>
    </row>
    <row r="975" spans="1:12" x14ac:dyDescent="0.25">
      <c r="A975" t="s">
        <v>29</v>
      </c>
      <c r="B975" t="s">
        <v>29</v>
      </c>
      <c r="C975" t="s">
        <v>28</v>
      </c>
      <c r="D975" t="s">
        <v>15</v>
      </c>
      <c r="E975" s="2">
        <v>45689</v>
      </c>
      <c r="F975" s="3">
        <v>332184</v>
      </c>
      <c r="G975" s="3">
        <v>259225</v>
      </c>
      <c r="H975" s="3">
        <v>72959</v>
      </c>
      <c r="I975" s="3">
        <v>9881</v>
      </c>
      <c r="J975" s="4">
        <v>421.46</v>
      </c>
      <c r="K975" s="3">
        <v>239582</v>
      </c>
      <c r="L975" s="3">
        <v>92602</v>
      </c>
    </row>
    <row r="976" spans="1:12" x14ac:dyDescent="0.25">
      <c r="A976" t="s">
        <v>29</v>
      </c>
      <c r="B976" t="s">
        <v>29</v>
      </c>
      <c r="C976" t="s">
        <v>28</v>
      </c>
      <c r="D976" t="s">
        <v>15</v>
      </c>
      <c r="E976" s="2">
        <v>45717</v>
      </c>
      <c r="F976" s="3">
        <v>315927</v>
      </c>
      <c r="G976" s="3">
        <v>239986</v>
      </c>
      <c r="H976" s="3">
        <v>75941</v>
      </c>
      <c r="I976" s="3">
        <v>9329</v>
      </c>
      <c r="J976" s="4">
        <v>421.61</v>
      </c>
      <c r="K976" s="3">
        <v>226560</v>
      </c>
      <c r="L976" s="3">
        <v>89367</v>
      </c>
    </row>
    <row r="977" spans="1:12" x14ac:dyDescent="0.25">
      <c r="A977" t="s">
        <v>29</v>
      </c>
      <c r="B977" t="s">
        <v>29</v>
      </c>
      <c r="C977" t="s">
        <v>28</v>
      </c>
      <c r="D977" t="s">
        <v>15</v>
      </c>
      <c r="E977" s="2">
        <v>45748</v>
      </c>
      <c r="F977" s="3">
        <v>323431</v>
      </c>
      <c r="G977" s="3">
        <v>248025</v>
      </c>
      <c r="H977" s="3">
        <v>75406</v>
      </c>
      <c r="I977" s="3">
        <v>9835</v>
      </c>
      <c r="J977" s="4">
        <v>403.87</v>
      </c>
      <c r="K977" s="3">
        <v>233656</v>
      </c>
      <c r="L977" s="3">
        <v>89775</v>
      </c>
    </row>
    <row r="978" spans="1:12" x14ac:dyDescent="0.25">
      <c r="A978" t="s">
        <v>29</v>
      </c>
      <c r="B978" t="s">
        <v>29</v>
      </c>
      <c r="C978" t="s">
        <v>28</v>
      </c>
      <c r="D978" t="s">
        <v>15</v>
      </c>
      <c r="E978" s="2">
        <v>45778</v>
      </c>
      <c r="F978" s="3">
        <v>317052</v>
      </c>
      <c r="G978" s="3">
        <v>244353</v>
      </c>
      <c r="H978" s="3">
        <v>72699</v>
      </c>
      <c r="I978" s="3">
        <v>9759</v>
      </c>
      <c r="J978" s="4">
        <v>407.59</v>
      </c>
      <c r="K978" s="3">
        <v>225041</v>
      </c>
      <c r="L978" s="3">
        <v>92011</v>
      </c>
    </row>
    <row r="979" spans="1:12" x14ac:dyDescent="0.25">
      <c r="A979" t="s">
        <v>29</v>
      </c>
      <c r="B979" t="s">
        <v>29</v>
      </c>
      <c r="C979" t="s">
        <v>28</v>
      </c>
      <c r="D979" t="s">
        <v>15</v>
      </c>
      <c r="E979" s="2">
        <v>45809</v>
      </c>
      <c r="F979" s="3">
        <v>330984</v>
      </c>
      <c r="G979" s="3">
        <v>255256</v>
      </c>
      <c r="H979" s="3">
        <v>75728</v>
      </c>
      <c r="I979" s="3">
        <v>10019</v>
      </c>
      <c r="J979" s="4">
        <v>415.99</v>
      </c>
      <c r="K979" s="3">
        <v>241366</v>
      </c>
      <c r="L979" s="3">
        <v>89618</v>
      </c>
    </row>
    <row r="980" spans="1:12" x14ac:dyDescent="0.25">
      <c r="A980" t="s">
        <v>29</v>
      </c>
      <c r="B980" t="s">
        <v>29</v>
      </c>
      <c r="C980" t="s">
        <v>28</v>
      </c>
      <c r="D980" t="s">
        <v>15</v>
      </c>
      <c r="E980" s="2">
        <v>45839</v>
      </c>
      <c r="F980" s="3">
        <v>336420</v>
      </c>
      <c r="G980" s="3">
        <v>263134</v>
      </c>
      <c r="H980" s="3">
        <v>73286</v>
      </c>
      <c r="I980" s="3">
        <v>9551</v>
      </c>
      <c r="J980" s="4">
        <v>426.96</v>
      </c>
      <c r="K980" s="3">
        <v>236923</v>
      </c>
      <c r="L980" s="3">
        <v>99497</v>
      </c>
    </row>
    <row r="981" spans="1:12" x14ac:dyDescent="0.25">
      <c r="A981" t="s">
        <v>29</v>
      </c>
      <c r="B981" t="s">
        <v>29</v>
      </c>
      <c r="C981" t="s">
        <v>28</v>
      </c>
      <c r="D981" t="s">
        <v>15</v>
      </c>
      <c r="E981" s="2">
        <v>45870</v>
      </c>
      <c r="F981" s="3">
        <v>353778</v>
      </c>
      <c r="G981" s="3">
        <v>268951</v>
      </c>
      <c r="H981" s="3">
        <v>84827</v>
      </c>
      <c r="I981" s="3">
        <v>10102</v>
      </c>
      <c r="J981" s="4">
        <v>414.97</v>
      </c>
      <c r="K981" s="3">
        <v>257254</v>
      </c>
      <c r="L981" s="3">
        <v>96524</v>
      </c>
    </row>
    <row r="982" spans="1:12" x14ac:dyDescent="0.25">
      <c r="A982" t="s">
        <v>29</v>
      </c>
      <c r="B982" t="s">
        <v>29</v>
      </c>
      <c r="C982" t="s">
        <v>28</v>
      </c>
      <c r="D982" t="s">
        <v>15</v>
      </c>
      <c r="E982" s="2">
        <v>45901</v>
      </c>
      <c r="F982" s="3">
        <v>389986</v>
      </c>
      <c r="G982" s="3">
        <v>303236</v>
      </c>
      <c r="H982" s="3">
        <v>86750</v>
      </c>
      <c r="I982" s="3">
        <v>11753</v>
      </c>
      <c r="J982" s="4">
        <v>408.52</v>
      </c>
      <c r="K982" s="3">
        <v>279266</v>
      </c>
      <c r="L982" s="3">
        <v>110720</v>
      </c>
    </row>
    <row r="983" spans="1:12" x14ac:dyDescent="0.25">
      <c r="A983" t="s">
        <v>29</v>
      </c>
      <c r="B983" t="s">
        <v>29</v>
      </c>
      <c r="C983" t="s">
        <v>28</v>
      </c>
      <c r="D983" t="s">
        <v>15</v>
      </c>
      <c r="E983" s="2">
        <v>45931</v>
      </c>
      <c r="F983" s="3">
        <v>385924</v>
      </c>
      <c r="G983" s="3">
        <v>301590</v>
      </c>
      <c r="H983" s="3">
        <v>84334</v>
      </c>
      <c r="I983" s="3">
        <v>10883</v>
      </c>
      <c r="J983" s="4">
        <v>408.34</v>
      </c>
      <c r="K983" s="3">
        <v>277894</v>
      </c>
      <c r="L983" s="3">
        <v>108030</v>
      </c>
    </row>
    <row r="984" spans="1:12" x14ac:dyDescent="0.25">
      <c r="A984" t="s">
        <v>29</v>
      </c>
      <c r="B984" t="s">
        <v>29</v>
      </c>
      <c r="C984" t="s">
        <v>28</v>
      </c>
      <c r="D984" t="s">
        <v>15</v>
      </c>
      <c r="E984" s="2">
        <v>45962</v>
      </c>
      <c r="F984" s="3">
        <v>390877</v>
      </c>
      <c r="G984" s="3">
        <v>305726</v>
      </c>
      <c r="H984" s="3">
        <v>85151</v>
      </c>
      <c r="I984" s="3">
        <v>11409</v>
      </c>
      <c r="J984" s="4">
        <v>414.07</v>
      </c>
      <c r="K984" s="3">
        <v>277291</v>
      </c>
      <c r="L984" s="3">
        <v>113586</v>
      </c>
    </row>
    <row r="985" spans="1:12" x14ac:dyDescent="0.25">
      <c r="A985" t="s">
        <v>29</v>
      </c>
      <c r="B985" t="s">
        <v>29</v>
      </c>
      <c r="C985" t="s">
        <v>28</v>
      </c>
      <c r="D985" t="s">
        <v>15</v>
      </c>
      <c r="E985" s="2">
        <v>45992</v>
      </c>
      <c r="F985" s="3">
        <v>395878</v>
      </c>
      <c r="G985" s="3">
        <v>307366</v>
      </c>
      <c r="H985" s="3">
        <v>88512</v>
      </c>
      <c r="I985" s="3">
        <v>11294</v>
      </c>
      <c r="J985" s="4">
        <v>424.92</v>
      </c>
      <c r="K985" s="3">
        <v>278157</v>
      </c>
      <c r="L985" s="3">
        <v>117721</v>
      </c>
    </row>
    <row r="986" spans="1:12" x14ac:dyDescent="0.25">
      <c r="A986" t="s">
        <v>29</v>
      </c>
      <c r="B986" t="s">
        <v>29</v>
      </c>
      <c r="C986" t="s">
        <v>28</v>
      </c>
      <c r="D986" t="s">
        <v>16</v>
      </c>
      <c r="E986" s="2">
        <v>45292</v>
      </c>
      <c r="F986" s="3">
        <v>112129</v>
      </c>
      <c r="G986" s="3">
        <v>72777</v>
      </c>
      <c r="H986" s="3">
        <v>39352</v>
      </c>
      <c r="I986" s="3">
        <v>1855</v>
      </c>
      <c r="J986" s="4">
        <v>674.54</v>
      </c>
      <c r="K986" s="3">
        <v>81123</v>
      </c>
      <c r="L986" s="3">
        <v>31006</v>
      </c>
    </row>
    <row r="987" spans="1:12" x14ac:dyDescent="0.25">
      <c r="A987" t="s">
        <v>29</v>
      </c>
      <c r="B987" t="s">
        <v>29</v>
      </c>
      <c r="C987" t="s">
        <v>28</v>
      </c>
      <c r="D987" t="s">
        <v>16</v>
      </c>
      <c r="E987" s="2">
        <v>45323</v>
      </c>
      <c r="F987" s="3">
        <v>100854</v>
      </c>
      <c r="G987" s="3">
        <v>65432</v>
      </c>
      <c r="H987" s="3">
        <v>35422</v>
      </c>
      <c r="I987" s="3">
        <v>1671</v>
      </c>
      <c r="J987" s="4">
        <v>683.41</v>
      </c>
      <c r="K987" s="3">
        <v>72108</v>
      </c>
      <c r="L987" s="3">
        <v>28746</v>
      </c>
    </row>
    <row r="988" spans="1:12" x14ac:dyDescent="0.25">
      <c r="A988" t="s">
        <v>29</v>
      </c>
      <c r="B988" t="s">
        <v>29</v>
      </c>
      <c r="C988" t="s">
        <v>28</v>
      </c>
      <c r="D988" t="s">
        <v>16</v>
      </c>
      <c r="E988" s="2">
        <v>45352</v>
      </c>
      <c r="F988" s="3">
        <v>98663</v>
      </c>
      <c r="G988" s="3">
        <v>65403</v>
      </c>
      <c r="H988" s="3">
        <v>33260</v>
      </c>
      <c r="I988" s="3">
        <v>1648</v>
      </c>
      <c r="J988" s="4">
        <v>646.52</v>
      </c>
      <c r="K988" s="3">
        <v>69655</v>
      </c>
      <c r="L988" s="3">
        <v>29008</v>
      </c>
    </row>
    <row r="989" spans="1:12" x14ac:dyDescent="0.25">
      <c r="A989" t="s">
        <v>29</v>
      </c>
      <c r="B989" t="s">
        <v>29</v>
      </c>
      <c r="C989" t="s">
        <v>28</v>
      </c>
      <c r="D989" t="s">
        <v>16</v>
      </c>
      <c r="E989" s="2">
        <v>45383</v>
      </c>
      <c r="F989" s="3">
        <v>99111</v>
      </c>
      <c r="G989" s="3">
        <v>64330</v>
      </c>
      <c r="H989" s="3">
        <v>34781</v>
      </c>
      <c r="I989" s="3">
        <v>1743</v>
      </c>
      <c r="J989" s="4">
        <v>698.2</v>
      </c>
      <c r="K989" s="3">
        <v>69781</v>
      </c>
      <c r="L989" s="3">
        <v>29330</v>
      </c>
    </row>
    <row r="990" spans="1:12" x14ac:dyDescent="0.25">
      <c r="A990" t="s">
        <v>29</v>
      </c>
      <c r="B990" t="s">
        <v>29</v>
      </c>
      <c r="C990" t="s">
        <v>28</v>
      </c>
      <c r="D990" t="s">
        <v>16</v>
      </c>
      <c r="E990" s="2">
        <v>45413</v>
      </c>
      <c r="F990" s="3">
        <v>110225</v>
      </c>
      <c r="G990" s="3">
        <v>72987</v>
      </c>
      <c r="H990" s="3">
        <v>37238</v>
      </c>
      <c r="I990" s="3">
        <v>1986</v>
      </c>
      <c r="J990" s="4">
        <v>658.91</v>
      </c>
      <c r="K990" s="3">
        <v>78220</v>
      </c>
      <c r="L990" s="3">
        <v>32005</v>
      </c>
    </row>
    <row r="991" spans="1:12" x14ac:dyDescent="0.25">
      <c r="A991" t="s">
        <v>29</v>
      </c>
      <c r="B991" t="s">
        <v>29</v>
      </c>
      <c r="C991" t="s">
        <v>28</v>
      </c>
      <c r="D991" t="s">
        <v>16</v>
      </c>
      <c r="E991" s="2">
        <v>45444</v>
      </c>
      <c r="F991" s="3">
        <v>113509</v>
      </c>
      <c r="G991" s="3">
        <v>73997</v>
      </c>
      <c r="H991" s="3">
        <v>39512</v>
      </c>
      <c r="I991" s="3">
        <v>1900</v>
      </c>
      <c r="J991" s="4">
        <v>682.86</v>
      </c>
      <c r="K991" s="3">
        <v>80843</v>
      </c>
      <c r="L991" s="3">
        <v>32666</v>
      </c>
    </row>
    <row r="992" spans="1:12" x14ac:dyDescent="0.25">
      <c r="A992" t="s">
        <v>29</v>
      </c>
      <c r="B992" t="s">
        <v>29</v>
      </c>
      <c r="C992" t="s">
        <v>28</v>
      </c>
      <c r="D992" t="s">
        <v>16</v>
      </c>
      <c r="E992" s="2">
        <v>45474</v>
      </c>
      <c r="F992" s="3">
        <v>122878</v>
      </c>
      <c r="G992" s="3">
        <v>81352</v>
      </c>
      <c r="H992" s="3">
        <v>41526</v>
      </c>
      <c r="I992" s="3">
        <v>2227</v>
      </c>
      <c r="J992" s="4">
        <v>648.35</v>
      </c>
      <c r="K992" s="3">
        <v>88071</v>
      </c>
      <c r="L992" s="3">
        <v>34807</v>
      </c>
    </row>
    <row r="993" spans="1:12" x14ac:dyDescent="0.25">
      <c r="A993" t="s">
        <v>29</v>
      </c>
      <c r="B993" t="s">
        <v>29</v>
      </c>
      <c r="C993" t="s">
        <v>28</v>
      </c>
      <c r="D993" t="s">
        <v>16</v>
      </c>
      <c r="E993" s="2">
        <v>45505</v>
      </c>
      <c r="F993" s="3">
        <v>127631</v>
      </c>
      <c r="G993" s="3">
        <v>83229</v>
      </c>
      <c r="H993" s="3">
        <v>44402</v>
      </c>
      <c r="I993" s="3">
        <v>2184</v>
      </c>
      <c r="J993" s="4">
        <v>699.61</v>
      </c>
      <c r="K993" s="3">
        <v>92691</v>
      </c>
      <c r="L993" s="3">
        <v>34940</v>
      </c>
    </row>
    <row r="994" spans="1:12" x14ac:dyDescent="0.25">
      <c r="A994" t="s">
        <v>29</v>
      </c>
      <c r="B994" t="s">
        <v>29</v>
      </c>
      <c r="C994" t="s">
        <v>28</v>
      </c>
      <c r="D994" t="s">
        <v>16</v>
      </c>
      <c r="E994" s="2">
        <v>45536</v>
      </c>
      <c r="F994" s="3">
        <v>134630</v>
      </c>
      <c r="G994" s="3">
        <v>86337</v>
      </c>
      <c r="H994" s="3">
        <v>48293</v>
      </c>
      <c r="I994" s="3">
        <v>2384</v>
      </c>
      <c r="J994" s="4">
        <v>695.08</v>
      </c>
      <c r="K994" s="3">
        <v>95566</v>
      </c>
      <c r="L994" s="3">
        <v>39064</v>
      </c>
    </row>
    <row r="995" spans="1:12" x14ac:dyDescent="0.25">
      <c r="A995" t="s">
        <v>29</v>
      </c>
      <c r="B995" t="s">
        <v>29</v>
      </c>
      <c r="C995" t="s">
        <v>28</v>
      </c>
      <c r="D995" t="s">
        <v>16</v>
      </c>
      <c r="E995" s="2">
        <v>45566</v>
      </c>
      <c r="F995" s="3">
        <v>129255</v>
      </c>
      <c r="G995" s="3">
        <v>82403</v>
      </c>
      <c r="H995" s="3">
        <v>46852</v>
      </c>
      <c r="I995" s="3">
        <v>2301</v>
      </c>
      <c r="J995" s="4">
        <v>662.43</v>
      </c>
      <c r="K995" s="3">
        <v>92847</v>
      </c>
      <c r="L995" s="3">
        <v>36408</v>
      </c>
    </row>
    <row r="996" spans="1:12" x14ac:dyDescent="0.25">
      <c r="A996" t="s">
        <v>29</v>
      </c>
      <c r="B996" t="s">
        <v>29</v>
      </c>
      <c r="C996" t="s">
        <v>28</v>
      </c>
      <c r="D996" t="s">
        <v>16</v>
      </c>
      <c r="E996" s="2">
        <v>45597</v>
      </c>
      <c r="F996" s="3">
        <v>140417</v>
      </c>
      <c r="G996" s="3">
        <v>91165</v>
      </c>
      <c r="H996" s="3">
        <v>49252</v>
      </c>
      <c r="I996" s="3">
        <v>2369</v>
      </c>
      <c r="J996" s="4">
        <v>663.06</v>
      </c>
      <c r="K996" s="3">
        <v>99798</v>
      </c>
      <c r="L996" s="3">
        <v>40619</v>
      </c>
    </row>
    <row r="997" spans="1:12" x14ac:dyDescent="0.25">
      <c r="A997" t="s">
        <v>29</v>
      </c>
      <c r="B997" t="s">
        <v>29</v>
      </c>
      <c r="C997" t="s">
        <v>28</v>
      </c>
      <c r="D997" t="s">
        <v>16</v>
      </c>
      <c r="E997" s="2">
        <v>45627</v>
      </c>
      <c r="F997" s="3">
        <v>131035</v>
      </c>
      <c r="G997" s="3">
        <v>86325</v>
      </c>
      <c r="H997" s="3">
        <v>44710</v>
      </c>
      <c r="I997" s="3">
        <v>2162</v>
      </c>
      <c r="J997" s="4">
        <v>641.12</v>
      </c>
      <c r="K997" s="3">
        <v>93725</v>
      </c>
      <c r="L997" s="3">
        <v>37310</v>
      </c>
    </row>
    <row r="998" spans="1:12" x14ac:dyDescent="0.25">
      <c r="A998" t="s">
        <v>29</v>
      </c>
      <c r="B998" t="s">
        <v>29</v>
      </c>
      <c r="C998" t="s">
        <v>28</v>
      </c>
      <c r="D998" t="s">
        <v>16</v>
      </c>
      <c r="E998" s="2">
        <v>45658</v>
      </c>
      <c r="F998" s="3">
        <v>127806</v>
      </c>
      <c r="G998" s="3">
        <v>84421</v>
      </c>
      <c r="H998" s="3">
        <v>43385</v>
      </c>
      <c r="I998" s="3">
        <v>2259</v>
      </c>
      <c r="J998" s="4">
        <v>680.38</v>
      </c>
      <c r="K998" s="3">
        <v>92560</v>
      </c>
      <c r="L998" s="3">
        <v>35246</v>
      </c>
    </row>
    <row r="999" spans="1:12" x14ac:dyDescent="0.25">
      <c r="A999" t="s">
        <v>29</v>
      </c>
      <c r="B999" t="s">
        <v>29</v>
      </c>
      <c r="C999" t="s">
        <v>28</v>
      </c>
      <c r="D999" t="s">
        <v>16</v>
      </c>
      <c r="E999" s="2">
        <v>45689</v>
      </c>
      <c r="F999" s="3">
        <v>125389</v>
      </c>
      <c r="G999" s="3">
        <v>82687</v>
      </c>
      <c r="H999" s="3">
        <v>42702</v>
      </c>
      <c r="I999" s="3">
        <v>2153</v>
      </c>
      <c r="J999" s="4">
        <v>655.27</v>
      </c>
      <c r="K999" s="3">
        <v>88109</v>
      </c>
      <c r="L999" s="3">
        <v>37280</v>
      </c>
    </row>
    <row r="1000" spans="1:12" x14ac:dyDescent="0.25">
      <c r="A1000" t="s">
        <v>29</v>
      </c>
      <c r="B1000" t="s">
        <v>29</v>
      </c>
      <c r="C1000" t="s">
        <v>28</v>
      </c>
      <c r="D1000" t="s">
        <v>16</v>
      </c>
      <c r="E1000" s="2">
        <v>45717</v>
      </c>
      <c r="F1000" s="3">
        <v>114403</v>
      </c>
      <c r="G1000" s="3">
        <v>76068</v>
      </c>
      <c r="H1000" s="3">
        <v>38335</v>
      </c>
      <c r="I1000" s="3">
        <v>2066</v>
      </c>
      <c r="J1000" s="4">
        <v>690.77</v>
      </c>
      <c r="K1000" s="3">
        <v>80670</v>
      </c>
      <c r="L1000" s="3">
        <v>33733</v>
      </c>
    </row>
    <row r="1001" spans="1:12" x14ac:dyDescent="0.25">
      <c r="A1001" t="s">
        <v>29</v>
      </c>
      <c r="B1001" t="s">
        <v>29</v>
      </c>
      <c r="C1001" t="s">
        <v>28</v>
      </c>
      <c r="D1001" t="s">
        <v>16</v>
      </c>
      <c r="E1001" s="2">
        <v>45748</v>
      </c>
      <c r="F1001" s="3">
        <v>119741</v>
      </c>
      <c r="G1001" s="3">
        <v>77913</v>
      </c>
      <c r="H1001" s="3">
        <v>41828</v>
      </c>
      <c r="I1001" s="3">
        <v>2115</v>
      </c>
      <c r="J1001" s="4">
        <v>649.84</v>
      </c>
      <c r="K1001" s="3">
        <v>86255</v>
      </c>
      <c r="L1001" s="3">
        <v>33486</v>
      </c>
    </row>
    <row r="1002" spans="1:12" x14ac:dyDescent="0.25">
      <c r="A1002" t="s">
        <v>29</v>
      </c>
      <c r="B1002" t="s">
        <v>29</v>
      </c>
      <c r="C1002" t="s">
        <v>28</v>
      </c>
      <c r="D1002" t="s">
        <v>16</v>
      </c>
      <c r="E1002" s="2">
        <v>45778</v>
      </c>
      <c r="F1002" s="3">
        <v>118847</v>
      </c>
      <c r="G1002" s="3">
        <v>77884</v>
      </c>
      <c r="H1002" s="3">
        <v>40963</v>
      </c>
      <c r="I1002" s="3">
        <v>2027</v>
      </c>
      <c r="J1002" s="4">
        <v>673.24</v>
      </c>
      <c r="K1002" s="3">
        <v>85398</v>
      </c>
      <c r="L1002" s="3">
        <v>33449</v>
      </c>
    </row>
    <row r="1003" spans="1:12" x14ac:dyDescent="0.25">
      <c r="A1003" t="s">
        <v>29</v>
      </c>
      <c r="B1003" t="s">
        <v>29</v>
      </c>
      <c r="C1003" t="s">
        <v>28</v>
      </c>
      <c r="D1003" t="s">
        <v>16</v>
      </c>
      <c r="E1003" s="2">
        <v>45809</v>
      </c>
      <c r="F1003" s="3">
        <v>128932</v>
      </c>
      <c r="G1003" s="3">
        <v>85570</v>
      </c>
      <c r="H1003" s="3">
        <v>43362</v>
      </c>
      <c r="I1003" s="3">
        <v>2218</v>
      </c>
      <c r="J1003" s="4">
        <v>642.27</v>
      </c>
      <c r="K1003" s="3">
        <v>92034</v>
      </c>
      <c r="L1003" s="3">
        <v>36898</v>
      </c>
    </row>
    <row r="1004" spans="1:12" x14ac:dyDescent="0.25">
      <c r="A1004" t="s">
        <v>29</v>
      </c>
      <c r="B1004" t="s">
        <v>29</v>
      </c>
      <c r="C1004" t="s">
        <v>28</v>
      </c>
      <c r="D1004" t="s">
        <v>16</v>
      </c>
      <c r="E1004" s="2">
        <v>45839</v>
      </c>
      <c r="F1004" s="3">
        <v>127775</v>
      </c>
      <c r="G1004" s="3">
        <v>83078</v>
      </c>
      <c r="H1004" s="3">
        <v>44697</v>
      </c>
      <c r="I1004" s="3">
        <v>2197</v>
      </c>
      <c r="J1004" s="4">
        <v>672.59</v>
      </c>
      <c r="K1004" s="3">
        <v>92717</v>
      </c>
      <c r="L1004" s="3">
        <v>35058</v>
      </c>
    </row>
    <row r="1005" spans="1:12" x14ac:dyDescent="0.25">
      <c r="A1005" t="s">
        <v>29</v>
      </c>
      <c r="B1005" t="s">
        <v>29</v>
      </c>
      <c r="C1005" t="s">
        <v>28</v>
      </c>
      <c r="D1005" t="s">
        <v>16</v>
      </c>
      <c r="E1005" s="2">
        <v>45870</v>
      </c>
      <c r="F1005" s="3">
        <v>146680</v>
      </c>
      <c r="G1005" s="3">
        <v>96410</v>
      </c>
      <c r="H1005" s="3">
        <v>50270</v>
      </c>
      <c r="I1005" s="3">
        <v>2489</v>
      </c>
      <c r="J1005" s="4">
        <v>654.15</v>
      </c>
      <c r="K1005" s="3">
        <v>105977</v>
      </c>
      <c r="L1005" s="3">
        <v>40703</v>
      </c>
    </row>
    <row r="1006" spans="1:12" x14ac:dyDescent="0.25">
      <c r="A1006" t="s">
        <v>29</v>
      </c>
      <c r="B1006" t="s">
        <v>29</v>
      </c>
      <c r="C1006" t="s">
        <v>28</v>
      </c>
      <c r="D1006" t="s">
        <v>16</v>
      </c>
      <c r="E1006" s="2">
        <v>45901</v>
      </c>
      <c r="F1006" s="3">
        <v>154785</v>
      </c>
      <c r="G1006" s="3">
        <v>100682</v>
      </c>
      <c r="H1006" s="3">
        <v>54103</v>
      </c>
      <c r="I1006" s="3">
        <v>2774</v>
      </c>
      <c r="J1006" s="4">
        <v>637.17999999999995</v>
      </c>
      <c r="K1006" s="3">
        <v>111402</v>
      </c>
      <c r="L1006" s="3">
        <v>43383</v>
      </c>
    </row>
    <row r="1007" spans="1:12" x14ac:dyDescent="0.25">
      <c r="A1007" t="s">
        <v>29</v>
      </c>
      <c r="B1007" t="s">
        <v>29</v>
      </c>
      <c r="C1007" t="s">
        <v>28</v>
      </c>
      <c r="D1007" t="s">
        <v>16</v>
      </c>
      <c r="E1007" s="2">
        <v>45931</v>
      </c>
      <c r="F1007" s="3">
        <v>158379</v>
      </c>
      <c r="G1007" s="3">
        <v>101039</v>
      </c>
      <c r="H1007" s="3">
        <v>57340</v>
      </c>
      <c r="I1007" s="3">
        <v>2607</v>
      </c>
      <c r="J1007" s="4">
        <v>650.15</v>
      </c>
      <c r="K1007" s="3">
        <v>115569</v>
      </c>
      <c r="L1007" s="3">
        <v>42810</v>
      </c>
    </row>
    <row r="1008" spans="1:12" x14ac:dyDescent="0.25">
      <c r="A1008" t="s">
        <v>29</v>
      </c>
      <c r="B1008" t="s">
        <v>29</v>
      </c>
      <c r="C1008" t="s">
        <v>28</v>
      </c>
      <c r="D1008" t="s">
        <v>16</v>
      </c>
      <c r="E1008" s="2">
        <v>45962</v>
      </c>
      <c r="F1008" s="3">
        <v>151885</v>
      </c>
      <c r="G1008" s="3">
        <v>100620</v>
      </c>
      <c r="H1008" s="3">
        <v>51265</v>
      </c>
      <c r="I1008" s="3">
        <v>2733</v>
      </c>
      <c r="J1008" s="4">
        <v>700.05</v>
      </c>
      <c r="K1008" s="3">
        <v>109102</v>
      </c>
      <c r="L1008" s="3">
        <v>42783</v>
      </c>
    </row>
    <row r="1009" spans="1:12" x14ac:dyDescent="0.25">
      <c r="A1009" t="s">
        <v>29</v>
      </c>
      <c r="B1009" t="s">
        <v>29</v>
      </c>
      <c r="C1009" t="s">
        <v>28</v>
      </c>
      <c r="D1009" t="s">
        <v>16</v>
      </c>
      <c r="E1009" s="2">
        <v>45992</v>
      </c>
      <c r="F1009" s="3">
        <v>159778</v>
      </c>
      <c r="G1009" s="3">
        <v>104252</v>
      </c>
      <c r="H1009" s="3">
        <v>55526</v>
      </c>
      <c r="I1009" s="3">
        <v>2634</v>
      </c>
      <c r="J1009" s="4">
        <v>688.18</v>
      </c>
      <c r="K1009" s="3">
        <v>113631</v>
      </c>
      <c r="L1009" s="3">
        <v>46147</v>
      </c>
    </row>
    <row r="1010" spans="1:12" x14ac:dyDescent="0.25">
      <c r="A1010" t="s">
        <v>29</v>
      </c>
      <c r="B1010" t="s">
        <v>29</v>
      </c>
      <c r="C1010" t="s">
        <v>28</v>
      </c>
      <c r="D1010" t="s">
        <v>17</v>
      </c>
      <c r="E1010" s="2">
        <v>45292</v>
      </c>
      <c r="F1010" s="3">
        <v>81411</v>
      </c>
      <c r="G1010" s="3">
        <v>50219</v>
      </c>
      <c r="H1010" s="3">
        <v>31192</v>
      </c>
      <c r="I1010" s="3">
        <v>498</v>
      </c>
      <c r="J1010" s="4">
        <v>337.29</v>
      </c>
      <c r="K1010" s="3">
        <v>57730</v>
      </c>
      <c r="L1010" s="3">
        <v>23681</v>
      </c>
    </row>
    <row r="1011" spans="1:12" x14ac:dyDescent="0.25">
      <c r="A1011" t="s">
        <v>29</v>
      </c>
      <c r="B1011" t="s">
        <v>29</v>
      </c>
      <c r="C1011" t="s">
        <v>28</v>
      </c>
      <c r="D1011" t="s">
        <v>17</v>
      </c>
      <c r="E1011" s="2">
        <v>45323</v>
      </c>
      <c r="F1011" s="3">
        <v>71999</v>
      </c>
      <c r="G1011" s="3">
        <v>43845</v>
      </c>
      <c r="H1011" s="3">
        <v>28154</v>
      </c>
      <c r="I1011" s="3">
        <v>429</v>
      </c>
      <c r="J1011" s="4">
        <v>362.41</v>
      </c>
      <c r="K1011" s="3">
        <v>50890</v>
      </c>
      <c r="L1011" s="3">
        <v>21109</v>
      </c>
    </row>
    <row r="1012" spans="1:12" x14ac:dyDescent="0.25">
      <c r="A1012" t="s">
        <v>29</v>
      </c>
      <c r="B1012" t="s">
        <v>29</v>
      </c>
      <c r="C1012" t="s">
        <v>28</v>
      </c>
      <c r="D1012" t="s">
        <v>17</v>
      </c>
      <c r="E1012" s="2">
        <v>45352</v>
      </c>
      <c r="F1012" s="3">
        <v>71116</v>
      </c>
      <c r="G1012" s="3">
        <v>44542</v>
      </c>
      <c r="H1012" s="3">
        <v>26574</v>
      </c>
      <c r="I1012" s="3">
        <v>442</v>
      </c>
      <c r="J1012" s="4">
        <v>353.05</v>
      </c>
      <c r="K1012" s="3">
        <v>51115</v>
      </c>
      <c r="L1012" s="3">
        <v>20001</v>
      </c>
    </row>
    <row r="1013" spans="1:12" x14ac:dyDescent="0.25">
      <c r="A1013" t="s">
        <v>29</v>
      </c>
      <c r="B1013" t="s">
        <v>29</v>
      </c>
      <c r="C1013" t="s">
        <v>28</v>
      </c>
      <c r="D1013" t="s">
        <v>17</v>
      </c>
      <c r="E1013" s="2">
        <v>45383</v>
      </c>
      <c r="F1013" s="3">
        <v>71177</v>
      </c>
      <c r="G1013" s="3">
        <v>43310</v>
      </c>
      <c r="H1013" s="3">
        <v>27867</v>
      </c>
      <c r="I1013" s="3">
        <v>442</v>
      </c>
      <c r="J1013" s="4">
        <v>341.79</v>
      </c>
      <c r="K1013" s="3">
        <v>50945</v>
      </c>
      <c r="L1013" s="3">
        <v>20232</v>
      </c>
    </row>
    <row r="1014" spans="1:12" x14ac:dyDescent="0.25">
      <c r="A1014" t="s">
        <v>29</v>
      </c>
      <c r="B1014" t="s">
        <v>29</v>
      </c>
      <c r="C1014" t="s">
        <v>28</v>
      </c>
      <c r="D1014" t="s">
        <v>17</v>
      </c>
      <c r="E1014" s="2">
        <v>45413</v>
      </c>
      <c r="F1014" s="3">
        <v>77761</v>
      </c>
      <c r="G1014" s="3">
        <v>47752</v>
      </c>
      <c r="H1014" s="3">
        <v>30009</v>
      </c>
      <c r="I1014" s="3">
        <v>457</v>
      </c>
      <c r="J1014" s="4">
        <v>364.1</v>
      </c>
      <c r="K1014" s="3">
        <v>55328</v>
      </c>
      <c r="L1014" s="3">
        <v>22433</v>
      </c>
    </row>
    <row r="1015" spans="1:12" x14ac:dyDescent="0.25">
      <c r="A1015" t="s">
        <v>29</v>
      </c>
      <c r="B1015" t="s">
        <v>29</v>
      </c>
      <c r="C1015" t="s">
        <v>28</v>
      </c>
      <c r="D1015" t="s">
        <v>17</v>
      </c>
      <c r="E1015" s="2">
        <v>45444</v>
      </c>
      <c r="F1015" s="3">
        <v>81592</v>
      </c>
      <c r="G1015" s="3">
        <v>50251</v>
      </c>
      <c r="H1015" s="3">
        <v>31341</v>
      </c>
      <c r="I1015" s="3">
        <v>506</v>
      </c>
      <c r="J1015" s="4">
        <v>343.57</v>
      </c>
      <c r="K1015" s="3">
        <v>58102</v>
      </c>
      <c r="L1015" s="3">
        <v>23490</v>
      </c>
    </row>
    <row r="1016" spans="1:12" x14ac:dyDescent="0.25">
      <c r="A1016" t="s">
        <v>29</v>
      </c>
      <c r="B1016" t="s">
        <v>29</v>
      </c>
      <c r="C1016" t="s">
        <v>28</v>
      </c>
      <c r="D1016" t="s">
        <v>17</v>
      </c>
      <c r="E1016" s="2">
        <v>45474</v>
      </c>
      <c r="F1016" s="3">
        <v>86046</v>
      </c>
      <c r="G1016" s="3">
        <v>52874</v>
      </c>
      <c r="H1016" s="3">
        <v>33172</v>
      </c>
      <c r="I1016" s="3">
        <v>538</v>
      </c>
      <c r="J1016" s="4">
        <v>366.23</v>
      </c>
      <c r="K1016" s="3">
        <v>61894</v>
      </c>
      <c r="L1016" s="3">
        <v>24152</v>
      </c>
    </row>
    <row r="1017" spans="1:12" x14ac:dyDescent="0.25">
      <c r="A1017" t="s">
        <v>29</v>
      </c>
      <c r="B1017" t="s">
        <v>29</v>
      </c>
      <c r="C1017" t="s">
        <v>28</v>
      </c>
      <c r="D1017" t="s">
        <v>17</v>
      </c>
      <c r="E1017" s="2">
        <v>45505</v>
      </c>
      <c r="F1017" s="3">
        <v>87803</v>
      </c>
      <c r="G1017" s="3">
        <v>52987</v>
      </c>
      <c r="H1017" s="3">
        <v>34816</v>
      </c>
      <c r="I1017" s="3">
        <v>556</v>
      </c>
      <c r="J1017" s="4">
        <v>362.14</v>
      </c>
      <c r="K1017" s="3">
        <v>62465</v>
      </c>
      <c r="L1017" s="3">
        <v>25338</v>
      </c>
    </row>
    <row r="1018" spans="1:12" x14ac:dyDescent="0.25">
      <c r="A1018" t="s">
        <v>29</v>
      </c>
      <c r="B1018" t="s">
        <v>29</v>
      </c>
      <c r="C1018" t="s">
        <v>28</v>
      </c>
      <c r="D1018" t="s">
        <v>17</v>
      </c>
      <c r="E1018" s="2">
        <v>45536</v>
      </c>
      <c r="F1018" s="3">
        <v>90179</v>
      </c>
      <c r="G1018" s="3">
        <v>54195</v>
      </c>
      <c r="H1018" s="3">
        <v>35984</v>
      </c>
      <c r="I1018" s="3">
        <v>551</v>
      </c>
      <c r="J1018" s="4">
        <v>336.51</v>
      </c>
      <c r="K1018" s="3">
        <v>65493</v>
      </c>
      <c r="L1018" s="3">
        <v>24686</v>
      </c>
    </row>
    <row r="1019" spans="1:12" x14ac:dyDescent="0.25">
      <c r="A1019" t="s">
        <v>29</v>
      </c>
      <c r="B1019" t="s">
        <v>29</v>
      </c>
      <c r="C1019" t="s">
        <v>28</v>
      </c>
      <c r="D1019" t="s">
        <v>17</v>
      </c>
      <c r="E1019" s="2">
        <v>45566</v>
      </c>
      <c r="F1019" s="3">
        <v>90573</v>
      </c>
      <c r="G1019" s="3">
        <v>56472</v>
      </c>
      <c r="H1019" s="3">
        <v>34101</v>
      </c>
      <c r="I1019" s="3">
        <v>555</v>
      </c>
      <c r="J1019" s="4">
        <v>363.67</v>
      </c>
      <c r="K1019" s="3">
        <v>65601</v>
      </c>
      <c r="L1019" s="3">
        <v>24972</v>
      </c>
    </row>
    <row r="1020" spans="1:12" x14ac:dyDescent="0.25">
      <c r="A1020" t="s">
        <v>29</v>
      </c>
      <c r="B1020" t="s">
        <v>29</v>
      </c>
      <c r="C1020" t="s">
        <v>28</v>
      </c>
      <c r="D1020" t="s">
        <v>17</v>
      </c>
      <c r="E1020" s="2">
        <v>45597</v>
      </c>
      <c r="F1020" s="3">
        <v>93811</v>
      </c>
      <c r="G1020" s="3">
        <v>56153</v>
      </c>
      <c r="H1020" s="3">
        <v>37658</v>
      </c>
      <c r="I1020" s="3">
        <v>570</v>
      </c>
      <c r="J1020" s="4">
        <v>348.89</v>
      </c>
      <c r="K1020" s="3">
        <v>66637</v>
      </c>
      <c r="L1020" s="3">
        <v>27174</v>
      </c>
    </row>
    <row r="1021" spans="1:12" x14ac:dyDescent="0.25">
      <c r="A1021" t="s">
        <v>29</v>
      </c>
      <c r="B1021" t="s">
        <v>29</v>
      </c>
      <c r="C1021" t="s">
        <v>28</v>
      </c>
      <c r="D1021" t="s">
        <v>17</v>
      </c>
      <c r="E1021" s="2">
        <v>45627</v>
      </c>
      <c r="F1021" s="3">
        <v>92707</v>
      </c>
      <c r="G1021" s="3">
        <v>57820</v>
      </c>
      <c r="H1021" s="3">
        <v>34887</v>
      </c>
      <c r="I1021" s="3">
        <v>553</v>
      </c>
      <c r="J1021" s="4">
        <v>339.43</v>
      </c>
      <c r="K1021" s="3">
        <v>67643</v>
      </c>
      <c r="L1021" s="3">
        <v>25064</v>
      </c>
    </row>
    <row r="1022" spans="1:12" x14ac:dyDescent="0.25">
      <c r="A1022" t="s">
        <v>29</v>
      </c>
      <c r="B1022" t="s">
        <v>29</v>
      </c>
      <c r="C1022" t="s">
        <v>28</v>
      </c>
      <c r="D1022" t="s">
        <v>17</v>
      </c>
      <c r="E1022" s="2">
        <v>45658</v>
      </c>
      <c r="F1022" s="3">
        <v>90427</v>
      </c>
      <c r="G1022" s="3">
        <v>56188</v>
      </c>
      <c r="H1022" s="3">
        <v>34239</v>
      </c>
      <c r="I1022" s="3">
        <v>548</v>
      </c>
      <c r="J1022" s="4">
        <v>350.62</v>
      </c>
      <c r="K1022" s="3">
        <v>65842</v>
      </c>
      <c r="L1022" s="3">
        <v>24585</v>
      </c>
    </row>
    <row r="1023" spans="1:12" x14ac:dyDescent="0.25">
      <c r="A1023" t="s">
        <v>29</v>
      </c>
      <c r="B1023" t="s">
        <v>29</v>
      </c>
      <c r="C1023" t="s">
        <v>28</v>
      </c>
      <c r="D1023" t="s">
        <v>17</v>
      </c>
      <c r="E1023" s="2">
        <v>45689</v>
      </c>
      <c r="F1023" s="3">
        <v>78306</v>
      </c>
      <c r="G1023" s="3">
        <v>48045</v>
      </c>
      <c r="H1023" s="3">
        <v>30261</v>
      </c>
      <c r="I1023" s="3">
        <v>481</v>
      </c>
      <c r="J1023" s="4">
        <v>340.87</v>
      </c>
      <c r="K1023" s="3">
        <v>56787</v>
      </c>
      <c r="L1023" s="3">
        <v>21519</v>
      </c>
    </row>
    <row r="1024" spans="1:12" x14ac:dyDescent="0.25">
      <c r="A1024" t="s">
        <v>29</v>
      </c>
      <c r="B1024" t="s">
        <v>29</v>
      </c>
      <c r="C1024" t="s">
        <v>28</v>
      </c>
      <c r="D1024" t="s">
        <v>17</v>
      </c>
      <c r="E1024" s="2">
        <v>45717</v>
      </c>
      <c r="F1024" s="3">
        <v>83726</v>
      </c>
      <c r="G1024" s="3">
        <v>52270</v>
      </c>
      <c r="H1024" s="3">
        <v>31456</v>
      </c>
      <c r="I1024" s="3">
        <v>504</v>
      </c>
      <c r="J1024" s="4">
        <v>354.45</v>
      </c>
      <c r="K1024" s="3">
        <v>59007</v>
      </c>
      <c r="L1024" s="3">
        <v>24719</v>
      </c>
    </row>
    <row r="1025" spans="1:12" x14ac:dyDescent="0.25">
      <c r="A1025" t="s">
        <v>29</v>
      </c>
      <c r="B1025" t="s">
        <v>29</v>
      </c>
      <c r="C1025" t="s">
        <v>28</v>
      </c>
      <c r="D1025" t="s">
        <v>17</v>
      </c>
      <c r="E1025" s="2">
        <v>45748</v>
      </c>
      <c r="F1025" s="3">
        <v>76342</v>
      </c>
      <c r="G1025" s="3">
        <v>46261</v>
      </c>
      <c r="H1025" s="3">
        <v>30081</v>
      </c>
      <c r="I1025" s="3">
        <v>452</v>
      </c>
      <c r="J1025" s="4">
        <v>346.69</v>
      </c>
      <c r="K1025" s="3">
        <v>55292</v>
      </c>
      <c r="L1025" s="3">
        <v>21050</v>
      </c>
    </row>
    <row r="1026" spans="1:12" x14ac:dyDescent="0.25">
      <c r="A1026" t="s">
        <v>29</v>
      </c>
      <c r="B1026" t="s">
        <v>29</v>
      </c>
      <c r="C1026" t="s">
        <v>28</v>
      </c>
      <c r="D1026" t="s">
        <v>17</v>
      </c>
      <c r="E1026" s="2">
        <v>45778</v>
      </c>
      <c r="F1026" s="3">
        <v>81037</v>
      </c>
      <c r="G1026" s="3">
        <v>48409</v>
      </c>
      <c r="H1026" s="3">
        <v>32628</v>
      </c>
      <c r="I1026" s="3">
        <v>495</v>
      </c>
      <c r="J1026" s="4">
        <v>355.24</v>
      </c>
      <c r="K1026" s="3">
        <v>58734</v>
      </c>
      <c r="L1026" s="3">
        <v>22303</v>
      </c>
    </row>
    <row r="1027" spans="1:12" x14ac:dyDescent="0.25">
      <c r="A1027" t="s">
        <v>29</v>
      </c>
      <c r="B1027" t="s">
        <v>29</v>
      </c>
      <c r="C1027" t="s">
        <v>28</v>
      </c>
      <c r="D1027" t="s">
        <v>17</v>
      </c>
      <c r="E1027" s="2">
        <v>45809</v>
      </c>
      <c r="F1027" s="3">
        <v>87762</v>
      </c>
      <c r="G1027" s="3">
        <v>53316</v>
      </c>
      <c r="H1027" s="3">
        <v>34446</v>
      </c>
      <c r="I1027" s="3">
        <v>528</v>
      </c>
      <c r="J1027" s="4">
        <v>356.41</v>
      </c>
      <c r="K1027" s="3">
        <v>63562</v>
      </c>
      <c r="L1027" s="3">
        <v>24200</v>
      </c>
    </row>
    <row r="1028" spans="1:12" x14ac:dyDescent="0.25">
      <c r="A1028" t="s">
        <v>29</v>
      </c>
      <c r="B1028" t="s">
        <v>29</v>
      </c>
      <c r="C1028" t="s">
        <v>28</v>
      </c>
      <c r="D1028" t="s">
        <v>17</v>
      </c>
      <c r="E1028" s="2">
        <v>45839</v>
      </c>
      <c r="F1028" s="3">
        <v>87128</v>
      </c>
      <c r="G1028" s="3">
        <v>54077</v>
      </c>
      <c r="H1028" s="3">
        <v>33051</v>
      </c>
      <c r="I1028" s="3">
        <v>519</v>
      </c>
      <c r="J1028" s="4">
        <v>332.79</v>
      </c>
      <c r="K1028" s="3">
        <v>62012</v>
      </c>
      <c r="L1028" s="3">
        <v>25116</v>
      </c>
    </row>
    <row r="1029" spans="1:12" x14ac:dyDescent="0.25">
      <c r="A1029" t="s">
        <v>29</v>
      </c>
      <c r="B1029" t="s">
        <v>29</v>
      </c>
      <c r="C1029" t="s">
        <v>28</v>
      </c>
      <c r="D1029" t="s">
        <v>17</v>
      </c>
      <c r="E1029" s="2">
        <v>45870</v>
      </c>
      <c r="F1029" s="3">
        <v>94419</v>
      </c>
      <c r="G1029" s="3">
        <v>56813</v>
      </c>
      <c r="H1029" s="3">
        <v>37606</v>
      </c>
      <c r="I1029" s="3">
        <v>575</v>
      </c>
      <c r="J1029" s="4">
        <v>334.15</v>
      </c>
      <c r="K1029" s="3">
        <v>68161</v>
      </c>
      <c r="L1029" s="3">
        <v>26258</v>
      </c>
    </row>
    <row r="1030" spans="1:12" x14ac:dyDescent="0.25">
      <c r="A1030" t="s">
        <v>29</v>
      </c>
      <c r="B1030" t="s">
        <v>29</v>
      </c>
      <c r="C1030" t="s">
        <v>28</v>
      </c>
      <c r="D1030" t="s">
        <v>17</v>
      </c>
      <c r="E1030" s="2">
        <v>45901</v>
      </c>
      <c r="F1030" s="3">
        <v>101105</v>
      </c>
      <c r="G1030" s="3">
        <v>60373</v>
      </c>
      <c r="H1030" s="3">
        <v>40732</v>
      </c>
      <c r="I1030" s="3">
        <v>630</v>
      </c>
      <c r="J1030" s="4">
        <v>355.69</v>
      </c>
      <c r="K1030" s="3">
        <v>73793</v>
      </c>
      <c r="L1030" s="3">
        <v>27312</v>
      </c>
    </row>
    <row r="1031" spans="1:12" x14ac:dyDescent="0.25">
      <c r="A1031" t="s">
        <v>29</v>
      </c>
      <c r="B1031" t="s">
        <v>29</v>
      </c>
      <c r="C1031" t="s">
        <v>28</v>
      </c>
      <c r="D1031" t="s">
        <v>17</v>
      </c>
      <c r="E1031" s="2">
        <v>45931</v>
      </c>
      <c r="F1031" s="3">
        <v>97195</v>
      </c>
      <c r="G1031" s="3">
        <v>58250</v>
      </c>
      <c r="H1031" s="3">
        <v>38945</v>
      </c>
      <c r="I1031" s="3">
        <v>572</v>
      </c>
      <c r="J1031" s="4">
        <v>365.91</v>
      </c>
      <c r="K1031" s="3">
        <v>69359</v>
      </c>
      <c r="L1031" s="3">
        <v>27836</v>
      </c>
    </row>
    <row r="1032" spans="1:12" x14ac:dyDescent="0.25">
      <c r="A1032" t="s">
        <v>29</v>
      </c>
      <c r="B1032" t="s">
        <v>29</v>
      </c>
      <c r="C1032" t="s">
        <v>28</v>
      </c>
      <c r="D1032" t="s">
        <v>17</v>
      </c>
      <c r="E1032" s="2">
        <v>45962</v>
      </c>
      <c r="F1032" s="3">
        <v>95370</v>
      </c>
      <c r="G1032" s="3">
        <v>57046</v>
      </c>
      <c r="H1032" s="3">
        <v>38324</v>
      </c>
      <c r="I1032" s="3">
        <v>557</v>
      </c>
      <c r="J1032" s="4">
        <v>359.69</v>
      </c>
      <c r="K1032" s="3">
        <v>69014</v>
      </c>
      <c r="L1032" s="3">
        <v>26356</v>
      </c>
    </row>
    <row r="1033" spans="1:12" x14ac:dyDescent="0.25">
      <c r="A1033" t="s">
        <v>29</v>
      </c>
      <c r="B1033" t="s">
        <v>29</v>
      </c>
      <c r="C1033" t="s">
        <v>28</v>
      </c>
      <c r="D1033" t="s">
        <v>17</v>
      </c>
      <c r="E1033" s="2">
        <v>45992</v>
      </c>
      <c r="F1033" s="3">
        <v>99865</v>
      </c>
      <c r="G1033" s="3">
        <v>59731</v>
      </c>
      <c r="H1033" s="3">
        <v>40134</v>
      </c>
      <c r="I1033" s="3">
        <v>600</v>
      </c>
      <c r="J1033" s="4">
        <v>355.28</v>
      </c>
      <c r="K1033" s="3">
        <v>72175</v>
      </c>
      <c r="L1033" s="3">
        <v>27690</v>
      </c>
    </row>
    <row r="1034" spans="1:12" x14ac:dyDescent="0.25">
      <c r="A1034" t="s">
        <v>29</v>
      </c>
      <c r="B1034" t="s">
        <v>29</v>
      </c>
      <c r="C1034" t="s">
        <v>28</v>
      </c>
      <c r="D1034" t="s">
        <v>18</v>
      </c>
      <c r="E1034" s="2">
        <v>45292</v>
      </c>
      <c r="F1034" s="3">
        <v>73365</v>
      </c>
      <c r="G1034" s="3">
        <v>46910</v>
      </c>
      <c r="H1034" s="3">
        <v>26455</v>
      </c>
      <c r="I1034" s="3">
        <v>2598</v>
      </c>
      <c r="J1034" s="4">
        <v>211.75</v>
      </c>
      <c r="K1034" s="3">
        <v>53090</v>
      </c>
      <c r="L1034" s="3">
        <v>20275</v>
      </c>
    </row>
    <row r="1035" spans="1:12" x14ac:dyDescent="0.25">
      <c r="A1035" t="s">
        <v>29</v>
      </c>
      <c r="B1035" t="s">
        <v>29</v>
      </c>
      <c r="C1035" t="s">
        <v>28</v>
      </c>
      <c r="D1035" t="s">
        <v>18</v>
      </c>
      <c r="E1035" s="2">
        <v>45323</v>
      </c>
      <c r="F1035" s="3">
        <v>75622</v>
      </c>
      <c r="G1035" s="3">
        <v>48526</v>
      </c>
      <c r="H1035" s="3">
        <v>27096</v>
      </c>
      <c r="I1035" s="3">
        <v>2639</v>
      </c>
      <c r="J1035" s="4">
        <v>197.45</v>
      </c>
      <c r="K1035" s="3">
        <v>53458</v>
      </c>
      <c r="L1035" s="3">
        <v>22164</v>
      </c>
    </row>
    <row r="1036" spans="1:12" x14ac:dyDescent="0.25">
      <c r="A1036" t="s">
        <v>29</v>
      </c>
      <c r="B1036" t="s">
        <v>29</v>
      </c>
      <c r="C1036" t="s">
        <v>28</v>
      </c>
      <c r="D1036" t="s">
        <v>18</v>
      </c>
      <c r="E1036" s="2">
        <v>45352</v>
      </c>
      <c r="F1036" s="3">
        <v>67500</v>
      </c>
      <c r="G1036" s="3">
        <v>42881</v>
      </c>
      <c r="H1036" s="3">
        <v>24619</v>
      </c>
      <c r="I1036" s="3">
        <v>2404</v>
      </c>
      <c r="J1036" s="4">
        <v>202.4</v>
      </c>
      <c r="K1036" s="3">
        <v>47969</v>
      </c>
      <c r="L1036" s="3">
        <v>19531</v>
      </c>
    </row>
    <row r="1037" spans="1:12" x14ac:dyDescent="0.25">
      <c r="A1037" t="s">
        <v>29</v>
      </c>
      <c r="B1037" t="s">
        <v>29</v>
      </c>
      <c r="C1037" t="s">
        <v>28</v>
      </c>
      <c r="D1037" t="s">
        <v>18</v>
      </c>
      <c r="E1037" s="2">
        <v>45383</v>
      </c>
      <c r="F1037" s="3">
        <v>68817</v>
      </c>
      <c r="G1037" s="3">
        <v>43886</v>
      </c>
      <c r="H1037" s="3">
        <v>24931</v>
      </c>
      <c r="I1037" s="3">
        <v>2355</v>
      </c>
      <c r="J1037" s="4">
        <v>197.25</v>
      </c>
      <c r="K1037" s="3">
        <v>48872</v>
      </c>
      <c r="L1037" s="3">
        <v>19945</v>
      </c>
    </row>
    <row r="1038" spans="1:12" x14ac:dyDescent="0.25">
      <c r="A1038" t="s">
        <v>29</v>
      </c>
      <c r="B1038" t="s">
        <v>29</v>
      </c>
      <c r="C1038" t="s">
        <v>28</v>
      </c>
      <c r="D1038" t="s">
        <v>18</v>
      </c>
      <c r="E1038" s="2">
        <v>45413</v>
      </c>
      <c r="F1038" s="3">
        <v>69615</v>
      </c>
      <c r="G1038" s="3">
        <v>44003</v>
      </c>
      <c r="H1038" s="3">
        <v>25612</v>
      </c>
      <c r="I1038" s="3">
        <v>2395</v>
      </c>
      <c r="J1038" s="4">
        <v>198.67</v>
      </c>
      <c r="K1038" s="3">
        <v>49787</v>
      </c>
      <c r="L1038" s="3">
        <v>19828</v>
      </c>
    </row>
    <row r="1039" spans="1:12" x14ac:dyDescent="0.25">
      <c r="A1039" t="s">
        <v>29</v>
      </c>
      <c r="B1039" t="s">
        <v>29</v>
      </c>
      <c r="C1039" t="s">
        <v>28</v>
      </c>
      <c r="D1039" t="s">
        <v>18</v>
      </c>
      <c r="E1039" s="2">
        <v>45444</v>
      </c>
      <c r="F1039" s="3">
        <v>71132</v>
      </c>
      <c r="G1039" s="3">
        <v>45822</v>
      </c>
      <c r="H1039" s="3">
        <v>25310</v>
      </c>
      <c r="I1039" s="3">
        <v>2452</v>
      </c>
      <c r="J1039" s="4">
        <v>202.23</v>
      </c>
      <c r="K1039" s="3">
        <v>51041</v>
      </c>
      <c r="L1039" s="3">
        <v>20091</v>
      </c>
    </row>
    <row r="1040" spans="1:12" x14ac:dyDescent="0.25">
      <c r="A1040" t="s">
        <v>29</v>
      </c>
      <c r="B1040" t="s">
        <v>29</v>
      </c>
      <c r="C1040" t="s">
        <v>28</v>
      </c>
      <c r="D1040" t="s">
        <v>18</v>
      </c>
      <c r="E1040" s="2">
        <v>45474</v>
      </c>
      <c r="F1040" s="3">
        <v>78543</v>
      </c>
      <c r="G1040" s="3">
        <v>49352</v>
      </c>
      <c r="H1040" s="3">
        <v>29191</v>
      </c>
      <c r="I1040" s="3">
        <v>2824</v>
      </c>
      <c r="J1040" s="4">
        <v>204.05</v>
      </c>
      <c r="K1040" s="3">
        <v>56190</v>
      </c>
      <c r="L1040" s="3">
        <v>22353</v>
      </c>
    </row>
    <row r="1041" spans="1:12" x14ac:dyDescent="0.25">
      <c r="A1041" t="s">
        <v>29</v>
      </c>
      <c r="B1041" t="s">
        <v>29</v>
      </c>
      <c r="C1041" t="s">
        <v>28</v>
      </c>
      <c r="D1041" t="s">
        <v>18</v>
      </c>
      <c r="E1041" s="2">
        <v>45505</v>
      </c>
      <c r="F1041" s="3">
        <v>83683</v>
      </c>
      <c r="G1041" s="3">
        <v>52062</v>
      </c>
      <c r="H1041" s="3">
        <v>31621</v>
      </c>
      <c r="I1041" s="3">
        <v>2866</v>
      </c>
      <c r="J1041" s="4">
        <v>203.27</v>
      </c>
      <c r="K1041" s="3">
        <v>60038</v>
      </c>
      <c r="L1041" s="3">
        <v>23645</v>
      </c>
    </row>
    <row r="1042" spans="1:12" x14ac:dyDescent="0.25">
      <c r="A1042" t="s">
        <v>29</v>
      </c>
      <c r="B1042" t="s">
        <v>29</v>
      </c>
      <c r="C1042" t="s">
        <v>28</v>
      </c>
      <c r="D1042" t="s">
        <v>18</v>
      </c>
      <c r="E1042" s="2">
        <v>45536</v>
      </c>
      <c r="F1042" s="3">
        <v>81959</v>
      </c>
      <c r="G1042" s="3">
        <v>52199</v>
      </c>
      <c r="H1042" s="3">
        <v>29760</v>
      </c>
      <c r="I1042" s="3">
        <v>2856</v>
      </c>
      <c r="J1042" s="4">
        <v>203.01</v>
      </c>
      <c r="K1042" s="3">
        <v>59251</v>
      </c>
      <c r="L1042" s="3">
        <v>22708</v>
      </c>
    </row>
    <row r="1043" spans="1:12" x14ac:dyDescent="0.25">
      <c r="A1043" t="s">
        <v>29</v>
      </c>
      <c r="B1043" t="s">
        <v>29</v>
      </c>
      <c r="C1043" t="s">
        <v>28</v>
      </c>
      <c r="D1043" t="s">
        <v>18</v>
      </c>
      <c r="E1043" s="2">
        <v>45566</v>
      </c>
      <c r="F1043" s="3">
        <v>87660</v>
      </c>
      <c r="G1043" s="3">
        <v>54918</v>
      </c>
      <c r="H1043" s="3">
        <v>32742</v>
      </c>
      <c r="I1043" s="3">
        <v>3008</v>
      </c>
      <c r="J1043" s="4">
        <v>208.39</v>
      </c>
      <c r="K1043" s="3">
        <v>62776</v>
      </c>
      <c r="L1043" s="3">
        <v>24884</v>
      </c>
    </row>
    <row r="1044" spans="1:12" x14ac:dyDescent="0.25">
      <c r="A1044" t="s">
        <v>29</v>
      </c>
      <c r="B1044" t="s">
        <v>29</v>
      </c>
      <c r="C1044" t="s">
        <v>28</v>
      </c>
      <c r="D1044" t="s">
        <v>18</v>
      </c>
      <c r="E1044" s="2">
        <v>45597</v>
      </c>
      <c r="F1044" s="3">
        <v>85142</v>
      </c>
      <c r="G1044" s="3">
        <v>53989</v>
      </c>
      <c r="H1044" s="3">
        <v>31153</v>
      </c>
      <c r="I1044" s="3">
        <v>3177</v>
      </c>
      <c r="J1044" s="4">
        <v>195.48</v>
      </c>
      <c r="K1044" s="3">
        <v>62187</v>
      </c>
      <c r="L1044" s="3">
        <v>22955</v>
      </c>
    </row>
    <row r="1045" spans="1:12" x14ac:dyDescent="0.25">
      <c r="A1045" t="s">
        <v>29</v>
      </c>
      <c r="B1045" t="s">
        <v>29</v>
      </c>
      <c r="C1045" t="s">
        <v>28</v>
      </c>
      <c r="D1045" t="s">
        <v>18</v>
      </c>
      <c r="E1045" s="2">
        <v>45627</v>
      </c>
      <c r="F1045" s="3">
        <v>79253</v>
      </c>
      <c r="G1045" s="3">
        <v>50791</v>
      </c>
      <c r="H1045" s="3">
        <v>28462</v>
      </c>
      <c r="I1045" s="3">
        <v>2873</v>
      </c>
      <c r="J1045" s="4">
        <v>205.42</v>
      </c>
      <c r="K1045" s="3">
        <v>56604</v>
      </c>
      <c r="L1045" s="3">
        <v>22649</v>
      </c>
    </row>
    <row r="1046" spans="1:12" x14ac:dyDescent="0.25">
      <c r="A1046" t="s">
        <v>29</v>
      </c>
      <c r="B1046" t="s">
        <v>29</v>
      </c>
      <c r="C1046" t="s">
        <v>28</v>
      </c>
      <c r="D1046" t="s">
        <v>18</v>
      </c>
      <c r="E1046" s="2">
        <v>45658</v>
      </c>
      <c r="F1046" s="3">
        <v>79557</v>
      </c>
      <c r="G1046" s="3">
        <v>50709</v>
      </c>
      <c r="H1046" s="3">
        <v>28848</v>
      </c>
      <c r="I1046" s="3">
        <v>2734</v>
      </c>
      <c r="J1046" s="4">
        <v>213.48</v>
      </c>
      <c r="K1046" s="3">
        <v>55933</v>
      </c>
      <c r="L1046" s="3">
        <v>23624</v>
      </c>
    </row>
    <row r="1047" spans="1:12" x14ac:dyDescent="0.25">
      <c r="A1047" t="s">
        <v>29</v>
      </c>
      <c r="B1047" t="s">
        <v>29</v>
      </c>
      <c r="C1047" t="s">
        <v>28</v>
      </c>
      <c r="D1047" t="s">
        <v>18</v>
      </c>
      <c r="E1047" s="2">
        <v>45689</v>
      </c>
      <c r="F1047" s="3">
        <v>71577</v>
      </c>
      <c r="G1047" s="3">
        <v>46209</v>
      </c>
      <c r="H1047" s="3">
        <v>25368</v>
      </c>
      <c r="I1047" s="3">
        <v>2640</v>
      </c>
      <c r="J1047" s="4">
        <v>212.03</v>
      </c>
      <c r="K1047" s="3">
        <v>50543</v>
      </c>
      <c r="L1047" s="3">
        <v>21034</v>
      </c>
    </row>
    <row r="1048" spans="1:12" x14ac:dyDescent="0.25">
      <c r="A1048" t="s">
        <v>29</v>
      </c>
      <c r="B1048" t="s">
        <v>29</v>
      </c>
      <c r="C1048" t="s">
        <v>28</v>
      </c>
      <c r="D1048" t="s">
        <v>18</v>
      </c>
      <c r="E1048" s="2">
        <v>45717</v>
      </c>
      <c r="F1048" s="3">
        <v>69227</v>
      </c>
      <c r="G1048" s="3">
        <v>43611</v>
      </c>
      <c r="H1048" s="3">
        <v>25616</v>
      </c>
      <c r="I1048" s="3">
        <v>2527</v>
      </c>
      <c r="J1048" s="4">
        <v>205.83</v>
      </c>
      <c r="K1048" s="3">
        <v>48849</v>
      </c>
      <c r="L1048" s="3">
        <v>20378</v>
      </c>
    </row>
    <row r="1049" spans="1:12" x14ac:dyDescent="0.25">
      <c r="A1049" t="s">
        <v>29</v>
      </c>
      <c r="B1049" t="s">
        <v>29</v>
      </c>
      <c r="C1049" t="s">
        <v>28</v>
      </c>
      <c r="D1049" t="s">
        <v>18</v>
      </c>
      <c r="E1049" s="2">
        <v>45748</v>
      </c>
      <c r="F1049" s="3">
        <v>72580</v>
      </c>
      <c r="G1049" s="3">
        <v>45821</v>
      </c>
      <c r="H1049" s="3">
        <v>26759</v>
      </c>
      <c r="I1049" s="3">
        <v>2667</v>
      </c>
      <c r="J1049" s="4">
        <v>206.32</v>
      </c>
      <c r="K1049" s="3">
        <v>51882</v>
      </c>
      <c r="L1049" s="3">
        <v>20698</v>
      </c>
    </row>
    <row r="1050" spans="1:12" x14ac:dyDescent="0.25">
      <c r="A1050" t="s">
        <v>29</v>
      </c>
      <c r="B1050" t="s">
        <v>29</v>
      </c>
      <c r="C1050" t="s">
        <v>28</v>
      </c>
      <c r="D1050" t="s">
        <v>18</v>
      </c>
      <c r="E1050" s="2">
        <v>45778</v>
      </c>
      <c r="F1050" s="3">
        <v>71761</v>
      </c>
      <c r="G1050" s="3">
        <v>45393</v>
      </c>
      <c r="H1050" s="3">
        <v>26368</v>
      </c>
      <c r="I1050" s="3">
        <v>2534</v>
      </c>
      <c r="J1050" s="4">
        <v>204.69</v>
      </c>
      <c r="K1050" s="3">
        <v>51913</v>
      </c>
      <c r="L1050" s="3">
        <v>19848</v>
      </c>
    </row>
    <row r="1051" spans="1:12" x14ac:dyDescent="0.25">
      <c r="A1051" t="s">
        <v>29</v>
      </c>
      <c r="B1051" t="s">
        <v>29</v>
      </c>
      <c r="C1051" t="s">
        <v>28</v>
      </c>
      <c r="D1051" t="s">
        <v>18</v>
      </c>
      <c r="E1051" s="2">
        <v>45809</v>
      </c>
      <c r="F1051" s="3">
        <v>81223</v>
      </c>
      <c r="G1051" s="3">
        <v>51167</v>
      </c>
      <c r="H1051" s="3">
        <v>30056</v>
      </c>
      <c r="I1051" s="3">
        <v>2798</v>
      </c>
      <c r="J1051" s="4">
        <v>212.77</v>
      </c>
      <c r="K1051" s="3">
        <v>57082</v>
      </c>
      <c r="L1051" s="3">
        <v>24141</v>
      </c>
    </row>
    <row r="1052" spans="1:12" x14ac:dyDescent="0.25">
      <c r="A1052" t="s">
        <v>29</v>
      </c>
      <c r="B1052" t="s">
        <v>29</v>
      </c>
      <c r="C1052" t="s">
        <v>28</v>
      </c>
      <c r="D1052" t="s">
        <v>18</v>
      </c>
      <c r="E1052" s="2">
        <v>45839</v>
      </c>
      <c r="F1052" s="3">
        <v>85942</v>
      </c>
      <c r="G1052" s="3">
        <v>55129</v>
      </c>
      <c r="H1052" s="3">
        <v>30813</v>
      </c>
      <c r="I1052" s="3">
        <v>3019</v>
      </c>
      <c r="J1052" s="4">
        <v>209.04</v>
      </c>
      <c r="K1052" s="3">
        <v>60918</v>
      </c>
      <c r="L1052" s="3">
        <v>25024</v>
      </c>
    </row>
    <row r="1053" spans="1:12" x14ac:dyDescent="0.25">
      <c r="A1053" t="s">
        <v>29</v>
      </c>
      <c r="B1053" t="s">
        <v>29</v>
      </c>
      <c r="C1053" t="s">
        <v>28</v>
      </c>
      <c r="D1053" t="s">
        <v>18</v>
      </c>
      <c r="E1053" s="2">
        <v>45870</v>
      </c>
      <c r="F1053" s="3">
        <v>87743</v>
      </c>
      <c r="G1053" s="3">
        <v>55336</v>
      </c>
      <c r="H1053" s="3">
        <v>32407</v>
      </c>
      <c r="I1053" s="3">
        <v>3079</v>
      </c>
      <c r="J1053" s="4">
        <v>196.92</v>
      </c>
      <c r="K1053" s="3">
        <v>64037</v>
      </c>
      <c r="L1053" s="3">
        <v>23706</v>
      </c>
    </row>
    <row r="1054" spans="1:12" x14ac:dyDescent="0.25">
      <c r="A1054" t="s">
        <v>29</v>
      </c>
      <c r="B1054" t="s">
        <v>29</v>
      </c>
      <c r="C1054" t="s">
        <v>28</v>
      </c>
      <c r="D1054" t="s">
        <v>18</v>
      </c>
      <c r="E1054" s="2">
        <v>45901</v>
      </c>
      <c r="F1054" s="3">
        <v>86982</v>
      </c>
      <c r="G1054" s="3">
        <v>55065</v>
      </c>
      <c r="H1054" s="3">
        <v>31917</v>
      </c>
      <c r="I1054" s="3">
        <v>3015</v>
      </c>
      <c r="J1054" s="4">
        <v>205.8</v>
      </c>
      <c r="K1054" s="3">
        <v>61307</v>
      </c>
      <c r="L1054" s="3">
        <v>25675</v>
      </c>
    </row>
    <row r="1055" spans="1:12" x14ac:dyDescent="0.25">
      <c r="A1055" t="s">
        <v>29</v>
      </c>
      <c r="B1055" t="s">
        <v>29</v>
      </c>
      <c r="C1055" t="s">
        <v>28</v>
      </c>
      <c r="D1055" t="s">
        <v>18</v>
      </c>
      <c r="E1055" s="2">
        <v>45931</v>
      </c>
      <c r="F1055" s="3">
        <v>91812</v>
      </c>
      <c r="G1055" s="3">
        <v>58715</v>
      </c>
      <c r="H1055" s="3">
        <v>33097</v>
      </c>
      <c r="I1055" s="3">
        <v>3230</v>
      </c>
      <c r="J1055" s="4">
        <v>201.11</v>
      </c>
      <c r="K1055" s="3">
        <v>66624</v>
      </c>
      <c r="L1055" s="3">
        <v>25188</v>
      </c>
    </row>
    <row r="1056" spans="1:12" x14ac:dyDescent="0.25">
      <c r="A1056" t="s">
        <v>29</v>
      </c>
      <c r="B1056" t="s">
        <v>29</v>
      </c>
      <c r="C1056" t="s">
        <v>28</v>
      </c>
      <c r="D1056" t="s">
        <v>18</v>
      </c>
      <c r="E1056" s="2">
        <v>45962</v>
      </c>
      <c r="F1056" s="3">
        <v>87301</v>
      </c>
      <c r="G1056" s="3">
        <v>56012</v>
      </c>
      <c r="H1056" s="3">
        <v>31289</v>
      </c>
      <c r="I1056" s="3">
        <v>3233</v>
      </c>
      <c r="J1056" s="4">
        <v>202.93</v>
      </c>
      <c r="K1056" s="3">
        <v>61808</v>
      </c>
      <c r="L1056" s="3">
        <v>25493</v>
      </c>
    </row>
    <row r="1057" spans="1:12" x14ac:dyDescent="0.25">
      <c r="A1057" t="s">
        <v>29</v>
      </c>
      <c r="B1057" t="s">
        <v>29</v>
      </c>
      <c r="C1057" t="s">
        <v>28</v>
      </c>
      <c r="D1057" t="s">
        <v>18</v>
      </c>
      <c r="E1057" s="2">
        <v>45992</v>
      </c>
      <c r="F1057" s="3">
        <v>90033</v>
      </c>
      <c r="G1057" s="3">
        <v>58142</v>
      </c>
      <c r="H1057" s="3">
        <v>31891</v>
      </c>
      <c r="I1057" s="3">
        <v>3376</v>
      </c>
      <c r="J1057" s="4">
        <v>213.03</v>
      </c>
      <c r="K1057" s="3">
        <v>63643</v>
      </c>
      <c r="L1057" s="3">
        <v>26390</v>
      </c>
    </row>
    <row r="1058" spans="1:12" x14ac:dyDescent="0.25">
      <c r="A1058" t="s">
        <v>29</v>
      </c>
      <c r="B1058" t="s">
        <v>29</v>
      </c>
      <c r="C1058" t="s">
        <v>28</v>
      </c>
      <c r="D1058" t="s">
        <v>19</v>
      </c>
      <c r="E1058" s="2">
        <v>45292</v>
      </c>
      <c r="F1058" s="3">
        <v>68946</v>
      </c>
      <c r="G1058" s="3">
        <v>40154</v>
      </c>
      <c r="H1058" s="3">
        <v>28792</v>
      </c>
      <c r="I1058" s="3">
        <v>2795</v>
      </c>
      <c r="J1058" s="4">
        <v>112.28</v>
      </c>
      <c r="K1058" s="3">
        <v>48756</v>
      </c>
      <c r="L1058" s="3">
        <v>20190</v>
      </c>
    </row>
    <row r="1059" spans="1:12" x14ac:dyDescent="0.25">
      <c r="A1059" t="s">
        <v>29</v>
      </c>
      <c r="B1059" t="s">
        <v>29</v>
      </c>
      <c r="C1059" t="s">
        <v>28</v>
      </c>
      <c r="D1059" t="s">
        <v>19</v>
      </c>
      <c r="E1059" s="2">
        <v>45323</v>
      </c>
      <c r="F1059" s="3">
        <v>65309</v>
      </c>
      <c r="G1059" s="3">
        <v>38822</v>
      </c>
      <c r="H1059" s="3">
        <v>26487</v>
      </c>
      <c r="I1059" s="3">
        <v>2655</v>
      </c>
      <c r="J1059" s="4">
        <v>116.03</v>
      </c>
      <c r="K1059" s="3">
        <v>45927</v>
      </c>
      <c r="L1059" s="3">
        <v>19382</v>
      </c>
    </row>
    <row r="1060" spans="1:12" x14ac:dyDescent="0.25">
      <c r="A1060" t="s">
        <v>29</v>
      </c>
      <c r="B1060" t="s">
        <v>29</v>
      </c>
      <c r="C1060" t="s">
        <v>28</v>
      </c>
      <c r="D1060" t="s">
        <v>19</v>
      </c>
      <c r="E1060" s="2">
        <v>45352</v>
      </c>
      <c r="F1060" s="3">
        <v>62436</v>
      </c>
      <c r="G1060" s="3">
        <v>36328</v>
      </c>
      <c r="H1060" s="3">
        <v>26108</v>
      </c>
      <c r="I1060" s="3">
        <v>2500</v>
      </c>
      <c r="J1060" s="4">
        <v>111.79</v>
      </c>
      <c r="K1060" s="3">
        <v>44107</v>
      </c>
      <c r="L1060" s="3">
        <v>18329</v>
      </c>
    </row>
    <row r="1061" spans="1:12" x14ac:dyDescent="0.25">
      <c r="A1061" t="s">
        <v>29</v>
      </c>
      <c r="B1061" t="s">
        <v>29</v>
      </c>
      <c r="C1061" t="s">
        <v>28</v>
      </c>
      <c r="D1061" t="s">
        <v>19</v>
      </c>
      <c r="E1061" s="2">
        <v>45383</v>
      </c>
      <c r="F1061" s="3">
        <v>65191</v>
      </c>
      <c r="G1061" s="3">
        <v>39250</v>
      </c>
      <c r="H1061" s="3">
        <v>25941</v>
      </c>
      <c r="I1061" s="3">
        <v>2666</v>
      </c>
      <c r="J1061" s="4">
        <v>119.59</v>
      </c>
      <c r="K1061" s="3">
        <v>46053</v>
      </c>
      <c r="L1061" s="3">
        <v>19138</v>
      </c>
    </row>
    <row r="1062" spans="1:12" x14ac:dyDescent="0.25">
      <c r="A1062" t="s">
        <v>29</v>
      </c>
      <c r="B1062" t="s">
        <v>29</v>
      </c>
      <c r="C1062" t="s">
        <v>28</v>
      </c>
      <c r="D1062" t="s">
        <v>19</v>
      </c>
      <c r="E1062" s="2">
        <v>45413</v>
      </c>
      <c r="F1062" s="3">
        <v>64841</v>
      </c>
      <c r="G1062" s="3">
        <v>38266</v>
      </c>
      <c r="H1062" s="3">
        <v>26575</v>
      </c>
      <c r="I1062" s="3">
        <v>2623</v>
      </c>
      <c r="J1062" s="4">
        <v>115.05</v>
      </c>
      <c r="K1062" s="3">
        <v>46271</v>
      </c>
      <c r="L1062" s="3">
        <v>18570</v>
      </c>
    </row>
    <row r="1063" spans="1:12" x14ac:dyDescent="0.25">
      <c r="A1063" t="s">
        <v>29</v>
      </c>
      <c r="B1063" t="s">
        <v>29</v>
      </c>
      <c r="C1063" t="s">
        <v>28</v>
      </c>
      <c r="D1063" t="s">
        <v>19</v>
      </c>
      <c r="E1063" s="2">
        <v>45444</v>
      </c>
      <c r="F1063" s="3">
        <v>68401</v>
      </c>
      <c r="G1063" s="3">
        <v>40469</v>
      </c>
      <c r="H1063" s="3">
        <v>27932</v>
      </c>
      <c r="I1063" s="3">
        <v>2789</v>
      </c>
      <c r="J1063" s="4">
        <v>117.48</v>
      </c>
      <c r="K1063" s="3">
        <v>48681</v>
      </c>
      <c r="L1063" s="3">
        <v>19720</v>
      </c>
    </row>
    <row r="1064" spans="1:12" x14ac:dyDescent="0.25">
      <c r="A1064" t="s">
        <v>29</v>
      </c>
      <c r="B1064" t="s">
        <v>29</v>
      </c>
      <c r="C1064" t="s">
        <v>28</v>
      </c>
      <c r="D1064" t="s">
        <v>19</v>
      </c>
      <c r="E1064" s="2">
        <v>45474</v>
      </c>
      <c r="F1064" s="3">
        <v>72929</v>
      </c>
      <c r="G1064" s="3">
        <v>42993</v>
      </c>
      <c r="H1064" s="3">
        <v>29936</v>
      </c>
      <c r="I1064" s="3">
        <v>3122</v>
      </c>
      <c r="J1064" s="4">
        <v>114.42</v>
      </c>
      <c r="K1064" s="3">
        <v>53143</v>
      </c>
      <c r="L1064" s="3">
        <v>19786</v>
      </c>
    </row>
    <row r="1065" spans="1:12" x14ac:dyDescent="0.25">
      <c r="A1065" t="s">
        <v>29</v>
      </c>
      <c r="B1065" t="s">
        <v>29</v>
      </c>
      <c r="C1065" t="s">
        <v>28</v>
      </c>
      <c r="D1065" t="s">
        <v>19</v>
      </c>
      <c r="E1065" s="2">
        <v>45505</v>
      </c>
      <c r="F1065" s="3">
        <v>77583</v>
      </c>
      <c r="G1065" s="3">
        <v>46315</v>
      </c>
      <c r="H1065" s="3">
        <v>31268</v>
      </c>
      <c r="I1065" s="3">
        <v>3311</v>
      </c>
      <c r="J1065" s="4">
        <v>114.83</v>
      </c>
      <c r="K1065" s="3">
        <v>55970</v>
      </c>
      <c r="L1065" s="3">
        <v>21613</v>
      </c>
    </row>
    <row r="1066" spans="1:12" x14ac:dyDescent="0.25">
      <c r="A1066" t="s">
        <v>29</v>
      </c>
      <c r="B1066" t="s">
        <v>29</v>
      </c>
      <c r="C1066" t="s">
        <v>28</v>
      </c>
      <c r="D1066" t="s">
        <v>19</v>
      </c>
      <c r="E1066" s="2">
        <v>45536</v>
      </c>
      <c r="F1066" s="3">
        <v>74707</v>
      </c>
      <c r="G1066" s="3">
        <v>44048</v>
      </c>
      <c r="H1066" s="3">
        <v>30659</v>
      </c>
      <c r="I1066" s="3">
        <v>3067</v>
      </c>
      <c r="J1066" s="4">
        <v>120.09</v>
      </c>
      <c r="K1066" s="3">
        <v>53854</v>
      </c>
      <c r="L1066" s="3">
        <v>20853</v>
      </c>
    </row>
    <row r="1067" spans="1:12" x14ac:dyDescent="0.25">
      <c r="A1067" t="s">
        <v>29</v>
      </c>
      <c r="B1067" t="s">
        <v>29</v>
      </c>
      <c r="C1067" t="s">
        <v>28</v>
      </c>
      <c r="D1067" t="s">
        <v>19</v>
      </c>
      <c r="E1067" s="2">
        <v>45566</v>
      </c>
      <c r="F1067" s="3">
        <v>79304</v>
      </c>
      <c r="G1067" s="3">
        <v>47743</v>
      </c>
      <c r="H1067" s="3">
        <v>31561</v>
      </c>
      <c r="I1067" s="3">
        <v>3455</v>
      </c>
      <c r="J1067" s="4">
        <v>116.84</v>
      </c>
      <c r="K1067" s="3">
        <v>56284</v>
      </c>
      <c r="L1067" s="3">
        <v>23020</v>
      </c>
    </row>
    <row r="1068" spans="1:12" x14ac:dyDescent="0.25">
      <c r="A1068" t="s">
        <v>29</v>
      </c>
      <c r="B1068" t="s">
        <v>29</v>
      </c>
      <c r="C1068" t="s">
        <v>28</v>
      </c>
      <c r="D1068" t="s">
        <v>19</v>
      </c>
      <c r="E1068" s="2">
        <v>45597</v>
      </c>
      <c r="F1068" s="3">
        <v>75384</v>
      </c>
      <c r="G1068" s="3">
        <v>45308</v>
      </c>
      <c r="H1068" s="3">
        <v>30076</v>
      </c>
      <c r="I1068" s="3">
        <v>3181</v>
      </c>
      <c r="J1068" s="4">
        <v>118.14</v>
      </c>
      <c r="K1068" s="3">
        <v>53320</v>
      </c>
      <c r="L1068" s="3">
        <v>22064</v>
      </c>
    </row>
    <row r="1069" spans="1:12" x14ac:dyDescent="0.25">
      <c r="A1069" t="s">
        <v>29</v>
      </c>
      <c r="B1069" t="s">
        <v>29</v>
      </c>
      <c r="C1069" t="s">
        <v>28</v>
      </c>
      <c r="D1069" t="s">
        <v>19</v>
      </c>
      <c r="E1069" s="2">
        <v>45627</v>
      </c>
      <c r="F1069" s="3">
        <v>82045</v>
      </c>
      <c r="G1069" s="3">
        <v>48358</v>
      </c>
      <c r="H1069" s="3">
        <v>33687</v>
      </c>
      <c r="I1069" s="3">
        <v>3445</v>
      </c>
      <c r="J1069" s="4">
        <v>112.25</v>
      </c>
      <c r="K1069" s="3">
        <v>59601</v>
      </c>
      <c r="L1069" s="3">
        <v>22444</v>
      </c>
    </row>
    <row r="1070" spans="1:12" x14ac:dyDescent="0.25">
      <c r="A1070" t="s">
        <v>29</v>
      </c>
      <c r="B1070" t="s">
        <v>29</v>
      </c>
      <c r="C1070" t="s">
        <v>28</v>
      </c>
      <c r="D1070" t="s">
        <v>19</v>
      </c>
      <c r="E1070" s="2">
        <v>45658</v>
      </c>
      <c r="F1070" s="3">
        <v>70376</v>
      </c>
      <c r="G1070" s="3">
        <v>40581</v>
      </c>
      <c r="H1070" s="3">
        <v>29795</v>
      </c>
      <c r="I1070" s="3">
        <v>3077</v>
      </c>
      <c r="J1070" s="4">
        <v>110.72</v>
      </c>
      <c r="K1070" s="3">
        <v>50077</v>
      </c>
      <c r="L1070" s="3">
        <v>20299</v>
      </c>
    </row>
    <row r="1071" spans="1:12" x14ac:dyDescent="0.25">
      <c r="A1071" t="s">
        <v>29</v>
      </c>
      <c r="B1071" t="s">
        <v>29</v>
      </c>
      <c r="C1071" t="s">
        <v>28</v>
      </c>
      <c r="D1071" t="s">
        <v>19</v>
      </c>
      <c r="E1071" s="2">
        <v>45689</v>
      </c>
      <c r="F1071" s="3">
        <v>71017</v>
      </c>
      <c r="G1071" s="3">
        <v>42408</v>
      </c>
      <c r="H1071" s="3">
        <v>28609</v>
      </c>
      <c r="I1071" s="3">
        <v>3082</v>
      </c>
      <c r="J1071" s="4">
        <v>112.98</v>
      </c>
      <c r="K1071" s="3">
        <v>51808</v>
      </c>
      <c r="L1071" s="3">
        <v>19209</v>
      </c>
    </row>
    <row r="1072" spans="1:12" x14ac:dyDescent="0.25">
      <c r="A1072" t="s">
        <v>29</v>
      </c>
      <c r="B1072" t="s">
        <v>29</v>
      </c>
      <c r="C1072" t="s">
        <v>28</v>
      </c>
      <c r="D1072" t="s">
        <v>19</v>
      </c>
      <c r="E1072" s="2">
        <v>45717</v>
      </c>
      <c r="F1072" s="3">
        <v>72068</v>
      </c>
      <c r="G1072" s="3">
        <v>42947</v>
      </c>
      <c r="H1072" s="3">
        <v>29121</v>
      </c>
      <c r="I1072" s="3">
        <v>2865</v>
      </c>
      <c r="J1072" s="4">
        <v>121.18</v>
      </c>
      <c r="K1072" s="3">
        <v>50724</v>
      </c>
      <c r="L1072" s="3">
        <v>21344</v>
      </c>
    </row>
    <row r="1073" spans="1:12" x14ac:dyDescent="0.25">
      <c r="A1073" t="s">
        <v>29</v>
      </c>
      <c r="B1073" t="s">
        <v>29</v>
      </c>
      <c r="C1073" t="s">
        <v>28</v>
      </c>
      <c r="D1073" t="s">
        <v>19</v>
      </c>
      <c r="E1073" s="2">
        <v>45748</v>
      </c>
      <c r="F1073" s="3">
        <v>69524</v>
      </c>
      <c r="G1073" s="3">
        <v>40382</v>
      </c>
      <c r="H1073" s="3">
        <v>29142</v>
      </c>
      <c r="I1073" s="3">
        <v>2794</v>
      </c>
      <c r="J1073" s="4">
        <v>118.71</v>
      </c>
      <c r="K1073" s="3">
        <v>49063</v>
      </c>
      <c r="L1073" s="3">
        <v>20461</v>
      </c>
    </row>
    <row r="1074" spans="1:12" x14ac:dyDescent="0.25">
      <c r="A1074" t="s">
        <v>29</v>
      </c>
      <c r="B1074" t="s">
        <v>29</v>
      </c>
      <c r="C1074" t="s">
        <v>28</v>
      </c>
      <c r="D1074" t="s">
        <v>19</v>
      </c>
      <c r="E1074" s="2">
        <v>45778</v>
      </c>
      <c r="F1074" s="3">
        <v>68331</v>
      </c>
      <c r="G1074" s="3">
        <v>41166</v>
      </c>
      <c r="H1074" s="3">
        <v>27165</v>
      </c>
      <c r="I1074" s="3">
        <v>2924</v>
      </c>
      <c r="J1074" s="4">
        <v>119.48</v>
      </c>
      <c r="K1074" s="3">
        <v>49335</v>
      </c>
      <c r="L1074" s="3">
        <v>18996</v>
      </c>
    </row>
    <row r="1075" spans="1:12" x14ac:dyDescent="0.25">
      <c r="A1075" t="s">
        <v>29</v>
      </c>
      <c r="B1075" t="s">
        <v>29</v>
      </c>
      <c r="C1075" t="s">
        <v>28</v>
      </c>
      <c r="D1075" t="s">
        <v>19</v>
      </c>
      <c r="E1075" s="2">
        <v>45809</v>
      </c>
      <c r="F1075" s="3">
        <v>76129</v>
      </c>
      <c r="G1075" s="3">
        <v>44819</v>
      </c>
      <c r="H1075" s="3">
        <v>31310</v>
      </c>
      <c r="I1075" s="3">
        <v>3322</v>
      </c>
      <c r="J1075" s="4">
        <v>116.2</v>
      </c>
      <c r="K1075" s="3">
        <v>54385</v>
      </c>
      <c r="L1075" s="3">
        <v>21744</v>
      </c>
    </row>
    <row r="1076" spans="1:12" x14ac:dyDescent="0.25">
      <c r="A1076" t="s">
        <v>29</v>
      </c>
      <c r="B1076" t="s">
        <v>29</v>
      </c>
      <c r="C1076" t="s">
        <v>28</v>
      </c>
      <c r="D1076" t="s">
        <v>19</v>
      </c>
      <c r="E1076" s="2">
        <v>45839</v>
      </c>
      <c r="F1076" s="3">
        <v>73233</v>
      </c>
      <c r="G1076" s="3">
        <v>42560</v>
      </c>
      <c r="H1076" s="3">
        <v>30673</v>
      </c>
      <c r="I1076" s="3">
        <v>3117</v>
      </c>
      <c r="J1076" s="4">
        <v>111.61</v>
      </c>
      <c r="K1076" s="3">
        <v>52802</v>
      </c>
      <c r="L1076" s="3">
        <v>20431</v>
      </c>
    </row>
    <row r="1077" spans="1:12" x14ac:dyDescent="0.25">
      <c r="A1077" t="s">
        <v>29</v>
      </c>
      <c r="B1077" t="s">
        <v>29</v>
      </c>
      <c r="C1077" t="s">
        <v>28</v>
      </c>
      <c r="D1077" t="s">
        <v>19</v>
      </c>
      <c r="E1077" s="2">
        <v>45870</v>
      </c>
      <c r="F1077" s="3">
        <v>81272</v>
      </c>
      <c r="G1077" s="3">
        <v>48676</v>
      </c>
      <c r="H1077" s="3">
        <v>32596</v>
      </c>
      <c r="I1077" s="3">
        <v>3553</v>
      </c>
      <c r="J1077" s="4">
        <v>119.13</v>
      </c>
      <c r="K1077" s="3">
        <v>57427</v>
      </c>
      <c r="L1077" s="3">
        <v>23845</v>
      </c>
    </row>
    <row r="1078" spans="1:12" x14ac:dyDescent="0.25">
      <c r="A1078" t="s">
        <v>29</v>
      </c>
      <c r="B1078" t="s">
        <v>29</v>
      </c>
      <c r="C1078" t="s">
        <v>28</v>
      </c>
      <c r="D1078" t="s">
        <v>19</v>
      </c>
      <c r="E1078" s="2">
        <v>45901</v>
      </c>
      <c r="F1078" s="3">
        <v>85162</v>
      </c>
      <c r="G1078" s="3">
        <v>49141</v>
      </c>
      <c r="H1078" s="3">
        <v>36021</v>
      </c>
      <c r="I1078" s="3">
        <v>3428</v>
      </c>
      <c r="J1078" s="4">
        <v>120.86</v>
      </c>
      <c r="K1078" s="3">
        <v>61577</v>
      </c>
      <c r="L1078" s="3">
        <v>23585</v>
      </c>
    </row>
    <row r="1079" spans="1:12" x14ac:dyDescent="0.25">
      <c r="A1079" t="s">
        <v>29</v>
      </c>
      <c r="B1079" t="s">
        <v>29</v>
      </c>
      <c r="C1079" t="s">
        <v>28</v>
      </c>
      <c r="D1079" t="s">
        <v>19</v>
      </c>
      <c r="E1079" s="2">
        <v>45931</v>
      </c>
      <c r="F1079" s="3">
        <v>84956</v>
      </c>
      <c r="G1079" s="3">
        <v>50059</v>
      </c>
      <c r="H1079" s="3">
        <v>34897</v>
      </c>
      <c r="I1079" s="3">
        <v>3432</v>
      </c>
      <c r="J1079" s="4">
        <v>117.94</v>
      </c>
      <c r="K1079" s="3">
        <v>60162</v>
      </c>
      <c r="L1079" s="3">
        <v>24794</v>
      </c>
    </row>
    <row r="1080" spans="1:12" x14ac:dyDescent="0.25">
      <c r="A1080" t="s">
        <v>29</v>
      </c>
      <c r="B1080" t="s">
        <v>29</v>
      </c>
      <c r="C1080" t="s">
        <v>28</v>
      </c>
      <c r="D1080" t="s">
        <v>19</v>
      </c>
      <c r="E1080" s="2">
        <v>45962</v>
      </c>
      <c r="F1080" s="3">
        <v>87325</v>
      </c>
      <c r="G1080" s="3">
        <v>52452</v>
      </c>
      <c r="H1080" s="3">
        <v>34873</v>
      </c>
      <c r="I1080" s="3">
        <v>3611</v>
      </c>
      <c r="J1080" s="4">
        <v>114.83</v>
      </c>
      <c r="K1080" s="3">
        <v>61930</v>
      </c>
      <c r="L1080" s="3">
        <v>25395</v>
      </c>
    </row>
    <row r="1081" spans="1:12" x14ac:dyDescent="0.25">
      <c r="A1081" t="s">
        <v>29</v>
      </c>
      <c r="B1081" t="s">
        <v>29</v>
      </c>
      <c r="C1081" t="s">
        <v>28</v>
      </c>
      <c r="D1081" t="s">
        <v>19</v>
      </c>
      <c r="E1081" s="2">
        <v>45992</v>
      </c>
      <c r="F1081" s="3">
        <v>86518</v>
      </c>
      <c r="G1081" s="3">
        <v>51036</v>
      </c>
      <c r="H1081" s="3">
        <v>35482</v>
      </c>
      <c r="I1081" s="3">
        <v>3496</v>
      </c>
      <c r="J1081" s="4">
        <v>116.57</v>
      </c>
      <c r="K1081" s="3">
        <v>62753</v>
      </c>
      <c r="L1081" s="3">
        <v>23765</v>
      </c>
    </row>
    <row r="1082" spans="1:12" x14ac:dyDescent="0.25">
      <c r="A1082" t="s">
        <v>29</v>
      </c>
      <c r="B1082" t="s">
        <v>29</v>
      </c>
      <c r="C1082" t="s">
        <v>28</v>
      </c>
      <c r="D1082" t="s">
        <v>20</v>
      </c>
      <c r="E1082" s="2">
        <v>45292</v>
      </c>
      <c r="F1082" s="3">
        <v>75041</v>
      </c>
      <c r="G1082" s="3">
        <v>53707</v>
      </c>
      <c r="H1082" s="3">
        <v>21334</v>
      </c>
      <c r="I1082" s="3">
        <v>1728</v>
      </c>
      <c r="J1082" s="4">
        <v>361.31</v>
      </c>
      <c r="K1082" s="3">
        <v>54461</v>
      </c>
      <c r="L1082" s="3">
        <v>20580</v>
      </c>
    </row>
    <row r="1083" spans="1:12" x14ac:dyDescent="0.25">
      <c r="A1083" t="s">
        <v>29</v>
      </c>
      <c r="B1083" t="s">
        <v>29</v>
      </c>
      <c r="C1083" t="s">
        <v>28</v>
      </c>
      <c r="D1083" t="s">
        <v>20</v>
      </c>
      <c r="E1083" s="2">
        <v>45323</v>
      </c>
      <c r="F1083" s="3">
        <v>69661</v>
      </c>
      <c r="G1083" s="3">
        <v>49276</v>
      </c>
      <c r="H1083" s="3">
        <v>20385</v>
      </c>
      <c r="I1083" s="3">
        <v>1671</v>
      </c>
      <c r="J1083" s="4">
        <v>352.88</v>
      </c>
      <c r="K1083" s="3">
        <v>50731</v>
      </c>
      <c r="L1083" s="3">
        <v>18930</v>
      </c>
    </row>
    <row r="1084" spans="1:12" x14ac:dyDescent="0.25">
      <c r="A1084" t="s">
        <v>29</v>
      </c>
      <c r="B1084" t="s">
        <v>29</v>
      </c>
      <c r="C1084" t="s">
        <v>28</v>
      </c>
      <c r="D1084" t="s">
        <v>20</v>
      </c>
      <c r="E1084" s="2">
        <v>45352</v>
      </c>
      <c r="F1084" s="3">
        <v>63821</v>
      </c>
      <c r="G1084" s="3">
        <v>45271</v>
      </c>
      <c r="H1084" s="3">
        <v>18550</v>
      </c>
      <c r="I1084" s="3">
        <v>1599</v>
      </c>
      <c r="J1084" s="4">
        <v>385.49</v>
      </c>
      <c r="K1084" s="3">
        <v>44926</v>
      </c>
      <c r="L1084" s="3">
        <v>18895</v>
      </c>
    </row>
    <row r="1085" spans="1:12" x14ac:dyDescent="0.25">
      <c r="A1085" t="s">
        <v>29</v>
      </c>
      <c r="B1085" t="s">
        <v>29</v>
      </c>
      <c r="C1085" t="s">
        <v>28</v>
      </c>
      <c r="D1085" t="s">
        <v>20</v>
      </c>
      <c r="E1085" s="2">
        <v>45383</v>
      </c>
      <c r="F1085" s="3">
        <v>65803</v>
      </c>
      <c r="G1085" s="3">
        <v>46734</v>
      </c>
      <c r="H1085" s="3">
        <v>19069</v>
      </c>
      <c r="I1085" s="3">
        <v>1495</v>
      </c>
      <c r="J1085" s="4">
        <v>365.82</v>
      </c>
      <c r="K1085" s="3">
        <v>47776</v>
      </c>
      <c r="L1085" s="3">
        <v>18027</v>
      </c>
    </row>
    <row r="1086" spans="1:12" x14ac:dyDescent="0.25">
      <c r="A1086" t="s">
        <v>29</v>
      </c>
      <c r="B1086" t="s">
        <v>29</v>
      </c>
      <c r="C1086" t="s">
        <v>28</v>
      </c>
      <c r="D1086" t="s">
        <v>20</v>
      </c>
      <c r="E1086" s="2">
        <v>45413</v>
      </c>
      <c r="F1086" s="3">
        <v>70065</v>
      </c>
      <c r="G1086" s="3">
        <v>49454</v>
      </c>
      <c r="H1086" s="3">
        <v>20611</v>
      </c>
      <c r="I1086" s="3">
        <v>1599</v>
      </c>
      <c r="J1086" s="4">
        <v>377.84</v>
      </c>
      <c r="K1086" s="3">
        <v>50144</v>
      </c>
      <c r="L1086" s="3">
        <v>19921</v>
      </c>
    </row>
    <row r="1087" spans="1:12" x14ac:dyDescent="0.25">
      <c r="A1087" t="s">
        <v>29</v>
      </c>
      <c r="B1087" t="s">
        <v>29</v>
      </c>
      <c r="C1087" t="s">
        <v>28</v>
      </c>
      <c r="D1087" t="s">
        <v>20</v>
      </c>
      <c r="E1087" s="2">
        <v>45444</v>
      </c>
      <c r="F1087" s="3">
        <v>72089</v>
      </c>
      <c r="G1087" s="3">
        <v>50205</v>
      </c>
      <c r="H1087" s="3">
        <v>21884</v>
      </c>
      <c r="I1087" s="3">
        <v>1695</v>
      </c>
      <c r="J1087" s="4">
        <v>382.07</v>
      </c>
      <c r="K1087" s="3">
        <v>51636</v>
      </c>
      <c r="L1087" s="3">
        <v>20453</v>
      </c>
    </row>
    <row r="1088" spans="1:12" x14ac:dyDescent="0.25">
      <c r="A1088" t="s">
        <v>29</v>
      </c>
      <c r="B1088" t="s">
        <v>29</v>
      </c>
      <c r="C1088" t="s">
        <v>28</v>
      </c>
      <c r="D1088" t="s">
        <v>20</v>
      </c>
      <c r="E1088" s="2">
        <v>45474</v>
      </c>
      <c r="F1088" s="3">
        <v>76357</v>
      </c>
      <c r="G1088" s="3">
        <v>53973</v>
      </c>
      <c r="H1088" s="3">
        <v>22384</v>
      </c>
      <c r="I1088" s="3">
        <v>1827</v>
      </c>
      <c r="J1088" s="4">
        <v>375.35</v>
      </c>
      <c r="K1088" s="3">
        <v>53937</v>
      </c>
      <c r="L1088" s="3">
        <v>22420</v>
      </c>
    </row>
    <row r="1089" spans="1:12" x14ac:dyDescent="0.25">
      <c r="A1089" t="s">
        <v>29</v>
      </c>
      <c r="B1089" t="s">
        <v>29</v>
      </c>
      <c r="C1089" t="s">
        <v>28</v>
      </c>
      <c r="D1089" t="s">
        <v>20</v>
      </c>
      <c r="E1089" s="2">
        <v>45505</v>
      </c>
      <c r="F1089" s="3">
        <v>73764</v>
      </c>
      <c r="G1089" s="3">
        <v>52663</v>
      </c>
      <c r="H1089" s="3">
        <v>21101</v>
      </c>
      <c r="I1089" s="3">
        <v>1753</v>
      </c>
      <c r="J1089" s="4">
        <v>376.73</v>
      </c>
      <c r="K1089" s="3">
        <v>52619</v>
      </c>
      <c r="L1089" s="3">
        <v>21145</v>
      </c>
    </row>
    <row r="1090" spans="1:12" x14ac:dyDescent="0.25">
      <c r="A1090" t="s">
        <v>29</v>
      </c>
      <c r="B1090" t="s">
        <v>29</v>
      </c>
      <c r="C1090" t="s">
        <v>28</v>
      </c>
      <c r="D1090" t="s">
        <v>20</v>
      </c>
      <c r="E1090" s="2">
        <v>45536</v>
      </c>
      <c r="F1090" s="3">
        <v>80209</v>
      </c>
      <c r="G1090" s="3">
        <v>55824</v>
      </c>
      <c r="H1090" s="3">
        <v>24385</v>
      </c>
      <c r="I1090" s="3">
        <v>1899</v>
      </c>
      <c r="J1090" s="4">
        <v>375.66</v>
      </c>
      <c r="K1090" s="3">
        <v>57343</v>
      </c>
      <c r="L1090" s="3">
        <v>22866</v>
      </c>
    </row>
    <row r="1091" spans="1:12" x14ac:dyDescent="0.25">
      <c r="A1091" t="s">
        <v>29</v>
      </c>
      <c r="B1091" t="s">
        <v>29</v>
      </c>
      <c r="C1091" t="s">
        <v>28</v>
      </c>
      <c r="D1091" t="s">
        <v>20</v>
      </c>
      <c r="E1091" s="2">
        <v>45566</v>
      </c>
      <c r="F1091" s="3">
        <v>81063</v>
      </c>
      <c r="G1091" s="3">
        <v>55881</v>
      </c>
      <c r="H1091" s="3">
        <v>25182</v>
      </c>
      <c r="I1091" s="3">
        <v>1925</v>
      </c>
      <c r="J1091" s="4">
        <v>378.08</v>
      </c>
      <c r="K1091" s="3">
        <v>58295</v>
      </c>
      <c r="L1091" s="3">
        <v>22768</v>
      </c>
    </row>
    <row r="1092" spans="1:12" x14ac:dyDescent="0.25">
      <c r="A1092" t="s">
        <v>29</v>
      </c>
      <c r="B1092" t="s">
        <v>29</v>
      </c>
      <c r="C1092" t="s">
        <v>28</v>
      </c>
      <c r="D1092" t="s">
        <v>20</v>
      </c>
      <c r="E1092" s="2">
        <v>45597</v>
      </c>
      <c r="F1092" s="3">
        <v>76523</v>
      </c>
      <c r="G1092" s="3">
        <v>53580</v>
      </c>
      <c r="H1092" s="3">
        <v>22943</v>
      </c>
      <c r="I1092" s="3">
        <v>1839</v>
      </c>
      <c r="J1092" s="4">
        <v>376</v>
      </c>
      <c r="K1092" s="3">
        <v>55475</v>
      </c>
      <c r="L1092" s="3">
        <v>21048</v>
      </c>
    </row>
    <row r="1093" spans="1:12" x14ac:dyDescent="0.25">
      <c r="A1093" t="s">
        <v>29</v>
      </c>
      <c r="B1093" t="s">
        <v>29</v>
      </c>
      <c r="C1093" t="s">
        <v>28</v>
      </c>
      <c r="D1093" t="s">
        <v>20</v>
      </c>
      <c r="E1093" s="2">
        <v>45627</v>
      </c>
      <c r="F1093" s="3">
        <v>80875</v>
      </c>
      <c r="G1093" s="3">
        <v>57928</v>
      </c>
      <c r="H1093" s="3">
        <v>22947</v>
      </c>
      <c r="I1093" s="3">
        <v>1899</v>
      </c>
      <c r="J1093" s="4">
        <v>353.4</v>
      </c>
      <c r="K1093" s="3">
        <v>57134</v>
      </c>
      <c r="L1093" s="3">
        <v>23741</v>
      </c>
    </row>
    <row r="1094" spans="1:12" x14ac:dyDescent="0.25">
      <c r="A1094" t="s">
        <v>29</v>
      </c>
      <c r="B1094" t="s">
        <v>29</v>
      </c>
      <c r="C1094" t="s">
        <v>28</v>
      </c>
      <c r="D1094" t="s">
        <v>20</v>
      </c>
      <c r="E1094" s="2">
        <v>45658</v>
      </c>
      <c r="F1094" s="3">
        <v>71218</v>
      </c>
      <c r="G1094" s="3">
        <v>50184</v>
      </c>
      <c r="H1094" s="3">
        <v>21034</v>
      </c>
      <c r="I1094" s="3">
        <v>1742</v>
      </c>
      <c r="J1094" s="4">
        <v>377.89</v>
      </c>
      <c r="K1094" s="3">
        <v>51072</v>
      </c>
      <c r="L1094" s="3">
        <v>20146</v>
      </c>
    </row>
    <row r="1095" spans="1:12" x14ac:dyDescent="0.25">
      <c r="A1095" t="s">
        <v>29</v>
      </c>
      <c r="B1095" t="s">
        <v>29</v>
      </c>
      <c r="C1095" t="s">
        <v>28</v>
      </c>
      <c r="D1095" t="s">
        <v>20</v>
      </c>
      <c r="E1095" s="2">
        <v>45689</v>
      </c>
      <c r="F1095" s="3">
        <v>73236</v>
      </c>
      <c r="G1095" s="3">
        <v>50437</v>
      </c>
      <c r="H1095" s="3">
        <v>22799</v>
      </c>
      <c r="I1095" s="3">
        <v>1683</v>
      </c>
      <c r="J1095" s="4">
        <v>355.42</v>
      </c>
      <c r="K1095" s="3">
        <v>51517</v>
      </c>
      <c r="L1095" s="3">
        <v>21719</v>
      </c>
    </row>
    <row r="1096" spans="1:12" x14ac:dyDescent="0.25">
      <c r="A1096" t="s">
        <v>29</v>
      </c>
      <c r="B1096" t="s">
        <v>29</v>
      </c>
      <c r="C1096" t="s">
        <v>28</v>
      </c>
      <c r="D1096" t="s">
        <v>20</v>
      </c>
      <c r="E1096" s="2">
        <v>45717</v>
      </c>
      <c r="F1096" s="3">
        <v>69856</v>
      </c>
      <c r="G1096" s="3">
        <v>48219</v>
      </c>
      <c r="H1096" s="3">
        <v>21637</v>
      </c>
      <c r="I1096" s="3">
        <v>1652</v>
      </c>
      <c r="J1096" s="4">
        <v>366.07</v>
      </c>
      <c r="K1096" s="3">
        <v>49118</v>
      </c>
      <c r="L1096" s="3">
        <v>20738</v>
      </c>
    </row>
    <row r="1097" spans="1:12" x14ac:dyDescent="0.25">
      <c r="A1097" t="s">
        <v>29</v>
      </c>
      <c r="B1097" t="s">
        <v>29</v>
      </c>
      <c r="C1097" t="s">
        <v>28</v>
      </c>
      <c r="D1097" t="s">
        <v>20</v>
      </c>
      <c r="E1097" s="2">
        <v>45748</v>
      </c>
      <c r="F1097" s="3">
        <v>68950</v>
      </c>
      <c r="G1097" s="3">
        <v>48234</v>
      </c>
      <c r="H1097" s="3">
        <v>20716</v>
      </c>
      <c r="I1097" s="3">
        <v>1622</v>
      </c>
      <c r="J1097" s="4">
        <v>353.1</v>
      </c>
      <c r="K1097" s="3">
        <v>48580</v>
      </c>
      <c r="L1097" s="3">
        <v>20370</v>
      </c>
    </row>
    <row r="1098" spans="1:12" x14ac:dyDescent="0.25">
      <c r="A1098" t="s">
        <v>29</v>
      </c>
      <c r="B1098" t="s">
        <v>29</v>
      </c>
      <c r="C1098" t="s">
        <v>28</v>
      </c>
      <c r="D1098" t="s">
        <v>20</v>
      </c>
      <c r="E1098" s="2">
        <v>45778</v>
      </c>
      <c r="F1098" s="3">
        <v>71272</v>
      </c>
      <c r="G1098" s="3">
        <v>50657</v>
      </c>
      <c r="H1098" s="3">
        <v>20615</v>
      </c>
      <c r="I1098" s="3">
        <v>1659</v>
      </c>
      <c r="J1098" s="4">
        <v>363.44</v>
      </c>
      <c r="K1098" s="3">
        <v>50538</v>
      </c>
      <c r="L1098" s="3">
        <v>20734</v>
      </c>
    </row>
    <row r="1099" spans="1:12" x14ac:dyDescent="0.25">
      <c r="A1099" t="s">
        <v>29</v>
      </c>
      <c r="B1099" t="s">
        <v>29</v>
      </c>
      <c r="C1099" t="s">
        <v>28</v>
      </c>
      <c r="D1099" t="s">
        <v>20</v>
      </c>
      <c r="E1099" s="2">
        <v>45809</v>
      </c>
      <c r="F1099" s="3">
        <v>70586</v>
      </c>
      <c r="G1099" s="3">
        <v>49057</v>
      </c>
      <c r="H1099" s="3">
        <v>21529</v>
      </c>
      <c r="I1099" s="3">
        <v>1636</v>
      </c>
      <c r="J1099" s="4">
        <v>378.19</v>
      </c>
      <c r="K1099" s="3">
        <v>51009</v>
      </c>
      <c r="L1099" s="3">
        <v>19577</v>
      </c>
    </row>
    <row r="1100" spans="1:12" x14ac:dyDescent="0.25">
      <c r="A1100" t="s">
        <v>29</v>
      </c>
      <c r="B1100" t="s">
        <v>29</v>
      </c>
      <c r="C1100" t="s">
        <v>28</v>
      </c>
      <c r="D1100" t="s">
        <v>20</v>
      </c>
      <c r="E1100" s="2">
        <v>45839</v>
      </c>
      <c r="F1100" s="3">
        <v>74045</v>
      </c>
      <c r="G1100" s="3">
        <v>51977</v>
      </c>
      <c r="H1100" s="3">
        <v>22068</v>
      </c>
      <c r="I1100" s="3">
        <v>1825</v>
      </c>
      <c r="J1100" s="4">
        <v>353.79</v>
      </c>
      <c r="K1100" s="3">
        <v>53595</v>
      </c>
      <c r="L1100" s="3">
        <v>20450</v>
      </c>
    </row>
    <row r="1101" spans="1:12" x14ac:dyDescent="0.25">
      <c r="A1101" t="s">
        <v>29</v>
      </c>
      <c r="B1101" t="s">
        <v>29</v>
      </c>
      <c r="C1101" t="s">
        <v>28</v>
      </c>
      <c r="D1101" t="s">
        <v>20</v>
      </c>
      <c r="E1101" s="2">
        <v>45870</v>
      </c>
      <c r="F1101" s="3">
        <v>78542</v>
      </c>
      <c r="G1101" s="3">
        <v>55955</v>
      </c>
      <c r="H1101" s="3">
        <v>22587</v>
      </c>
      <c r="I1101" s="3">
        <v>1914</v>
      </c>
      <c r="J1101" s="4">
        <v>351.64</v>
      </c>
      <c r="K1101" s="3">
        <v>56458</v>
      </c>
      <c r="L1101" s="3">
        <v>22084</v>
      </c>
    </row>
    <row r="1102" spans="1:12" x14ac:dyDescent="0.25">
      <c r="A1102" t="s">
        <v>29</v>
      </c>
      <c r="B1102" t="s">
        <v>29</v>
      </c>
      <c r="C1102" t="s">
        <v>28</v>
      </c>
      <c r="D1102" t="s">
        <v>20</v>
      </c>
      <c r="E1102" s="2">
        <v>45901</v>
      </c>
      <c r="F1102" s="3">
        <v>85202</v>
      </c>
      <c r="G1102" s="3">
        <v>59907</v>
      </c>
      <c r="H1102" s="3">
        <v>25295</v>
      </c>
      <c r="I1102" s="3">
        <v>1958</v>
      </c>
      <c r="J1102" s="4">
        <v>380.15</v>
      </c>
      <c r="K1102" s="3">
        <v>61630</v>
      </c>
      <c r="L1102" s="3">
        <v>23572</v>
      </c>
    </row>
    <row r="1103" spans="1:12" x14ac:dyDescent="0.25">
      <c r="A1103" t="s">
        <v>29</v>
      </c>
      <c r="B1103" t="s">
        <v>29</v>
      </c>
      <c r="C1103" t="s">
        <v>28</v>
      </c>
      <c r="D1103" t="s">
        <v>20</v>
      </c>
      <c r="E1103" s="2">
        <v>45931</v>
      </c>
      <c r="F1103" s="3">
        <v>84804</v>
      </c>
      <c r="G1103" s="3">
        <v>59544</v>
      </c>
      <c r="H1103" s="3">
        <v>25260</v>
      </c>
      <c r="I1103" s="3">
        <v>2003</v>
      </c>
      <c r="J1103" s="4">
        <v>368.14</v>
      </c>
      <c r="K1103" s="3">
        <v>61589</v>
      </c>
      <c r="L1103" s="3">
        <v>23215</v>
      </c>
    </row>
    <row r="1104" spans="1:12" x14ac:dyDescent="0.25">
      <c r="A1104" t="s">
        <v>29</v>
      </c>
      <c r="B1104" t="s">
        <v>29</v>
      </c>
      <c r="C1104" t="s">
        <v>28</v>
      </c>
      <c r="D1104" t="s">
        <v>20</v>
      </c>
      <c r="E1104" s="2">
        <v>45962</v>
      </c>
      <c r="F1104" s="3">
        <v>77123</v>
      </c>
      <c r="G1104" s="3">
        <v>54937</v>
      </c>
      <c r="H1104" s="3">
        <v>22186</v>
      </c>
      <c r="I1104" s="3">
        <v>1809</v>
      </c>
      <c r="J1104" s="4">
        <v>382.32</v>
      </c>
      <c r="K1104" s="3">
        <v>54353</v>
      </c>
      <c r="L1104" s="3">
        <v>22770</v>
      </c>
    </row>
    <row r="1105" spans="1:12" x14ac:dyDescent="0.25">
      <c r="A1105" t="s">
        <v>29</v>
      </c>
      <c r="B1105" t="s">
        <v>29</v>
      </c>
      <c r="C1105" t="s">
        <v>28</v>
      </c>
      <c r="D1105" t="s">
        <v>20</v>
      </c>
      <c r="E1105" s="2">
        <v>45992</v>
      </c>
      <c r="F1105" s="3">
        <v>77782</v>
      </c>
      <c r="G1105" s="3">
        <v>54316</v>
      </c>
      <c r="H1105" s="3">
        <v>23466</v>
      </c>
      <c r="I1105" s="3">
        <v>1920</v>
      </c>
      <c r="J1105" s="4">
        <v>372.41</v>
      </c>
      <c r="K1105" s="3">
        <v>54837</v>
      </c>
      <c r="L1105" s="3">
        <v>22945</v>
      </c>
    </row>
    <row r="1106" spans="1:12" x14ac:dyDescent="0.25">
      <c r="A1106" t="s">
        <v>29</v>
      </c>
      <c r="B1106" t="s">
        <v>29</v>
      </c>
      <c r="C1106" t="s">
        <v>28</v>
      </c>
      <c r="D1106" t="s">
        <v>21</v>
      </c>
      <c r="E1106" s="2">
        <v>45292</v>
      </c>
      <c r="F1106" s="3">
        <v>48638</v>
      </c>
      <c r="G1106" s="3">
        <v>26804</v>
      </c>
      <c r="H1106" s="3">
        <v>21834</v>
      </c>
      <c r="I1106" s="3">
        <v>588</v>
      </c>
      <c r="J1106" s="4">
        <v>155.03</v>
      </c>
      <c r="K1106" s="3">
        <v>34523</v>
      </c>
      <c r="L1106" s="3">
        <v>14115</v>
      </c>
    </row>
    <row r="1107" spans="1:12" x14ac:dyDescent="0.25">
      <c r="A1107" t="s">
        <v>29</v>
      </c>
      <c r="B1107" t="s">
        <v>29</v>
      </c>
      <c r="C1107" t="s">
        <v>28</v>
      </c>
      <c r="D1107" t="s">
        <v>21</v>
      </c>
      <c r="E1107" s="2">
        <v>45323</v>
      </c>
      <c r="F1107" s="3">
        <v>44559</v>
      </c>
      <c r="G1107" s="3">
        <v>24630</v>
      </c>
      <c r="H1107" s="3">
        <v>19929</v>
      </c>
      <c r="I1107" s="3">
        <v>521</v>
      </c>
      <c r="J1107" s="4">
        <v>148.52000000000001</v>
      </c>
      <c r="K1107" s="3">
        <v>32550</v>
      </c>
      <c r="L1107" s="3">
        <v>12009</v>
      </c>
    </row>
    <row r="1108" spans="1:12" x14ac:dyDescent="0.25">
      <c r="A1108" t="s">
        <v>29</v>
      </c>
      <c r="B1108" t="s">
        <v>29</v>
      </c>
      <c r="C1108" t="s">
        <v>28</v>
      </c>
      <c r="D1108" t="s">
        <v>21</v>
      </c>
      <c r="E1108" s="2">
        <v>45352</v>
      </c>
      <c r="F1108" s="3">
        <v>43121</v>
      </c>
      <c r="G1108" s="3">
        <v>23571</v>
      </c>
      <c r="H1108" s="3">
        <v>19550</v>
      </c>
      <c r="I1108" s="3">
        <v>489</v>
      </c>
      <c r="J1108" s="4">
        <v>148.69</v>
      </c>
      <c r="K1108" s="3">
        <v>30715</v>
      </c>
      <c r="L1108" s="3">
        <v>12406</v>
      </c>
    </row>
    <row r="1109" spans="1:12" x14ac:dyDescent="0.25">
      <c r="A1109" t="s">
        <v>29</v>
      </c>
      <c r="B1109" t="s">
        <v>29</v>
      </c>
      <c r="C1109" t="s">
        <v>28</v>
      </c>
      <c r="D1109" t="s">
        <v>21</v>
      </c>
      <c r="E1109" s="2">
        <v>45383</v>
      </c>
      <c r="F1109" s="3">
        <v>45766</v>
      </c>
      <c r="G1109" s="3">
        <v>25350</v>
      </c>
      <c r="H1109" s="3">
        <v>20416</v>
      </c>
      <c r="I1109" s="3">
        <v>547</v>
      </c>
      <c r="J1109" s="4">
        <v>153.1</v>
      </c>
      <c r="K1109" s="3">
        <v>33290</v>
      </c>
      <c r="L1109" s="3">
        <v>12476</v>
      </c>
    </row>
    <row r="1110" spans="1:12" x14ac:dyDescent="0.25">
      <c r="A1110" t="s">
        <v>29</v>
      </c>
      <c r="B1110" t="s">
        <v>29</v>
      </c>
      <c r="C1110" t="s">
        <v>28</v>
      </c>
      <c r="D1110" t="s">
        <v>21</v>
      </c>
      <c r="E1110" s="2">
        <v>45413</v>
      </c>
      <c r="F1110" s="3">
        <v>45498</v>
      </c>
      <c r="G1110" s="3">
        <v>25638</v>
      </c>
      <c r="H1110" s="3">
        <v>19860</v>
      </c>
      <c r="I1110" s="3">
        <v>519</v>
      </c>
      <c r="J1110" s="4">
        <v>154.04</v>
      </c>
      <c r="K1110" s="3">
        <v>32268</v>
      </c>
      <c r="L1110" s="3">
        <v>13230</v>
      </c>
    </row>
    <row r="1111" spans="1:12" x14ac:dyDescent="0.25">
      <c r="A1111" t="s">
        <v>29</v>
      </c>
      <c r="B1111" t="s">
        <v>29</v>
      </c>
      <c r="C1111" t="s">
        <v>28</v>
      </c>
      <c r="D1111" t="s">
        <v>21</v>
      </c>
      <c r="E1111" s="2">
        <v>45444</v>
      </c>
      <c r="F1111" s="3">
        <v>48234</v>
      </c>
      <c r="G1111" s="3">
        <v>27139</v>
      </c>
      <c r="H1111" s="3">
        <v>21095</v>
      </c>
      <c r="I1111" s="3">
        <v>589</v>
      </c>
      <c r="J1111" s="4">
        <v>149.41999999999999</v>
      </c>
      <c r="K1111" s="3">
        <v>34973</v>
      </c>
      <c r="L1111" s="3">
        <v>13261</v>
      </c>
    </row>
    <row r="1112" spans="1:12" x14ac:dyDescent="0.25">
      <c r="A1112" t="s">
        <v>29</v>
      </c>
      <c r="B1112" t="s">
        <v>29</v>
      </c>
      <c r="C1112" t="s">
        <v>28</v>
      </c>
      <c r="D1112" t="s">
        <v>21</v>
      </c>
      <c r="E1112" s="2">
        <v>45474</v>
      </c>
      <c r="F1112" s="3">
        <v>50054</v>
      </c>
      <c r="G1112" s="3">
        <v>27881</v>
      </c>
      <c r="H1112" s="3">
        <v>22173</v>
      </c>
      <c r="I1112" s="3">
        <v>605</v>
      </c>
      <c r="J1112" s="4">
        <v>154.59</v>
      </c>
      <c r="K1112" s="3">
        <v>35615</v>
      </c>
      <c r="L1112" s="3">
        <v>14439</v>
      </c>
    </row>
    <row r="1113" spans="1:12" x14ac:dyDescent="0.25">
      <c r="A1113" t="s">
        <v>29</v>
      </c>
      <c r="B1113" t="s">
        <v>29</v>
      </c>
      <c r="C1113" t="s">
        <v>28</v>
      </c>
      <c r="D1113" t="s">
        <v>21</v>
      </c>
      <c r="E1113" s="2">
        <v>45505</v>
      </c>
      <c r="F1113" s="3">
        <v>52199</v>
      </c>
      <c r="G1113" s="3">
        <v>28910</v>
      </c>
      <c r="H1113" s="3">
        <v>23289</v>
      </c>
      <c r="I1113" s="3">
        <v>585</v>
      </c>
      <c r="J1113" s="4">
        <v>160.02000000000001</v>
      </c>
      <c r="K1113" s="3">
        <v>36889</v>
      </c>
      <c r="L1113" s="3">
        <v>15310</v>
      </c>
    </row>
    <row r="1114" spans="1:12" x14ac:dyDescent="0.25">
      <c r="A1114" t="s">
        <v>29</v>
      </c>
      <c r="B1114" t="s">
        <v>29</v>
      </c>
      <c r="C1114" t="s">
        <v>28</v>
      </c>
      <c r="D1114" t="s">
        <v>21</v>
      </c>
      <c r="E1114" s="2">
        <v>45536</v>
      </c>
      <c r="F1114" s="3">
        <v>55803</v>
      </c>
      <c r="G1114" s="3">
        <v>31148</v>
      </c>
      <c r="H1114" s="3">
        <v>24655</v>
      </c>
      <c r="I1114" s="3">
        <v>648</v>
      </c>
      <c r="J1114" s="4">
        <v>162.63999999999999</v>
      </c>
      <c r="K1114" s="3">
        <v>40186</v>
      </c>
      <c r="L1114" s="3">
        <v>15617</v>
      </c>
    </row>
    <row r="1115" spans="1:12" x14ac:dyDescent="0.25">
      <c r="A1115" t="s">
        <v>29</v>
      </c>
      <c r="B1115" t="s">
        <v>29</v>
      </c>
      <c r="C1115" t="s">
        <v>28</v>
      </c>
      <c r="D1115" t="s">
        <v>21</v>
      </c>
      <c r="E1115" s="2">
        <v>45566</v>
      </c>
      <c r="F1115" s="3">
        <v>56391</v>
      </c>
      <c r="G1115" s="3">
        <v>31983</v>
      </c>
      <c r="H1115" s="3">
        <v>24408</v>
      </c>
      <c r="I1115" s="3">
        <v>664</v>
      </c>
      <c r="J1115" s="4">
        <v>151.91999999999999</v>
      </c>
      <c r="K1115" s="3">
        <v>40807</v>
      </c>
      <c r="L1115" s="3">
        <v>15584</v>
      </c>
    </row>
    <row r="1116" spans="1:12" x14ac:dyDescent="0.25">
      <c r="A1116" t="s">
        <v>29</v>
      </c>
      <c r="B1116" t="s">
        <v>29</v>
      </c>
      <c r="C1116" t="s">
        <v>28</v>
      </c>
      <c r="D1116" t="s">
        <v>21</v>
      </c>
      <c r="E1116" s="2">
        <v>45597</v>
      </c>
      <c r="F1116" s="3">
        <v>55341</v>
      </c>
      <c r="G1116" s="3">
        <v>30628</v>
      </c>
      <c r="H1116" s="3">
        <v>24713</v>
      </c>
      <c r="I1116" s="3">
        <v>680</v>
      </c>
      <c r="J1116" s="4">
        <v>161.56</v>
      </c>
      <c r="K1116" s="3">
        <v>39269</v>
      </c>
      <c r="L1116" s="3">
        <v>16072</v>
      </c>
    </row>
    <row r="1117" spans="1:12" x14ac:dyDescent="0.25">
      <c r="A1117" t="s">
        <v>29</v>
      </c>
      <c r="B1117" t="s">
        <v>29</v>
      </c>
      <c r="C1117" t="s">
        <v>28</v>
      </c>
      <c r="D1117" t="s">
        <v>21</v>
      </c>
      <c r="E1117" s="2">
        <v>45627</v>
      </c>
      <c r="F1117" s="3">
        <v>55722</v>
      </c>
      <c r="G1117" s="3">
        <v>30773</v>
      </c>
      <c r="H1117" s="3">
        <v>24949</v>
      </c>
      <c r="I1117" s="3">
        <v>673</v>
      </c>
      <c r="J1117" s="4">
        <v>149.16999999999999</v>
      </c>
      <c r="K1117" s="3">
        <v>39297</v>
      </c>
      <c r="L1117" s="3">
        <v>16425</v>
      </c>
    </row>
    <row r="1118" spans="1:12" x14ac:dyDescent="0.25">
      <c r="A1118" t="s">
        <v>29</v>
      </c>
      <c r="B1118" t="s">
        <v>29</v>
      </c>
      <c r="C1118" t="s">
        <v>28</v>
      </c>
      <c r="D1118" t="s">
        <v>21</v>
      </c>
      <c r="E1118" s="2">
        <v>45658</v>
      </c>
      <c r="F1118" s="3">
        <v>53819</v>
      </c>
      <c r="G1118" s="3">
        <v>30631</v>
      </c>
      <c r="H1118" s="3">
        <v>23188</v>
      </c>
      <c r="I1118" s="3">
        <v>631</v>
      </c>
      <c r="J1118" s="4">
        <v>159.78</v>
      </c>
      <c r="K1118" s="3">
        <v>38406</v>
      </c>
      <c r="L1118" s="3">
        <v>15413</v>
      </c>
    </row>
    <row r="1119" spans="1:12" x14ac:dyDescent="0.25">
      <c r="A1119" t="s">
        <v>29</v>
      </c>
      <c r="B1119" t="s">
        <v>29</v>
      </c>
      <c r="C1119" t="s">
        <v>28</v>
      </c>
      <c r="D1119" t="s">
        <v>21</v>
      </c>
      <c r="E1119" s="2">
        <v>45689</v>
      </c>
      <c r="F1119" s="3">
        <v>53425</v>
      </c>
      <c r="G1119" s="3">
        <v>29822</v>
      </c>
      <c r="H1119" s="3">
        <v>23603</v>
      </c>
      <c r="I1119" s="3">
        <v>654</v>
      </c>
      <c r="J1119" s="4">
        <v>159.65</v>
      </c>
      <c r="K1119" s="3">
        <v>38946</v>
      </c>
      <c r="L1119" s="3">
        <v>14479</v>
      </c>
    </row>
    <row r="1120" spans="1:12" x14ac:dyDescent="0.25">
      <c r="A1120" t="s">
        <v>29</v>
      </c>
      <c r="B1120" t="s">
        <v>29</v>
      </c>
      <c r="C1120" t="s">
        <v>28</v>
      </c>
      <c r="D1120" t="s">
        <v>21</v>
      </c>
      <c r="E1120" s="2">
        <v>45717</v>
      </c>
      <c r="F1120" s="3">
        <v>49734</v>
      </c>
      <c r="G1120" s="3">
        <v>28420</v>
      </c>
      <c r="H1120" s="3">
        <v>21314</v>
      </c>
      <c r="I1120" s="3">
        <v>577</v>
      </c>
      <c r="J1120" s="4">
        <v>158.56</v>
      </c>
      <c r="K1120" s="3">
        <v>35092</v>
      </c>
      <c r="L1120" s="3">
        <v>14642</v>
      </c>
    </row>
    <row r="1121" spans="1:12" x14ac:dyDescent="0.25">
      <c r="A1121" t="s">
        <v>29</v>
      </c>
      <c r="B1121" t="s">
        <v>29</v>
      </c>
      <c r="C1121" t="s">
        <v>28</v>
      </c>
      <c r="D1121" t="s">
        <v>21</v>
      </c>
      <c r="E1121" s="2">
        <v>45748</v>
      </c>
      <c r="F1121" s="3">
        <v>50957</v>
      </c>
      <c r="G1121" s="3">
        <v>28917</v>
      </c>
      <c r="H1121" s="3">
        <v>22040</v>
      </c>
      <c r="I1121" s="3">
        <v>577</v>
      </c>
      <c r="J1121" s="4">
        <v>160.84</v>
      </c>
      <c r="K1121" s="3">
        <v>35971</v>
      </c>
      <c r="L1121" s="3">
        <v>14986</v>
      </c>
    </row>
    <row r="1122" spans="1:12" x14ac:dyDescent="0.25">
      <c r="A1122" t="s">
        <v>29</v>
      </c>
      <c r="B1122" t="s">
        <v>29</v>
      </c>
      <c r="C1122" t="s">
        <v>28</v>
      </c>
      <c r="D1122" t="s">
        <v>21</v>
      </c>
      <c r="E1122" s="2">
        <v>45778</v>
      </c>
      <c r="F1122" s="3">
        <v>52950</v>
      </c>
      <c r="G1122" s="3">
        <v>29847</v>
      </c>
      <c r="H1122" s="3">
        <v>23103</v>
      </c>
      <c r="I1122" s="3">
        <v>641</v>
      </c>
      <c r="J1122" s="4">
        <v>159.69</v>
      </c>
      <c r="K1122" s="3">
        <v>38412</v>
      </c>
      <c r="L1122" s="3">
        <v>14538</v>
      </c>
    </row>
    <row r="1123" spans="1:12" x14ac:dyDescent="0.25">
      <c r="A1123" t="s">
        <v>29</v>
      </c>
      <c r="B1123" t="s">
        <v>29</v>
      </c>
      <c r="C1123" t="s">
        <v>28</v>
      </c>
      <c r="D1123" t="s">
        <v>21</v>
      </c>
      <c r="E1123" s="2">
        <v>45809</v>
      </c>
      <c r="F1123" s="3">
        <v>54148</v>
      </c>
      <c r="G1123" s="3">
        <v>30619</v>
      </c>
      <c r="H1123" s="3">
        <v>23529</v>
      </c>
      <c r="I1123" s="3">
        <v>668</v>
      </c>
      <c r="J1123" s="4">
        <v>153.15</v>
      </c>
      <c r="K1123" s="3">
        <v>38405</v>
      </c>
      <c r="L1123" s="3">
        <v>15743</v>
      </c>
    </row>
    <row r="1124" spans="1:12" x14ac:dyDescent="0.25">
      <c r="A1124" t="s">
        <v>29</v>
      </c>
      <c r="B1124" t="s">
        <v>29</v>
      </c>
      <c r="C1124" t="s">
        <v>28</v>
      </c>
      <c r="D1124" t="s">
        <v>21</v>
      </c>
      <c r="E1124" s="2">
        <v>45839</v>
      </c>
      <c r="F1124" s="3">
        <v>53555</v>
      </c>
      <c r="G1124" s="3">
        <v>29805</v>
      </c>
      <c r="H1124" s="3">
        <v>23750</v>
      </c>
      <c r="I1124" s="3">
        <v>655</v>
      </c>
      <c r="J1124" s="4">
        <v>158.86000000000001</v>
      </c>
      <c r="K1124" s="3">
        <v>38767</v>
      </c>
      <c r="L1124" s="3">
        <v>14788</v>
      </c>
    </row>
    <row r="1125" spans="1:12" x14ac:dyDescent="0.25">
      <c r="A1125" t="s">
        <v>29</v>
      </c>
      <c r="B1125" t="s">
        <v>29</v>
      </c>
      <c r="C1125" t="s">
        <v>28</v>
      </c>
      <c r="D1125" t="s">
        <v>21</v>
      </c>
      <c r="E1125" s="2">
        <v>45870</v>
      </c>
      <c r="F1125" s="3">
        <v>58380</v>
      </c>
      <c r="G1125" s="3">
        <v>32715</v>
      </c>
      <c r="H1125" s="3">
        <v>25665</v>
      </c>
      <c r="I1125" s="3">
        <v>694</v>
      </c>
      <c r="J1125" s="4">
        <v>153.21</v>
      </c>
      <c r="K1125" s="3">
        <v>42327</v>
      </c>
      <c r="L1125" s="3">
        <v>16053</v>
      </c>
    </row>
    <row r="1126" spans="1:12" x14ac:dyDescent="0.25">
      <c r="A1126" t="s">
        <v>29</v>
      </c>
      <c r="B1126" t="s">
        <v>29</v>
      </c>
      <c r="C1126" t="s">
        <v>28</v>
      </c>
      <c r="D1126" t="s">
        <v>21</v>
      </c>
      <c r="E1126" s="2">
        <v>45901</v>
      </c>
      <c r="F1126" s="3">
        <v>59172</v>
      </c>
      <c r="G1126" s="3">
        <v>32343</v>
      </c>
      <c r="H1126" s="3">
        <v>26829</v>
      </c>
      <c r="I1126" s="3">
        <v>697</v>
      </c>
      <c r="J1126" s="4">
        <v>153.27000000000001</v>
      </c>
      <c r="K1126" s="3">
        <v>42348</v>
      </c>
      <c r="L1126" s="3">
        <v>16824</v>
      </c>
    </row>
    <row r="1127" spans="1:12" x14ac:dyDescent="0.25">
      <c r="A1127" t="s">
        <v>29</v>
      </c>
      <c r="B1127" t="s">
        <v>29</v>
      </c>
      <c r="C1127" t="s">
        <v>28</v>
      </c>
      <c r="D1127" t="s">
        <v>21</v>
      </c>
      <c r="E1127" s="2">
        <v>45931</v>
      </c>
      <c r="F1127" s="3">
        <v>66419</v>
      </c>
      <c r="G1127" s="3">
        <v>37850</v>
      </c>
      <c r="H1127" s="3">
        <v>28569</v>
      </c>
      <c r="I1127" s="3">
        <v>772</v>
      </c>
      <c r="J1127" s="4">
        <v>160.71</v>
      </c>
      <c r="K1127" s="3">
        <v>48119</v>
      </c>
      <c r="L1127" s="3">
        <v>18300</v>
      </c>
    </row>
    <row r="1128" spans="1:12" x14ac:dyDescent="0.25">
      <c r="A1128" t="s">
        <v>29</v>
      </c>
      <c r="B1128" t="s">
        <v>29</v>
      </c>
      <c r="C1128" t="s">
        <v>28</v>
      </c>
      <c r="D1128" t="s">
        <v>21</v>
      </c>
      <c r="E1128" s="2">
        <v>45962</v>
      </c>
      <c r="F1128" s="3">
        <v>63720</v>
      </c>
      <c r="G1128" s="3">
        <v>35690</v>
      </c>
      <c r="H1128" s="3">
        <v>28030</v>
      </c>
      <c r="I1128" s="3">
        <v>729</v>
      </c>
      <c r="J1128" s="4">
        <v>154.72</v>
      </c>
      <c r="K1128" s="3">
        <v>45378</v>
      </c>
      <c r="L1128" s="3">
        <v>18342</v>
      </c>
    </row>
    <row r="1129" spans="1:12" x14ac:dyDescent="0.25">
      <c r="A1129" t="s">
        <v>29</v>
      </c>
      <c r="B1129" t="s">
        <v>29</v>
      </c>
      <c r="C1129" t="s">
        <v>28</v>
      </c>
      <c r="D1129" t="s">
        <v>21</v>
      </c>
      <c r="E1129" s="2">
        <v>45992</v>
      </c>
      <c r="F1129" s="3">
        <v>57895</v>
      </c>
      <c r="G1129" s="3">
        <v>32584</v>
      </c>
      <c r="H1129" s="3">
        <v>25311</v>
      </c>
      <c r="I1129" s="3">
        <v>673</v>
      </c>
      <c r="J1129" s="4">
        <v>156.44999999999999</v>
      </c>
      <c r="K1129" s="3">
        <v>41969</v>
      </c>
      <c r="L1129" s="3">
        <v>15926</v>
      </c>
    </row>
    <row r="1130" spans="1:12" x14ac:dyDescent="0.25">
      <c r="A1130" t="s">
        <v>29</v>
      </c>
      <c r="B1130" t="s">
        <v>29</v>
      </c>
      <c r="C1130" t="s">
        <v>28</v>
      </c>
      <c r="D1130" t="s">
        <v>22</v>
      </c>
      <c r="E1130" s="2">
        <v>45292</v>
      </c>
      <c r="F1130" s="3">
        <v>40357</v>
      </c>
      <c r="G1130" s="3">
        <v>21536</v>
      </c>
      <c r="H1130" s="3">
        <v>18821</v>
      </c>
      <c r="I1130" s="3">
        <v>4279</v>
      </c>
      <c r="J1130" s="4">
        <v>73.86</v>
      </c>
      <c r="K1130" s="3">
        <v>29053</v>
      </c>
      <c r="L1130" s="3">
        <v>11304</v>
      </c>
    </row>
    <row r="1131" spans="1:12" x14ac:dyDescent="0.25">
      <c r="A1131" t="s">
        <v>29</v>
      </c>
      <c r="B1131" t="s">
        <v>29</v>
      </c>
      <c r="C1131" t="s">
        <v>28</v>
      </c>
      <c r="D1131" t="s">
        <v>22</v>
      </c>
      <c r="E1131" s="2">
        <v>45323</v>
      </c>
      <c r="F1131" s="3">
        <v>40140</v>
      </c>
      <c r="G1131" s="3">
        <v>21801</v>
      </c>
      <c r="H1131" s="3">
        <v>18339</v>
      </c>
      <c r="I1131" s="3">
        <v>4479</v>
      </c>
      <c r="J1131" s="4">
        <v>70.63</v>
      </c>
      <c r="K1131" s="3">
        <v>28277</v>
      </c>
      <c r="L1131" s="3">
        <v>11863</v>
      </c>
    </row>
    <row r="1132" spans="1:12" x14ac:dyDescent="0.25">
      <c r="A1132" t="s">
        <v>29</v>
      </c>
      <c r="B1132" t="s">
        <v>29</v>
      </c>
      <c r="C1132" t="s">
        <v>28</v>
      </c>
      <c r="D1132" t="s">
        <v>22</v>
      </c>
      <c r="E1132" s="2">
        <v>45352</v>
      </c>
      <c r="F1132" s="3">
        <v>39285</v>
      </c>
      <c r="G1132" s="3">
        <v>21451</v>
      </c>
      <c r="H1132" s="3">
        <v>17834</v>
      </c>
      <c r="I1132" s="3">
        <v>4176</v>
      </c>
      <c r="J1132" s="4">
        <v>73</v>
      </c>
      <c r="K1132" s="3">
        <v>28412</v>
      </c>
      <c r="L1132" s="3">
        <v>10873</v>
      </c>
    </row>
    <row r="1133" spans="1:12" x14ac:dyDescent="0.25">
      <c r="A1133" t="s">
        <v>29</v>
      </c>
      <c r="B1133" t="s">
        <v>29</v>
      </c>
      <c r="C1133" t="s">
        <v>28</v>
      </c>
      <c r="D1133" t="s">
        <v>22</v>
      </c>
      <c r="E1133" s="2">
        <v>45383</v>
      </c>
      <c r="F1133" s="3">
        <v>37497</v>
      </c>
      <c r="G1133" s="3">
        <v>20118</v>
      </c>
      <c r="H1133" s="3">
        <v>17379</v>
      </c>
      <c r="I1133" s="3">
        <v>4078</v>
      </c>
      <c r="J1133" s="4">
        <v>70.760000000000005</v>
      </c>
      <c r="K1133" s="3">
        <v>26759</v>
      </c>
      <c r="L1133" s="3">
        <v>10738</v>
      </c>
    </row>
    <row r="1134" spans="1:12" x14ac:dyDescent="0.25">
      <c r="A1134" t="s">
        <v>29</v>
      </c>
      <c r="B1134" t="s">
        <v>29</v>
      </c>
      <c r="C1134" t="s">
        <v>28</v>
      </c>
      <c r="D1134" t="s">
        <v>22</v>
      </c>
      <c r="E1134" s="2">
        <v>45413</v>
      </c>
      <c r="F1134" s="3">
        <v>38229</v>
      </c>
      <c r="G1134" s="3">
        <v>20701</v>
      </c>
      <c r="H1134" s="3">
        <v>17528</v>
      </c>
      <c r="I1134" s="3">
        <v>4291</v>
      </c>
      <c r="J1134" s="4">
        <v>74.680000000000007</v>
      </c>
      <c r="K1134" s="3">
        <v>27788</v>
      </c>
      <c r="L1134" s="3">
        <v>10441</v>
      </c>
    </row>
    <row r="1135" spans="1:12" x14ac:dyDescent="0.25">
      <c r="A1135" t="s">
        <v>29</v>
      </c>
      <c r="B1135" t="s">
        <v>29</v>
      </c>
      <c r="C1135" t="s">
        <v>28</v>
      </c>
      <c r="D1135" t="s">
        <v>22</v>
      </c>
      <c r="E1135" s="2">
        <v>45444</v>
      </c>
      <c r="F1135" s="3">
        <v>38542</v>
      </c>
      <c r="G1135" s="3">
        <v>20489</v>
      </c>
      <c r="H1135" s="3">
        <v>18053</v>
      </c>
      <c r="I1135" s="3">
        <v>4490</v>
      </c>
      <c r="J1135" s="4">
        <v>72.23</v>
      </c>
      <c r="K1135" s="3">
        <v>27979</v>
      </c>
      <c r="L1135" s="3">
        <v>10563</v>
      </c>
    </row>
    <row r="1136" spans="1:12" x14ac:dyDescent="0.25">
      <c r="A1136" t="s">
        <v>29</v>
      </c>
      <c r="B1136" t="s">
        <v>29</v>
      </c>
      <c r="C1136" t="s">
        <v>28</v>
      </c>
      <c r="D1136" t="s">
        <v>22</v>
      </c>
      <c r="E1136" s="2">
        <v>45474</v>
      </c>
      <c r="F1136" s="3">
        <v>44630</v>
      </c>
      <c r="G1136" s="3">
        <v>23794</v>
      </c>
      <c r="H1136" s="3">
        <v>20836</v>
      </c>
      <c r="I1136" s="3">
        <v>4792</v>
      </c>
      <c r="J1136" s="4">
        <v>72.59</v>
      </c>
      <c r="K1136" s="3">
        <v>31612</v>
      </c>
      <c r="L1136" s="3">
        <v>13018</v>
      </c>
    </row>
    <row r="1137" spans="1:12" x14ac:dyDescent="0.25">
      <c r="A1137" t="s">
        <v>29</v>
      </c>
      <c r="B1137" t="s">
        <v>29</v>
      </c>
      <c r="C1137" t="s">
        <v>28</v>
      </c>
      <c r="D1137" t="s">
        <v>22</v>
      </c>
      <c r="E1137" s="2">
        <v>45505</v>
      </c>
      <c r="F1137" s="3">
        <v>42692</v>
      </c>
      <c r="G1137" s="3">
        <v>22155</v>
      </c>
      <c r="H1137" s="3">
        <v>20537</v>
      </c>
      <c r="I1137" s="3">
        <v>4636</v>
      </c>
      <c r="J1137" s="4">
        <v>71.48</v>
      </c>
      <c r="K1137" s="3">
        <v>30913</v>
      </c>
      <c r="L1137" s="3">
        <v>11779</v>
      </c>
    </row>
    <row r="1138" spans="1:12" x14ac:dyDescent="0.25">
      <c r="A1138" t="s">
        <v>29</v>
      </c>
      <c r="B1138" t="s">
        <v>29</v>
      </c>
      <c r="C1138" t="s">
        <v>28</v>
      </c>
      <c r="D1138" t="s">
        <v>22</v>
      </c>
      <c r="E1138" s="2">
        <v>45536</v>
      </c>
      <c r="F1138" s="3">
        <v>45984</v>
      </c>
      <c r="G1138" s="3">
        <v>25122</v>
      </c>
      <c r="H1138" s="3">
        <v>20862</v>
      </c>
      <c r="I1138" s="3">
        <v>5209</v>
      </c>
      <c r="J1138" s="4">
        <v>70.319999999999993</v>
      </c>
      <c r="K1138" s="3">
        <v>33227</v>
      </c>
      <c r="L1138" s="3">
        <v>12757</v>
      </c>
    </row>
    <row r="1139" spans="1:12" x14ac:dyDescent="0.25">
      <c r="A1139" t="s">
        <v>29</v>
      </c>
      <c r="B1139" t="s">
        <v>29</v>
      </c>
      <c r="C1139" t="s">
        <v>28</v>
      </c>
      <c r="D1139" t="s">
        <v>22</v>
      </c>
      <c r="E1139" s="2">
        <v>45566</v>
      </c>
      <c r="F1139" s="3">
        <v>48575</v>
      </c>
      <c r="G1139" s="3">
        <v>26129</v>
      </c>
      <c r="H1139" s="3">
        <v>22446</v>
      </c>
      <c r="I1139" s="3">
        <v>5536</v>
      </c>
      <c r="J1139" s="4">
        <v>70.16</v>
      </c>
      <c r="K1139" s="3">
        <v>35141</v>
      </c>
      <c r="L1139" s="3">
        <v>13434</v>
      </c>
    </row>
    <row r="1140" spans="1:12" x14ac:dyDescent="0.25">
      <c r="A1140" t="s">
        <v>29</v>
      </c>
      <c r="B1140" t="s">
        <v>29</v>
      </c>
      <c r="C1140" t="s">
        <v>28</v>
      </c>
      <c r="D1140" t="s">
        <v>22</v>
      </c>
      <c r="E1140" s="2">
        <v>45597</v>
      </c>
      <c r="F1140" s="3">
        <v>48029</v>
      </c>
      <c r="G1140" s="3">
        <v>25122</v>
      </c>
      <c r="H1140" s="3">
        <v>22907</v>
      </c>
      <c r="I1140" s="3">
        <v>5207</v>
      </c>
      <c r="J1140" s="4">
        <v>72.099999999999994</v>
      </c>
      <c r="K1140" s="3">
        <v>34059</v>
      </c>
      <c r="L1140" s="3">
        <v>13970</v>
      </c>
    </row>
    <row r="1141" spans="1:12" x14ac:dyDescent="0.25">
      <c r="A1141" t="s">
        <v>29</v>
      </c>
      <c r="B1141" t="s">
        <v>29</v>
      </c>
      <c r="C1141" t="s">
        <v>28</v>
      </c>
      <c r="D1141" t="s">
        <v>22</v>
      </c>
      <c r="E1141" s="2">
        <v>45627</v>
      </c>
      <c r="F1141" s="3">
        <v>46890</v>
      </c>
      <c r="G1141" s="3">
        <v>24229</v>
      </c>
      <c r="H1141" s="3">
        <v>22661</v>
      </c>
      <c r="I1141" s="3">
        <v>5255</v>
      </c>
      <c r="J1141" s="4">
        <v>73.27</v>
      </c>
      <c r="K1141" s="3">
        <v>33759</v>
      </c>
      <c r="L1141" s="3">
        <v>13131</v>
      </c>
    </row>
    <row r="1142" spans="1:12" x14ac:dyDescent="0.25">
      <c r="A1142" t="s">
        <v>29</v>
      </c>
      <c r="B1142" t="s">
        <v>29</v>
      </c>
      <c r="C1142" t="s">
        <v>28</v>
      </c>
      <c r="D1142" t="s">
        <v>22</v>
      </c>
      <c r="E1142" s="2">
        <v>45658</v>
      </c>
      <c r="F1142" s="3">
        <v>44037</v>
      </c>
      <c r="G1142" s="3">
        <v>23263</v>
      </c>
      <c r="H1142" s="3">
        <v>20774</v>
      </c>
      <c r="I1142" s="3">
        <v>4851</v>
      </c>
      <c r="J1142" s="4">
        <v>76.3</v>
      </c>
      <c r="K1142" s="3">
        <v>30945</v>
      </c>
      <c r="L1142" s="3">
        <v>13092</v>
      </c>
    </row>
    <row r="1143" spans="1:12" x14ac:dyDescent="0.25">
      <c r="A1143" t="s">
        <v>29</v>
      </c>
      <c r="B1143" t="s">
        <v>29</v>
      </c>
      <c r="C1143" t="s">
        <v>28</v>
      </c>
      <c r="D1143" t="s">
        <v>22</v>
      </c>
      <c r="E1143" s="2">
        <v>45689</v>
      </c>
      <c r="F1143" s="3">
        <v>42562</v>
      </c>
      <c r="G1143" s="3">
        <v>22935</v>
      </c>
      <c r="H1143" s="3">
        <v>19627</v>
      </c>
      <c r="I1143" s="3">
        <v>4519</v>
      </c>
      <c r="J1143" s="4">
        <v>70.790000000000006</v>
      </c>
      <c r="K1143" s="3">
        <v>30134</v>
      </c>
      <c r="L1143" s="3">
        <v>12428</v>
      </c>
    </row>
    <row r="1144" spans="1:12" x14ac:dyDescent="0.25">
      <c r="A1144" t="s">
        <v>29</v>
      </c>
      <c r="B1144" t="s">
        <v>29</v>
      </c>
      <c r="C1144" t="s">
        <v>28</v>
      </c>
      <c r="D1144" t="s">
        <v>22</v>
      </c>
      <c r="E1144" s="2">
        <v>45717</v>
      </c>
      <c r="F1144" s="3">
        <v>40214</v>
      </c>
      <c r="G1144" s="3">
        <v>20831</v>
      </c>
      <c r="H1144" s="3">
        <v>19383</v>
      </c>
      <c r="I1144" s="3">
        <v>4290</v>
      </c>
      <c r="J1144" s="4">
        <v>72.239999999999995</v>
      </c>
      <c r="K1144" s="3">
        <v>28947</v>
      </c>
      <c r="L1144" s="3">
        <v>11267</v>
      </c>
    </row>
    <row r="1145" spans="1:12" x14ac:dyDescent="0.25">
      <c r="A1145" t="s">
        <v>29</v>
      </c>
      <c r="B1145" t="s">
        <v>29</v>
      </c>
      <c r="C1145" t="s">
        <v>28</v>
      </c>
      <c r="D1145" t="s">
        <v>22</v>
      </c>
      <c r="E1145" s="2">
        <v>45748</v>
      </c>
      <c r="F1145" s="3">
        <v>41509</v>
      </c>
      <c r="G1145" s="3">
        <v>21687</v>
      </c>
      <c r="H1145" s="3">
        <v>19822</v>
      </c>
      <c r="I1145" s="3">
        <v>4609</v>
      </c>
      <c r="J1145" s="4">
        <v>74.66</v>
      </c>
      <c r="K1145" s="3">
        <v>29709</v>
      </c>
      <c r="L1145" s="3">
        <v>11800</v>
      </c>
    </row>
    <row r="1146" spans="1:12" x14ac:dyDescent="0.25">
      <c r="A1146" t="s">
        <v>29</v>
      </c>
      <c r="B1146" t="s">
        <v>29</v>
      </c>
      <c r="C1146" t="s">
        <v>28</v>
      </c>
      <c r="D1146" t="s">
        <v>22</v>
      </c>
      <c r="E1146" s="2">
        <v>45778</v>
      </c>
      <c r="F1146" s="3">
        <v>39271</v>
      </c>
      <c r="G1146" s="3">
        <v>20569</v>
      </c>
      <c r="H1146" s="3">
        <v>18702</v>
      </c>
      <c r="I1146" s="3">
        <v>4260</v>
      </c>
      <c r="J1146" s="4">
        <v>70.97</v>
      </c>
      <c r="K1146" s="3">
        <v>28521</v>
      </c>
      <c r="L1146" s="3">
        <v>10750</v>
      </c>
    </row>
    <row r="1147" spans="1:12" x14ac:dyDescent="0.25">
      <c r="A1147" t="s">
        <v>29</v>
      </c>
      <c r="B1147" t="s">
        <v>29</v>
      </c>
      <c r="C1147" t="s">
        <v>28</v>
      </c>
      <c r="D1147" t="s">
        <v>22</v>
      </c>
      <c r="E1147" s="2">
        <v>45809</v>
      </c>
      <c r="F1147" s="3">
        <v>42175</v>
      </c>
      <c r="G1147" s="3">
        <v>22898</v>
      </c>
      <c r="H1147" s="3">
        <v>19277</v>
      </c>
      <c r="I1147" s="3">
        <v>4529</v>
      </c>
      <c r="J1147" s="4">
        <v>71.28</v>
      </c>
      <c r="K1147" s="3">
        <v>30023</v>
      </c>
      <c r="L1147" s="3">
        <v>12152</v>
      </c>
    </row>
    <row r="1148" spans="1:12" x14ac:dyDescent="0.25">
      <c r="A1148" t="s">
        <v>29</v>
      </c>
      <c r="B1148" t="s">
        <v>29</v>
      </c>
      <c r="C1148" t="s">
        <v>28</v>
      </c>
      <c r="D1148" t="s">
        <v>22</v>
      </c>
      <c r="E1148" s="2">
        <v>45839</v>
      </c>
      <c r="F1148" s="3">
        <v>42587</v>
      </c>
      <c r="G1148" s="3">
        <v>22505</v>
      </c>
      <c r="H1148" s="3">
        <v>20082</v>
      </c>
      <c r="I1148" s="3">
        <v>4777</v>
      </c>
      <c r="J1148" s="4">
        <v>71.22</v>
      </c>
      <c r="K1148" s="3">
        <v>30787</v>
      </c>
      <c r="L1148" s="3">
        <v>11800</v>
      </c>
    </row>
    <row r="1149" spans="1:12" x14ac:dyDescent="0.25">
      <c r="A1149" t="s">
        <v>29</v>
      </c>
      <c r="B1149" t="s">
        <v>29</v>
      </c>
      <c r="C1149" t="s">
        <v>28</v>
      </c>
      <c r="D1149" t="s">
        <v>22</v>
      </c>
      <c r="E1149" s="2">
        <v>45870</v>
      </c>
      <c r="F1149" s="3">
        <v>46265</v>
      </c>
      <c r="G1149" s="3">
        <v>24816</v>
      </c>
      <c r="H1149" s="3">
        <v>21449</v>
      </c>
      <c r="I1149" s="3">
        <v>5265</v>
      </c>
      <c r="J1149" s="4">
        <v>75.05</v>
      </c>
      <c r="K1149" s="3">
        <v>32606</v>
      </c>
      <c r="L1149" s="3">
        <v>13659</v>
      </c>
    </row>
    <row r="1150" spans="1:12" x14ac:dyDescent="0.25">
      <c r="A1150" t="s">
        <v>29</v>
      </c>
      <c r="B1150" t="s">
        <v>29</v>
      </c>
      <c r="C1150" t="s">
        <v>28</v>
      </c>
      <c r="D1150" t="s">
        <v>22</v>
      </c>
      <c r="E1150" s="2">
        <v>45901</v>
      </c>
      <c r="F1150" s="3">
        <v>48958</v>
      </c>
      <c r="G1150" s="3">
        <v>26116</v>
      </c>
      <c r="H1150" s="3">
        <v>22842</v>
      </c>
      <c r="I1150" s="3">
        <v>5725</v>
      </c>
      <c r="J1150" s="4">
        <v>70.150000000000006</v>
      </c>
      <c r="K1150" s="3">
        <v>35583</v>
      </c>
      <c r="L1150" s="3">
        <v>13375</v>
      </c>
    </row>
    <row r="1151" spans="1:12" x14ac:dyDescent="0.25">
      <c r="A1151" t="s">
        <v>29</v>
      </c>
      <c r="B1151" t="s">
        <v>29</v>
      </c>
      <c r="C1151" t="s">
        <v>28</v>
      </c>
      <c r="D1151" t="s">
        <v>22</v>
      </c>
      <c r="E1151" s="2">
        <v>45931</v>
      </c>
      <c r="F1151" s="3">
        <v>52380</v>
      </c>
      <c r="G1151" s="3">
        <v>28594</v>
      </c>
      <c r="H1151" s="3">
        <v>23786</v>
      </c>
      <c r="I1151" s="3">
        <v>5677</v>
      </c>
      <c r="J1151" s="4">
        <v>72.05</v>
      </c>
      <c r="K1151" s="3">
        <v>37271</v>
      </c>
      <c r="L1151" s="3">
        <v>15109</v>
      </c>
    </row>
    <row r="1152" spans="1:12" x14ac:dyDescent="0.25">
      <c r="A1152" t="s">
        <v>29</v>
      </c>
      <c r="B1152" t="s">
        <v>29</v>
      </c>
      <c r="C1152" t="s">
        <v>28</v>
      </c>
      <c r="D1152" t="s">
        <v>22</v>
      </c>
      <c r="E1152" s="2">
        <v>45962</v>
      </c>
      <c r="F1152" s="3">
        <v>46976</v>
      </c>
      <c r="G1152" s="3">
        <v>25607</v>
      </c>
      <c r="H1152" s="3">
        <v>21369</v>
      </c>
      <c r="I1152" s="3">
        <v>5286</v>
      </c>
      <c r="J1152" s="4">
        <v>71.38</v>
      </c>
      <c r="K1152" s="3">
        <v>33289</v>
      </c>
      <c r="L1152" s="3">
        <v>13687</v>
      </c>
    </row>
    <row r="1153" spans="1:12" x14ac:dyDescent="0.25">
      <c r="A1153" t="s">
        <v>29</v>
      </c>
      <c r="B1153" t="s">
        <v>29</v>
      </c>
      <c r="C1153" t="s">
        <v>28</v>
      </c>
      <c r="D1153" t="s">
        <v>22</v>
      </c>
      <c r="E1153" s="2">
        <v>45992</v>
      </c>
      <c r="F1153" s="3">
        <v>48302</v>
      </c>
      <c r="G1153" s="3">
        <v>25027</v>
      </c>
      <c r="H1153" s="3">
        <v>23275</v>
      </c>
      <c r="I1153" s="3">
        <v>5423</v>
      </c>
      <c r="J1153" s="4">
        <v>72.760000000000005</v>
      </c>
      <c r="K1153" s="3">
        <v>34364</v>
      </c>
      <c r="L1153" s="3">
        <v>13938</v>
      </c>
    </row>
    <row r="1154" spans="1:12" x14ac:dyDescent="0.25">
      <c r="A1154" t="s">
        <v>30</v>
      </c>
      <c r="B1154" t="s">
        <v>30</v>
      </c>
      <c r="C1154" t="s">
        <v>31</v>
      </c>
      <c r="D1154" t="s">
        <v>15</v>
      </c>
      <c r="E1154" s="2">
        <v>45292</v>
      </c>
      <c r="F1154" s="3">
        <v>501552</v>
      </c>
      <c r="G1154" s="3">
        <v>391057</v>
      </c>
      <c r="H1154" s="3">
        <v>110495</v>
      </c>
      <c r="I1154" s="3">
        <v>14795</v>
      </c>
      <c r="J1154" s="4">
        <v>401.51</v>
      </c>
      <c r="K1154" s="3">
        <v>347613</v>
      </c>
      <c r="L1154" s="3">
        <v>153939</v>
      </c>
    </row>
    <row r="1155" spans="1:12" x14ac:dyDescent="0.25">
      <c r="A1155" t="s">
        <v>30</v>
      </c>
      <c r="B1155" t="s">
        <v>30</v>
      </c>
      <c r="C1155" t="s">
        <v>31</v>
      </c>
      <c r="D1155" t="s">
        <v>15</v>
      </c>
      <c r="E1155" s="2">
        <v>45323</v>
      </c>
      <c r="F1155" s="3">
        <v>489232</v>
      </c>
      <c r="G1155" s="3">
        <v>377149</v>
      </c>
      <c r="H1155" s="3">
        <v>112083</v>
      </c>
      <c r="I1155" s="3">
        <v>14026</v>
      </c>
      <c r="J1155" s="4">
        <v>435.25</v>
      </c>
      <c r="K1155" s="3">
        <v>333920</v>
      </c>
      <c r="L1155" s="3">
        <v>155312</v>
      </c>
    </row>
    <row r="1156" spans="1:12" x14ac:dyDescent="0.25">
      <c r="A1156" t="s">
        <v>30</v>
      </c>
      <c r="B1156" t="s">
        <v>30</v>
      </c>
      <c r="C1156" t="s">
        <v>31</v>
      </c>
      <c r="D1156" t="s">
        <v>15</v>
      </c>
      <c r="E1156" s="2">
        <v>45352</v>
      </c>
      <c r="F1156" s="3">
        <v>477523</v>
      </c>
      <c r="G1156" s="3">
        <v>366689</v>
      </c>
      <c r="H1156" s="3">
        <v>110834</v>
      </c>
      <c r="I1156" s="3">
        <v>13446</v>
      </c>
      <c r="J1156" s="4">
        <v>441.86</v>
      </c>
      <c r="K1156" s="3">
        <v>334886</v>
      </c>
      <c r="L1156" s="3">
        <v>142637</v>
      </c>
    </row>
    <row r="1157" spans="1:12" x14ac:dyDescent="0.25">
      <c r="A1157" t="s">
        <v>30</v>
      </c>
      <c r="B1157" t="s">
        <v>30</v>
      </c>
      <c r="C1157" t="s">
        <v>31</v>
      </c>
      <c r="D1157" t="s">
        <v>15</v>
      </c>
      <c r="E1157" s="2">
        <v>45383</v>
      </c>
      <c r="F1157" s="3">
        <v>451615</v>
      </c>
      <c r="G1157" s="3">
        <v>353580</v>
      </c>
      <c r="H1157" s="3">
        <v>98035</v>
      </c>
      <c r="I1157" s="3">
        <v>13753</v>
      </c>
      <c r="J1157" s="4">
        <v>420.27</v>
      </c>
      <c r="K1157" s="3">
        <v>318050</v>
      </c>
      <c r="L1157" s="3">
        <v>133565</v>
      </c>
    </row>
    <row r="1158" spans="1:12" x14ac:dyDescent="0.25">
      <c r="A1158" t="s">
        <v>30</v>
      </c>
      <c r="B1158" t="s">
        <v>30</v>
      </c>
      <c r="C1158" t="s">
        <v>31</v>
      </c>
      <c r="D1158" t="s">
        <v>15</v>
      </c>
      <c r="E1158" s="2">
        <v>45413</v>
      </c>
      <c r="F1158" s="3">
        <v>454824</v>
      </c>
      <c r="G1158" s="3">
        <v>348219</v>
      </c>
      <c r="H1158" s="3">
        <v>106605</v>
      </c>
      <c r="I1158" s="3">
        <v>13736</v>
      </c>
      <c r="J1158" s="4">
        <v>419.3</v>
      </c>
      <c r="K1158" s="3">
        <v>306537</v>
      </c>
      <c r="L1158" s="3">
        <v>148287</v>
      </c>
    </row>
    <row r="1159" spans="1:12" x14ac:dyDescent="0.25">
      <c r="A1159" t="s">
        <v>30</v>
      </c>
      <c r="B1159" t="s">
        <v>30</v>
      </c>
      <c r="C1159" t="s">
        <v>31</v>
      </c>
      <c r="D1159" t="s">
        <v>15</v>
      </c>
      <c r="E1159" s="2">
        <v>45444</v>
      </c>
      <c r="F1159" s="3">
        <v>507877</v>
      </c>
      <c r="G1159" s="3">
        <v>393356</v>
      </c>
      <c r="H1159" s="3">
        <v>114521</v>
      </c>
      <c r="I1159" s="3">
        <v>15309</v>
      </c>
      <c r="J1159" s="4">
        <v>408.37</v>
      </c>
      <c r="K1159" s="3">
        <v>355250</v>
      </c>
      <c r="L1159" s="3">
        <v>152627</v>
      </c>
    </row>
    <row r="1160" spans="1:12" x14ac:dyDescent="0.25">
      <c r="A1160" t="s">
        <v>30</v>
      </c>
      <c r="B1160" t="s">
        <v>30</v>
      </c>
      <c r="C1160" t="s">
        <v>31</v>
      </c>
      <c r="D1160" t="s">
        <v>15</v>
      </c>
      <c r="E1160" s="2">
        <v>45474</v>
      </c>
      <c r="F1160" s="3">
        <v>507298</v>
      </c>
      <c r="G1160" s="3">
        <v>385506</v>
      </c>
      <c r="H1160" s="3">
        <v>121792</v>
      </c>
      <c r="I1160" s="3">
        <v>15291</v>
      </c>
      <c r="J1160" s="4">
        <v>407.37</v>
      </c>
      <c r="K1160" s="3">
        <v>342911</v>
      </c>
      <c r="L1160" s="3">
        <v>164387</v>
      </c>
    </row>
    <row r="1161" spans="1:12" x14ac:dyDescent="0.25">
      <c r="A1161" t="s">
        <v>30</v>
      </c>
      <c r="B1161" t="s">
        <v>30</v>
      </c>
      <c r="C1161" t="s">
        <v>31</v>
      </c>
      <c r="D1161" t="s">
        <v>15</v>
      </c>
      <c r="E1161" s="2">
        <v>45505</v>
      </c>
      <c r="F1161" s="3">
        <v>523964</v>
      </c>
      <c r="G1161" s="3">
        <v>404070</v>
      </c>
      <c r="H1161" s="3">
        <v>119894</v>
      </c>
      <c r="I1161" s="3">
        <v>14967</v>
      </c>
      <c r="J1161" s="4">
        <v>426.38</v>
      </c>
      <c r="K1161" s="3">
        <v>368541</v>
      </c>
      <c r="L1161" s="3">
        <v>155423</v>
      </c>
    </row>
    <row r="1162" spans="1:12" x14ac:dyDescent="0.25">
      <c r="A1162" t="s">
        <v>30</v>
      </c>
      <c r="B1162" t="s">
        <v>30</v>
      </c>
      <c r="C1162" t="s">
        <v>31</v>
      </c>
      <c r="D1162" t="s">
        <v>15</v>
      </c>
      <c r="E1162" s="2">
        <v>45536</v>
      </c>
      <c r="F1162" s="3">
        <v>561769</v>
      </c>
      <c r="G1162" s="3">
        <v>442505</v>
      </c>
      <c r="H1162" s="3">
        <v>119264</v>
      </c>
      <c r="I1162" s="3">
        <v>16097</v>
      </c>
      <c r="J1162" s="4">
        <v>439.67</v>
      </c>
      <c r="K1162" s="3">
        <v>379340</v>
      </c>
      <c r="L1162" s="3">
        <v>182429</v>
      </c>
    </row>
    <row r="1163" spans="1:12" x14ac:dyDescent="0.25">
      <c r="A1163" t="s">
        <v>30</v>
      </c>
      <c r="B1163" t="s">
        <v>30</v>
      </c>
      <c r="C1163" t="s">
        <v>31</v>
      </c>
      <c r="D1163" t="s">
        <v>15</v>
      </c>
      <c r="E1163" s="2">
        <v>45566</v>
      </c>
      <c r="F1163" s="3">
        <v>583635</v>
      </c>
      <c r="G1163" s="3">
        <v>457466</v>
      </c>
      <c r="H1163" s="3">
        <v>126169</v>
      </c>
      <c r="I1163" s="3">
        <v>17950</v>
      </c>
      <c r="J1163" s="4">
        <v>441.03</v>
      </c>
      <c r="K1163" s="3">
        <v>400247</v>
      </c>
      <c r="L1163" s="3">
        <v>183388</v>
      </c>
    </row>
    <row r="1164" spans="1:12" x14ac:dyDescent="0.25">
      <c r="A1164" t="s">
        <v>30</v>
      </c>
      <c r="B1164" t="s">
        <v>30</v>
      </c>
      <c r="C1164" t="s">
        <v>31</v>
      </c>
      <c r="D1164" t="s">
        <v>15</v>
      </c>
      <c r="E1164" s="2">
        <v>45597</v>
      </c>
      <c r="F1164" s="3">
        <v>576299</v>
      </c>
      <c r="G1164" s="3">
        <v>442214</v>
      </c>
      <c r="H1164" s="3">
        <v>134085</v>
      </c>
      <c r="I1164" s="3">
        <v>16499</v>
      </c>
      <c r="J1164" s="4">
        <v>424.24</v>
      </c>
      <c r="K1164" s="3">
        <v>391730</v>
      </c>
      <c r="L1164" s="3">
        <v>184569</v>
      </c>
    </row>
    <row r="1165" spans="1:12" x14ac:dyDescent="0.25">
      <c r="A1165" t="s">
        <v>30</v>
      </c>
      <c r="B1165" t="s">
        <v>30</v>
      </c>
      <c r="C1165" t="s">
        <v>31</v>
      </c>
      <c r="D1165" t="s">
        <v>15</v>
      </c>
      <c r="E1165" s="2">
        <v>45627</v>
      </c>
      <c r="F1165" s="3">
        <v>585193</v>
      </c>
      <c r="G1165" s="3">
        <v>447004</v>
      </c>
      <c r="H1165" s="3">
        <v>138189</v>
      </c>
      <c r="I1165" s="3">
        <v>17946</v>
      </c>
      <c r="J1165" s="4">
        <v>423.23</v>
      </c>
      <c r="K1165" s="3">
        <v>394099</v>
      </c>
      <c r="L1165" s="3">
        <v>191094</v>
      </c>
    </row>
    <row r="1166" spans="1:12" x14ac:dyDescent="0.25">
      <c r="A1166" t="s">
        <v>30</v>
      </c>
      <c r="B1166" t="s">
        <v>30</v>
      </c>
      <c r="C1166" t="s">
        <v>31</v>
      </c>
      <c r="D1166" t="s">
        <v>15</v>
      </c>
      <c r="E1166" s="2">
        <v>45658</v>
      </c>
      <c r="F1166" s="3">
        <v>562757</v>
      </c>
      <c r="G1166" s="3">
        <v>436357</v>
      </c>
      <c r="H1166" s="3">
        <v>126400</v>
      </c>
      <c r="I1166" s="3">
        <v>16752</v>
      </c>
      <c r="J1166" s="4">
        <v>425.09</v>
      </c>
      <c r="K1166" s="3">
        <v>387950</v>
      </c>
      <c r="L1166" s="3">
        <v>174807</v>
      </c>
    </row>
    <row r="1167" spans="1:12" x14ac:dyDescent="0.25">
      <c r="A1167" t="s">
        <v>30</v>
      </c>
      <c r="B1167" t="s">
        <v>30</v>
      </c>
      <c r="C1167" t="s">
        <v>31</v>
      </c>
      <c r="D1167" t="s">
        <v>15</v>
      </c>
      <c r="E1167" s="2">
        <v>45689</v>
      </c>
      <c r="F1167" s="3">
        <v>491895</v>
      </c>
      <c r="G1167" s="3">
        <v>382660</v>
      </c>
      <c r="H1167" s="3">
        <v>109235</v>
      </c>
      <c r="I1167" s="3">
        <v>15142</v>
      </c>
      <c r="J1167" s="4">
        <v>418.05</v>
      </c>
      <c r="K1167" s="3">
        <v>340245</v>
      </c>
      <c r="L1167" s="3">
        <v>151650</v>
      </c>
    </row>
    <row r="1168" spans="1:12" x14ac:dyDescent="0.25">
      <c r="A1168" t="s">
        <v>30</v>
      </c>
      <c r="B1168" t="s">
        <v>30</v>
      </c>
      <c r="C1168" t="s">
        <v>31</v>
      </c>
      <c r="D1168" t="s">
        <v>15</v>
      </c>
      <c r="E1168" s="2">
        <v>45717</v>
      </c>
      <c r="F1168" s="3">
        <v>506811</v>
      </c>
      <c r="G1168" s="3">
        <v>392824</v>
      </c>
      <c r="H1168" s="3">
        <v>113987</v>
      </c>
      <c r="I1168" s="3">
        <v>14994</v>
      </c>
      <c r="J1168" s="4">
        <v>407.14</v>
      </c>
      <c r="K1168" s="3">
        <v>356733</v>
      </c>
      <c r="L1168" s="3">
        <v>150078</v>
      </c>
    </row>
    <row r="1169" spans="1:12" x14ac:dyDescent="0.25">
      <c r="A1169" t="s">
        <v>30</v>
      </c>
      <c r="B1169" t="s">
        <v>30</v>
      </c>
      <c r="C1169" t="s">
        <v>31</v>
      </c>
      <c r="D1169" t="s">
        <v>15</v>
      </c>
      <c r="E1169" s="2">
        <v>45748</v>
      </c>
      <c r="F1169" s="3">
        <v>514086</v>
      </c>
      <c r="G1169" s="3">
        <v>398213</v>
      </c>
      <c r="H1169" s="3">
        <v>115873</v>
      </c>
      <c r="I1169" s="3">
        <v>15601</v>
      </c>
      <c r="J1169" s="4">
        <v>441.68</v>
      </c>
      <c r="K1169" s="3">
        <v>357688</v>
      </c>
      <c r="L1169" s="3">
        <v>156398</v>
      </c>
    </row>
    <row r="1170" spans="1:12" x14ac:dyDescent="0.25">
      <c r="A1170" t="s">
        <v>30</v>
      </c>
      <c r="B1170" t="s">
        <v>30</v>
      </c>
      <c r="C1170" t="s">
        <v>31</v>
      </c>
      <c r="D1170" t="s">
        <v>15</v>
      </c>
      <c r="E1170" s="2">
        <v>45778</v>
      </c>
      <c r="F1170" s="3">
        <v>524520</v>
      </c>
      <c r="G1170" s="3">
        <v>404070</v>
      </c>
      <c r="H1170" s="3">
        <v>120450</v>
      </c>
      <c r="I1170" s="3">
        <v>15797</v>
      </c>
      <c r="J1170" s="4">
        <v>418.54</v>
      </c>
      <c r="K1170" s="3">
        <v>360922</v>
      </c>
      <c r="L1170" s="3">
        <v>163598</v>
      </c>
    </row>
    <row r="1171" spans="1:12" x14ac:dyDescent="0.25">
      <c r="A1171" t="s">
        <v>30</v>
      </c>
      <c r="B1171" t="s">
        <v>30</v>
      </c>
      <c r="C1171" t="s">
        <v>31</v>
      </c>
      <c r="D1171" t="s">
        <v>15</v>
      </c>
      <c r="E1171" s="2">
        <v>45809</v>
      </c>
      <c r="F1171" s="3">
        <v>536982</v>
      </c>
      <c r="G1171" s="3">
        <v>412624</v>
      </c>
      <c r="H1171" s="3">
        <v>124358</v>
      </c>
      <c r="I1171" s="3">
        <v>16159</v>
      </c>
      <c r="J1171" s="4">
        <v>404.28</v>
      </c>
      <c r="K1171" s="3">
        <v>374166</v>
      </c>
      <c r="L1171" s="3">
        <v>162816</v>
      </c>
    </row>
    <row r="1172" spans="1:12" x14ac:dyDescent="0.25">
      <c r="A1172" t="s">
        <v>30</v>
      </c>
      <c r="B1172" t="s">
        <v>30</v>
      </c>
      <c r="C1172" t="s">
        <v>31</v>
      </c>
      <c r="D1172" t="s">
        <v>15</v>
      </c>
      <c r="E1172" s="2">
        <v>45839</v>
      </c>
      <c r="F1172" s="3">
        <v>573682</v>
      </c>
      <c r="G1172" s="3">
        <v>446997</v>
      </c>
      <c r="H1172" s="3">
        <v>126685</v>
      </c>
      <c r="I1172" s="3">
        <v>16358</v>
      </c>
      <c r="J1172" s="4">
        <v>411.94</v>
      </c>
      <c r="K1172" s="3">
        <v>402247</v>
      </c>
      <c r="L1172" s="3">
        <v>171435</v>
      </c>
    </row>
    <row r="1173" spans="1:12" x14ac:dyDescent="0.25">
      <c r="A1173" t="s">
        <v>30</v>
      </c>
      <c r="B1173" t="s">
        <v>30</v>
      </c>
      <c r="C1173" t="s">
        <v>31</v>
      </c>
      <c r="D1173" t="s">
        <v>15</v>
      </c>
      <c r="E1173" s="2">
        <v>45870</v>
      </c>
      <c r="F1173" s="3">
        <v>565015</v>
      </c>
      <c r="G1173" s="3">
        <v>435478</v>
      </c>
      <c r="H1173" s="3">
        <v>129537</v>
      </c>
      <c r="I1173" s="3">
        <v>16644</v>
      </c>
      <c r="J1173" s="4">
        <v>439.91</v>
      </c>
      <c r="K1173" s="3">
        <v>382805</v>
      </c>
      <c r="L1173" s="3">
        <v>182210</v>
      </c>
    </row>
    <row r="1174" spans="1:12" x14ac:dyDescent="0.25">
      <c r="A1174" t="s">
        <v>30</v>
      </c>
      <c r="B1174" t="s">
        <v>30</v>
      </c>
      <c r="C1174" t="s">
        <v>31</v>
      </c>
      <c r="D1174" t="s">
        <v>15</v>
      </c>
      <c r="E1174" s="2">
        <v>45901</v>
      </c>
      <c r="F1174" s="3">
        <v>572468</v>
      </c>
      <c r="G1174" s="3">
        <v>444465</v>
      </c>
      <c r="H1174" s="3">
        <v>128003</v>
      </c>
      <c r="I1174" s="3">
        <v>16456</v>
      </c>
      <c r="J1174" s="4">
        <v>424.11</v>
      </c>
      <c r="K1174" s="3">
        <v>388079</v>
      </c>
      <c r="L1174" s="3">
        <v>184389</v>
      </c>
    </row>
    <row r="1175" spans="1:12" x14ac:dyDescent="0.25">
      <c r="A1175" t="s">
        <v>30</v>
      </c>
      <c r="B1175" t="s">
        <v>30</v>
      </c>
      <c r="C1175" t="s">
        <v>31</v>
      </c>
      <c r="D1175" t="s">
        <v>15</v>
      </c>
      <c r="E1175" s="2">
        <v>45931</v>
      </c>
      <c r="F1175" s="3">
        <v>604077</v>
      </c>
      <c r="G1175" s="3">
        <v>465617</v>
      </c>
      <c r="H1175" s="3">
        <v>138460</v>
      </c>
      <c r="I1175" s="3">
        <v>16958</v>
      </c>
      <c r="J1175" s="4">
        <v>443.08</v>
      </c>
      <c r="K1175" s="3">
        <v>419835</v>
      </c>
      <c r="L1175" s="3">
        <v>184242</v>
      </c>
    </row>
    <row r="1176" spans="1:12" x14ac:dyDescent="0.25">
      <c r="A1176" t="s">
        <v>30</v>
      </c>
      <c r="B1176" t="s">
        <v>30</v>
      </c>
      <c r="C1176" t="s">
        <v>31</v>
      </c>
      <c r="D1176" t="s">
        <v>15</v>
      </c>
      <c r="E1176" s="2">
        <v>45962</v>
      </c>
      <c r="F1176" s="3">
        <v>571164</v>
      </c>
      <c r="G1176" s="3">
        <v>436186</v>
      </c>
      <c r="H1176" s="3">
        <v>134978</v>
      </c>
      <c r="I1176" s="3">
        <v>16447</v>
      </c>
      <c r="J1176" s="4">
        <v>407.38</v>
      </c>
      <c r="K1176" s="3">
        <v>389452</v>
      </c>
      <c r="L1176" s="3">
        <v>181712</v>
      </c>
    </row>
    <row r="1177" spans="1:12" x14ac:dyDescent="0.25">
      <c r="A1177" t="s">
        <v>30</v>
      </c>
      <c r="B1177" t="s">
        <v>30</v>
      </c>
      <c r="C1177" t="s">
        <v>31</v>
      </c>
      <c r="D1177" t="s">
        <v>15</v>
      </c>
      <c r="E1177" s="2">
        <v>45992</v>
      </c>
      <c r="F1177" s="3">
        <v>552950</v>
      </c>
      <c r="G1177" s="3">
        <v>432708</v>
      </c>
      <c r="H1177" s="3">
        <v>120242</v>
      </c>
      <c r="I1177" s="3">
        <v>15966</v>
      </c>
      <c r="J1177" s="4">
        <v>425.9</v>
      </c>
      <c r="K1177" s="3">
        <v>373049</v>
      </c>
      <c r="L1177" s="3">
        <v>179901</v>
      </c>
    </row>
    <row r="1178" spans="1:12" x14ac:dyDescent="0.25">
      <c r="A1178" t="s">
        <v>30</v>
      </c>
      <c r="B1178" t="s">
        <v>30</v>
      </c>
      <c r="C1178" t="s">
        <v>31</v>
      </c>
      <c r="D1178" t="s">
        <v>16</v>
      </c>
      <c r="E1178" s="2">
        <v>45292</v>
      </c>
      <c r="F1178" s="3">
        <v>197254</v>
      </c>
      <c r="G1178" s="3">
        <v>129174</v>
      </c>
      <c r="H1178" s="3">
        <v>68080</v>
      </c>
      <c r="I1178" s="3">
        <v>3522</v>
      </c>
      <c r="J1178" s="4">
        <v>721.09</v>
      </c>
      <c r="K1178" s="3">
        <v>134754</v>
      </c>
      <c r="L1178" s="3">
        <v>62500</v>
      </c>
    </row>
    <row r="1179" spans="1:12" x14ac:dyDescent="0.25">
      <c r="A1179" t="s">
        <v>30</v>
      </c>
      <c r="B1179" t="s">
        <v>30</v>
      </c>
      <c r="C1179" t="s">
        <v>31</v>
      </c>
      <c r="D1179" t="s">
        <v>16</v>
      </c>
      <c r="E1179" s="2">
        <v>45323</v>
      </c>
      <c r="F1179" s="3">
        <v>181180</v>
      </c>
      <c r="G1179" s="3">
        <v>116530</v>
      </c>
      <c r="H1179" s="3">
        <v>64650</v>
      </c>
      <c r="I1179" s="3">
        <v>3095</v>
      </c>
      <c r="J1179" s="4">
        <v>695.46</v>
      </c>
      <c r="K1179" s="3">
        <v>127633</v>
      </c>
      <c r="L1179" s="3">
        <v>53547</v>
      </c>
    </row>
    <row r="1180" spans="1:12" x14ac:dyDescent="0.25">
      <c r="A1180" t="s">
        <v>30</v>
      </c>
      <c r="B1180" t="s">
        <v>30</v>
      </c>
      <c r="C1180" t="s">
        <v>31</v>
      </c>
      <c r="D1180" t="s">
        <v>16</v>
      </c>
      <c r="E1180" s="2">
        <v>45352</v>
      </c>
      <c r="F1180" s="3">
        <v>194638</v>
      </c>
      <c r="G1180" s="3">
        <v>125571</v>
      </c>
      <c r="H1180" s="3">
        <v>69067</v>
      </c>
      <c r="I1180" s="3">
        <v>3347</v>
      </c>
      <c r="J1180" s="4">
        <v>701.52</v>
      </c>
      <c r="K1180" s="3">
        <v>135694</v>
      </c>
      <c r="L1180" s="3">
        <v>58944</v>
      </c>
    </row>
    <row r="1181" spans="1:12" x14ac:dyDescent="0.25">
      <c r="A1181" t="s">
        <v>30</v>
      </c>
      <c r="B1181" t="s">
        <v>30</v>
      </c>
      <c r="C1181" t="s">
        <v>31</v>
      </c>
      <c r="D1181" t="s">
        <v>16</v>
      </c>
      <c r="E1181" s="2">
        <v>45383</v>
      </c>
      <c r="F1181" s="3">
        <v>188021</v>
      </c>
      <c r="G1181" s="3">
        <v>124961</v>
      </c>
      <c r="H1181" s="3">
        <v>63060</v>
      </c>
      <c r="I1181" s="3">
        <v>3113</v>
      </c>
      <c r="J1181" s="4">
        <v>700.18</v>
      </c>
      <c r="K1181" s="3">
        <v>131750</v>
      </c>
      <c r="L1181" s="3">
        <v>56271</v>
      </c>
    </row>
    <row r="1182" spans="1:12" x14ac:dyDescent="0.25">
      <c r="A1182" t="s">
        <v>30</v>
      </c>
      <c r="B1182" t="s">
        <v>30</v>
      </c>
      <c r="C1182" t="s">
        <v>31</v>
      </c>
      <c r="D1182" t="s">
        <v>16</v>
      </c>
      <c r="E1182" s="2">
        <v>45413</v>
      </c>
      <c r="F1182" s="3">
        <v>181053</v>
      </c>
      <c r="G1182" s="3">
        <v>120001</v>
      </c>
      <c r="H1182" s="3">
        <v>61052</v>
      </c>
      <c r="I1182" s="3">
        <v>3145</v>
      </c>
      <c r="J1182" s="4">
        <v>713.79</v>
      </c>
      <c r="K1182" s="3">
        <v>124789</v>
      </c>
      <c r="L1182" s="3">
        <v>56264</v>
      </c>
    </row>
    <row r="1183" spans="1:12" x14ac:dyDescent="0.25">
      <c r="A1183" t="s">
        <v>30</v>
      </c>
      <c r="B1183" t="s">
        <v>30</v>
      </c>
      <c r="C1183" t="s">
        <v>31</v>
      </c>
      <c r="D1183" t="s">
        <v>16</v>
      </c>
      <c r="E1183" s="2">
        <v>45444</v>
      </c>
      <c r="F1183" s="3">
        <v>187859</v>
      </c>
      <c r="G1183" s="3">
        <v>120321</v>
      </c>
      <c r="H1183" s="3">
        <v>67538</v>
      </c>
      <c r="I1183" s="3">
        <v>3389</v>
      </c>
      <c r="J1183" s="4">
        <v>672.64</v>
      </c>
      <c r="K1183" s="3">
        <v>131327</v>
      </c>
      <c r="L1183" s="3">
        <v>56532</v>
      </c>
    </row>
    <row r="1184" spans="1:12" x14ac:dyDescent="0.25">
      <c r="A1184" t="s">
        <v>30</v>
      </c>
      <c r="B1184" t="s">
        <v>30</v>
      </c>
      <c r="C1184" t="s">
        <v>31</v>
      </c>
      <c r="D1184" t="s">
        <v>16</v>
      </c>
      <c r="E1184" s="2">
        <v>45474</v>
      </c>
      <c r="F1184" s="3">
        <v>211050</v>
      </c>
      <c r="G1184" s="3">
        <v>141156</v>
      </c>
      <c r="H1184" s="3">
        <v>69894</v>
      </c>
      <c r="I1184" s="3">
        <v>3556</v>
      </c>
      <c r="J1184" s="4">
        <v>697.42</v>
      </c>
      <c r="K1184" s="3">
        <v>145179</v>
      </c>
      <c r="L1184" s="3">
        <v>65871</v>
      </c>
    </row>
    <row r="1185" spans="1:12" x14ac:dyDescent="0.25">
      <c r="A1185" t="s">
        <v>30</v>
      </c>
      <c r="B1185" t="s">
        <v>30</v>
      </c>
      <c r="C1185" t="s">
        <v>31</v>
      </c>
      <c r="D1185" t="s">
        <v>16</v>
      </c>
      <c r="E1185" s="2">
        <v>45505</v>
      </c>
      <c r="F1185" s="3">
        <v>216915</v>
      </c>
      <c r="G1185" s="3">
        <v>144269</v>
      </c>
      <c r="H1185" s="3">
        <v>72646</v>
      </c>
      <c r="I1185" s="3">
        <v>3594</v>
      </c>
      <c r="J1185" s="4">
        <v>708.74</v>
      </c>
      <c r="K1185" s="3">
        <v>147378</v>
      </c>
      <c r="L1185" s="3">
        <v>69537</v>
      </c>
    </row>
    <row r="1186" spans="1:12" x14ac:dyDescent="0.25">
      <c r="A1186" t="s">
        <v>30</v>
      </c>
      <c r="B1186" t="s">
        <v>30</v>
      </c>
      <c r="C1186" t="s">
        <v>31</v>
      </c>
      <c r="D1186" t="s">
        <v>16</v>
      </c>
      <c r="E1186" s="2">
        <v>45536</v>
      </c>
      <c r="F1186" s="3">
        <v>231572</v>
      </c>
      <c r="G1186" s="3">
        <v>154223</v>
      </c>
      <c r="H1186" s="3">
        <v>77349</v>
      </c>
      <c r="I1186" s="3">
        <v>4115</v>
      </c>
      <c r="J1186" s="4">
        <v>660.85</v>
      </c>
      <c r="K1186" s="3">
        <v>159025</v>
      </c>
      <c r="L1186" s="3">
        <v>72547</v>
      </c>
    </row>
    <row r="1187" spans="1:12" x14ac:dyDescent="0.25">
      <c r="A1187" t="s">
        <v>30</v>
      </c>
      <c r="B1187" t="s">
        <v>30</v>
      </c>
      <c r="C1187" t="s">
        <v>31</v>
      </c>
      <c r="D1187" t="s">
        <v>16</v>
      </c>
      <c r="E1187" s="2">
        <v>45566</v>
      </c>
      <c r="F1187" s="3">
        <v>229831</v>
      </c>
      <c r="G1187" s="3">
        <v>153476</v>
      </c>
      <c r="H1187" s="3">
        <v>76355</v>
      </c>
      <c r="I1187" s="3">
        <v>3954</v>
      </c>
      <c r="J1187" s="4">
        <v>681.01</v>
      </c>
      <c r="K1187" s="3">
        <v>159126</v>
      </c>
      <c r="L1187" s="3">
        <v>70705</v>
      </c>
    </row>
    <row r="1188" spans="1:12" x14ac:dyDescent="0.25">
      <c r="A1188" t="s">
        <v>30</v>
      </c>
      <c r="B1188" t="s">
        <v>30</v>
      </c>
      <c r="C1188" t="s">
        <v>31</v>
      </c>
      <c r="D1188" t="s">
        <v>16</v>
      </c>
      <c r="E1188" s="2">
        <v>45597</v>
      </c>
      <c r="F1188" s="3">
        <v>249365</v>
      </c>
      <c r="G1188" s="3">
        <v>163713</v>
      </c>
      <c r="H1188" s="3">
        <v>85652</v>
      </c>
      <c r="I1188" s="3">
        <v>4183</v>
      </c>
      <c r="J1188" s="4">
        <v>728.27</v>
      </c>
      <c r="K1188" s="3">
        <v>171873</v>
      </c>
      <c r="L1188" s="3">
        <v>77492</v>
      </c>
    </row>
    <row r="1189" spans="1:12" x14ac:dyDescent="0.25">
      <c r="A1189" t="s">
        <v>30</v>
      </c>
      <c r="B1189" t="s">
        <v>30</v>
      </c>
      <c r="C1189" t="s">
        <v>31</v>
      </c>
      <c r="D1189" t="s">
        <v>16</v>
      </c>
      <c r="E1189" s="2">
        <v>45627</v>
      </c>
      <c r="F1189" s="3">
        <v>251572</v>
      </c>
      <c r="G1189" s="3">
        <v>161980</v>
      </c>
      <c r="H1189" s="3">
        <v>89592</v>
      </c>
      <c r="I1189" s="3">
        <v>4478</v>
      </c>
      <c r="J1189" s="4">
        <v>703.34</v>
      </c>
      <c r="K1189" s="3">
        <v>172611</v>
      </c>
      <c r="L1189" s="3">
        <v>78961</v>
      </c>
    </row>
    <row r="1190" spans="1:12" x14ac:dyDescent="0.25">
      <c r="A1190" t="s">
        <v>30</v>
      </c>
      <c r="B1190" t="s">
        <v>30</v>
      </c>
      <c r="C1190" t="s">
        <v>31</v>
      </c>
      <c r="D1190" t="s">
        <v>16</v>
      </c>
      <c r="E1190" s="2">
        <v>45658</v>
      </c>
      <c r="F1190" s="3">
        <v>237444</v>
      </c>
      <c r="G1190" s="3">
        <v>157689</v>
      </c>
      <c r="H1190" s="3">
        <v>79755</v>
      </c>
      <c r="I1190" s="3">
        <v>3936</v>
      </c>
      <c r="J1190" s="4">
        <v>707.35</v>
      </c>
      <c r="K1190" s="3">
        <v>164504</v>
      </c>
      <c r="L1190" s="3">
        <v>72940</v>
      </c>
    </row>
    <row r="1191" spans="1:12" x14ac:dyDescent="0.25">
      <c r="A1191" t="s">
        <v>30</v>
      </c>
      <c r="B1191" t="s">
        <v>30</v>
      </c>
      <c r="C1191" t="s">
        <v>31</v>
      </c>
      <c r="D1191" t="s">
        <v>16</v>
      </c>
      <c r="E1191" s="2">
        <v>45689</v>
      </c>
      <c r="F1191" s="3">
        <v>220147</v>
      </c>
      <c r="G1191" s="3">
        <v>141106</v>
      </c>
      <c r="H1191" s="3">
        <v>79041</v>
      </c>
      <c r="I1191" s="3">
        <v>3671</v>
      </c>
      <c r="J1191" s="4">
        <v>712.09</v>
      </c>
      <c r="K1191" s="3">
        <v>152024</v>
      </c>
      <c r="L1191" s="3">
        <v>68123</v>
      </c>
    </row>
    <row r="1192" spans="1:12" x14ac:dyDescent="0.25">
      <c r="A1192" t="s">
        <v>30</v>
      </c>
      <c r="B1192" t="s">
        <v>30</v>
      </c>
      <c r="C1192" t="s">
        <v>31</v>
      </c>
      <c r="D1192" t="s">
        <v>16</v>
      </c>
      <c r="E1192" s="2">
        <v>45717</v>
      </c>
      <c r="F1192" s="3">
        <v>211199</v>
      </c>
      <c r="G1192" s="3">
        <v>139563</v>
      </c>
      <c r="H1192" s="3">
        <v>71636</v>
      </c>
      <c r="I1192" s="3">
        <v>3522</v>
      </c>
      <c r="J1192" s="4">
        <v>695.63</v>
      </c>
      <c r="K1192" s="3">
        <v>144648</v>
      </c>
      <c r="L1192" s="3">
        <v>66551</v>
      </c>
    </row>
    <row r="1193" spans="1:12" x14ac:dyDescent="0.25">
      <c r="A1193" t="s">
        <v>30</v>
      </c>
      <c r="B1193" t="s">
        <v>30</v>
      </c>
      <c r="C1193" t="s">
        <v>31</v>
      </c>
      <c r="D1193" t="s">
        <v>16</v>
      </c>
      <c r="E1193" s="2">
        <v>45748</v>
      </c>
      <c r="F1193" s="3">
        <v>221339</v>
      </c>
      <c r="G1193" s="3">
        <v>145094</v>
      </c>
      <c r="H1193" s="3">
        <v>76245</v>
      </c>
      <c r="I1193" s="3">
        <v>3903</v>
      </c>
      <c r="J1193" s="4">
        <v>717.35</v>
      </c>
      <c r="K1193" s="3">
        <v>149203</v>
      </c>
      <c r="L1193" s="3">
        <v>72136</v>
      </c>
    </row>
    <row r="1194" spans="1:12" x14ac:dyDescent="0.25">
      <c r="A1194" t="s">
        <v>30</v>
      </c>
      <c r="B1194" t="s">
        <v>30</v>
      </c>
      <c r="C1194" t="s">
        <v>31</v>
      </c>
      <c r="D1194" t="s">
        <v>16</v>
      </c>
      <c r="E1194" s="2">
        <v>45778</v>
      </c>
      <c r="F1194" s="3">
        <v>214247</v>
      </c>
      <c r="G1194" s="3">
        <v>141431</v>
      </c>
      <c r="H1194" s="3">
        <v>72816</v>
      </c>
      <c r="I1194" s="3">
        <v>3632</v>
      </c>
      <c r="J1194" s="4">
        <v>691.25</v>
      </c>
      <c r="K1194" s="3">
        <v>144320</v>
      </c>
      <c r="L1194" s="3">
        <v>69927</v>
      </c>
    </row>
    <row r="1195" spans="1:12" x14ac:dyDescent="0.25">
      <c r="A1195" t="s">
        <v>30</v>
      </c>
      <c r="B1195" t="s">
        <v>30</v>
      </c>
      <c r="C1195" t="s">
        <v>31</v>
      </c>
      <c r="D1195" t="s">
        <v>16</v>
      </c>
      <c r="E1195" s="2">
        <v>45809</v>
      </c>
      <c r="F1195" s="3">
        <v>232957</v>
      </c>
      <c r="G1195" s="3">
        <v>153406</v>
      </c>
      <c r="H1195" s="3">
        <v>79551</v>
      </c>
      <c r="I1195" s="3">
        <v>3871</v>
      </c>
      <c r="J1195" s="4">
        <v>712.04</v>
      </c>
      <c r="K1195" s="3">
        <v>159154</v>
      </c>
      <c r="L1195" s="3">
        <v>73803</v>
      </c>
    </row>
    <row r="1196" spans="1:12" x14ac:dyDescent="0.25">
      <c r="A1196" t="s">
        <v>30</v>
      </c>
      <c r="B1196" t="s">
        <v>30</v>
      </c>
      <c r="C1196" t="s">
        <v>31</v>
      </c>
      <c r="D1196" t="s">
        <v>16</v>
      </c>
      <c r="E1196" s="2">
        <v>45839</v>
      </c>
      <c r="F1196" s="3">
        <v>234467</v>
      </c>
      <c r="G1196" s="3">
        <v>151287</v>
      </c>
      <c r="H1196" s="3">
        <v>83180</v>
      </c>
      <c r="I1196" s="3">
        <v>3992</v>
      </c>
      <c r="J1196" s="4">
        <v>699.65</v>
      </c>
      <c r="K1196" s="3">
        <v>162895</v>
      </c>
      <c r="L1196" s="3">
        <v>71572</v>
      </c>
    </row>
    <row r="1197" spans="1:12" x14ac:dyDescent="0.25">
      <c r="A1197" t="s">
        <v>30</v>
      </c>
      <c r="B1197" t="s">
        <v>30</v>
      </c>
      <c r="C1197" t="s">
        <v>31</v>
      </c>
      <c r="D1197" t="s">
        <v>16</v>
      </c>
      <c r="E1197" s="2">
        <v>45870</v>
      </c>
      <c r="F1197" s="3">
        <v>262552</v>
      </c>
      <c r="G1197" s="3">
        <v>170163</v>
      </c>
      <c r="H1197" s="3">
        <v>92389</v>
      </c>
      <c r="I1197" s="3">
        <v>4386</v>
      </c>
      <c r="J1197" s="4">
        <v>674.88</v>
      </c>
      <c r="K1197" s="3">
        <v>184171</v>
      </c>
      <c r="L1197" s="3">
        <v>78381</v>
      </c>
    </row>
    <row r="1198" spans="1:12" x14ac:dyDescent="0.25">
      <c r="A1198" t="s">
        <v>30</v>
      </c>
      <c r="B1198" t="s">
        <v>30</v>
      </c>
      <c r="C1198" t="s">
        <v>31</v>
      </c>
      <c r="D1198" t="s">
        <v>16</v>
      </c>
      <c r="E1198" s="2">
        <v>45901</v>
      </c>
      <c r="F1198" s="3">
        <v>270303</v>
      </c>
      <c r="G1198" s="3">
        <v>176017</v>
      </c>
      <c r="H1198" s="3">
        <v>94286</v>
      </c>
      <c r="I1198" s="3">
        <v>4773</v>
      </c>
      <c r="J1198" s="4">
        <v>695.34</v>
      </c>
      <c r="K1198" s="3">
        <v>183545</v>
      </c>
      <c r="L1198" s="3">
        <v>86758</v>
      </c>
    </row>
    <row r="1199" spans="1:12" x14ac:dyDescent="0.25">
      <c r="A1199" t="s">
        <v>30</v>
      </c>
      <c r="B1199" t="s">
        <v>30</v>
      </c>
      <c r="C1199" t="s">
        <v>31</v>
      </c>
      <c r="D1199" t="s">
        <v>16</v>
      </c>
      <c r="E1199" s="2">
        <v>45931</v>
      </c>
      <c r="F1199" s="3">
        <v>290565</v>
      </c>
      <c r="G1199" s="3">
        <v>192504</v>
      </c>
      <c r="H1199" s="3">
        <v>98061</v>
      </c>
      <c r="I1199" s="3">
        <v>5245</v>
      </c>
      <c r="J1199" s="4">
        <v>659.48</v>
      </c>
      <c r="K1199" s="3">
        <v>203217</v>
      </c>
      <c r="L1199" s="3">
        <v>87348</v>
      </c>
    </row>
    <row r="1200" spans="1:12" x14ac:dyDescent="0.25">
      <c r="A1200" t="s">
        <v>30</v>
      </c>
      <c r="B1200" t="s">
        <v>30</v>
      </c>
      <c r="C1200" t="s">
        <v>31</v>
      </c>
      <c r="D1200" t="s">
        <v>16</v>
      </c>
      <c r="E1200" s="2">
        <v>45962</v>
      </c>
      <c r="F1200" s="3">
        <v>275475</v>
      </c>
      <c r="G1200" s="3">
        <v>183230</v>
      </c>
      <c r="H1200" s="3">
        <v>92245</v>
      </c>
      <c r="I1200" s="3">
        <v>4625</v>
      </c>
      <c r="J1200" s="4">
        <v>703.27</v>
      </c>
      <c r="K1200" s="3">
        <v>193011</v>
      </c>
      <c r="L1200" s="3">
        <v>82464</v>
      </c>
    </row>
    <row r="1201" spans="1:12" x14ac:dyDescent="0.25">
      <c r="A1201" t="s">
        <v>30</v>
      </c>
      <c r="B1201" t="s">
        <v>30</v>
      </c>
      <c r="C1201" t="s">
        <v>31</v>
      </c>
      <c r="D1201" t="s">
        <v>16</v>
      </c>
      <c r="E1201" s="2">
        <v>45992</v>
      </c>
      <c r="F1201" s="3">
        <v>270632</v>
      </c>
      <c r="G1201" s="3">
        <v>174166</v>
      </c>
      <c r="H1201" s="3">
        <v>96466</v>
      </c>
      <c r="I1201" s="3">
        <v>4584</v>
      </c>
      <c r="J1201" s="4">
        <v>699.63</v>
      </c>
      <c r="K1201" s="3">
        <v>189302</v>
      </c>
      <c r="L1201" s="3">
        <v>81330</v>
      </c>
    </row>
    <row r="1202" spans="1:12" x14ac:dyDescent="0.25">
      <c r="A1202" t="s">
        <v>30</v>
      </c>
      <c r="B1202" t="s">
        <v>30</v>
      </c>
      <c r="C1202" t="s">
        <v>31</v>
      </c>
      <c r="D1202" t="s">
        <v>17</v>
      </c>
      <c r="E1202" s="2">
        <v>45292</v>
      </c>
      <c r="F1202" s="3">
        <v>135666</v>
      </c>
      <c r="G1202" s="3">
        <v>84534</v>
      </c>
      <c r="H1202" s="3">
        <v>51132</v>
      </c>
      <c r="I1202" s="3">
        <v>855</v>
      </c>
      <c r="J1202" s="4">
        <v>378.22</v>
      </c>
      <c r="K1202" s="3">
        <v>91993</v>
      </c>
      <c r="L1202" s="3">
        <v>43673</v>
      </c>
    </row>
    <row r="1203" spans="1:12" x14ac:dyDescent="0.25">
      <c r="A1203" t="s">
        <v>30</v>
      </c>
      <c r="B1203" t="s">
        <v>30</v>
      </c>
      <c r="C1203" t="s">
        <v>31</v>
      </c>
      <c r="D1203" t="s">
        <v>17</v>
      </c>
      <c r="E1203" s="2">
        <v>45323</v>
      </c>
      <c r="F1203" s="3">
        <v>129345</v>
      </c>
      <c r="G1203" s="3">
        <v>80513</v>
      </c>
      <c r="H1203" s="3">
        <v>48832</v>
      </c>
      <c r="I1203" s="3">
        <v>814</v>
      </c>
      <c r="J1203" s="4">
        <v>378.53</v>
      </c>
      <c r="K1203" s="3">
        <v>89713</v>
      </c>
      <c r="L1203" s="3">
        <v>39632</v>
      </c>
    </row>
    <row r="1204" spans="1:12" x14ac:dyDescent="0.25">
      <c r="A1204" t="s">
        <v>30</v>
      </c>
      <c r="B1204" t="s">
        <v>30</v>
      </c>
      <c r="C1204" t="s">
        <v>31</v>
      </c>
      <c r="D1204" t="s">
        <v>17</v>
      </c>
      <c r="E1204" s="2">
        <v>45352</v>
      </c>
      <c r="F1204" s="3">
        <v>131631</v>
      </c>
      <c r="G1204" s="3">
        <v>82788</v>
      </c>
      <c r="H1204" s="3">
        <v>48843</v>
      </c>
      <c r="I1204" s="3">
        <v>764</v>
      </c>
      <c r="J1204" s="4">
        <v>367.32</v>
      </c>
      <c r="K1204" s="3">
        <v>89927</v>
      </c>
      <c r="L1204" s="3">
        <v>41704</v>
      </c>
    </row>
    <row r="1205" spans="1:12" x14ac:dyDescent="0.25">
      <c r="A1205" t="s">
        <v>30</v>
      </c>
      <c r="B1205" t="s">
        <v>30</v>
      </c>
      <c r="C1205" t="s">
        <v>31</v>
      </c>
      <c r="D1205" t="s">
        <v>17</v>
      </c>
      <c r="E1205" s="2">
        <v>45383</v>
      </c>
      <c r="F1205" s="3">
        <v>127900</v>
      </c>
      <c r="G1205" s="3">
        <v>78117</v>
      </c>
      <c r="H1205" s="3">
        <v>49783</v>
      </c>
      <c r="I1205" s="3">
        <v>747</v>
      </c>
      <c r="J1205" s="4">
        <v>359.93</v>
      </c>
      <c r="K1205" s="3">
        <v>90097</v>
      </c>
      <c r="L1205" s="3">
        <v>37803</v>
      </c>
    </row>
    <row r="1206" spans="1:12" x14ac:dyDescent="0.25">
      <c r="A1206" t="s">
        <v>30</v>
      </c>
      <c r="B1206" t="s">
        <v>30</v>
      </c>
      <c r="C1206" t="s">
        <v>31</v>
      </c>
      <c r="D1206" t="s">
        <v>17</v>
      </c>
      <c r="E1206" s="2">
        <v>45413</v>
      </c>
      <c r="F1206" s="3">
        <v>133921</v>
      </c>
      <c r="G1206" s="3">
        <v>81129</v>
      </c>
      <c r="H1206" s="3">
        <v>52792</v>
      </c>
      <c r="I1206" s="3">
        <v>811</v>
      </c>
      <c r="J1206" s="4">
        <v>368.14</v>
      </c>
      <c r="K1206" s="3">
        <v>91956</v>
      </c>
      <c r="L1206" s="3">
        <v>41965</v>
      </c>
    </row>
    <row r="1207" spans="1:12" x14ac:dyDescent="0.25">
      <c r="A1207" t="s">
        <v>30</v>
      </c>
      <c r="B1207" t="s">
        <v>30</v>
      </c>
      <c r="C1207" t="s">
        <v>31</v>
      </c>
      <c r="D1207" t="s">
        <v>17</v>
      </c>
      <c r="E1207" s="2">
        <v>45444</v>
      </c>
      <c r="F1207" s="3">
        <v>135418</v>
      </c>
      <c r="G1207" s="3">
        <v>84009</v>
      </c>
      <c r="H1207" s="3">
        <v>51409</v>
      </c>
      <c r="I1207" s="3">
        <v>807</v>
      </c>
      <c r="J1207" s="4">
        <v>369.09</v>
      </c>
      <c r="K1207" s="3">
        <v>93896</v>
      </c>
      <c r="L1207" s="3">
        <v>41522</v>
      </c>
    </row>
    <row r="1208" spans="1:12" x14ac:dyDescent="0.25">
      <c r="A1208" t="s">
        <v>30</v>
      </c>
      <c r="B1208" t="s">
        <v>30</v>
      </c>
      <c r="C1208" t="s">
        <v>31</v>
      </c>
      <c r="D1208" t="s">
        <v>17</v>
      </c>
      <c r="E1208" s="2">
        <v>45474</v>
      </c>
      <c r="F1208" s="3">
        <v>155067</v>
      </c>
      <c r="G1208" s="3">
        <v>93722</v>
      </c>
      <c r="H1208" s="3">
        <v>61345</v>
      </c>
      <c r="I1208" s="3">
        <v>967</v>
      </c>
      <c r="J1208" s="4">
        <v>374.52</v>
      </c>
      <c r="K1208" s="3">
        <v>106228</v>
      </c>
      <c r="L1208" s="3">
        <v>48839</v>
      </c>
    </row>
    <row r="1209" spans="1:12" x14ac:dyDescent="0.25">
      <c r="A1209" t="s">
        <v>30</v>
      </c>
      <c r="B1209" t="s">
        <v>30</v>
      </c>
      <c r="C1209" t="s">
        <v>31</v>
      </c>
      <c r="D1209" t="s">
        <v>17</v>
      </c>
      <c r="E1209" s="2">
        <v>45505</v>
      </c>
      <c r="F1209" s="3">
        <v>158707</v>
      </c>
      <c r="G1209" s="3">
        <v>97968</v>
      </c>
      <c r="H1209" s="3">
        <v>60739</v>
      </c>
      <c r="I1209" s="3">
        <v>965</v>
      </c>
      <c r="J1209" s="4">
        <v>361.04</v>
      </c>
      <c r="K1209" s="3">
        <v>109065</v>
      </c>
      <c r="L1209" s="3">
        <v>49642</v>
      </c>
    </row>
    <row r="1210" spans="1:12" x14ac:dyDescent="0.25">
      <c r="A1210" t="s">
        <v>30</v>
      </c>
      <c r="B1210" t="s">
        <v>30</v>
      </c>
      <c r="C1210" t="s">
        <v>31</v>
      </c>
      <c r="D1210" t="s">
        <v>17</v>
      </c>
      <c r="E1210" s="2">
        <v>45536</v>
      </c>
      <c r="F1210" s="3">
        <v>156185</v>
      </c>
      <c r="G1210" s="3">
        <v>97090</v>
      </c>
      <c r="H1210" s="3">
        <v>59095</v>
      </c>
      <c r="I1210" s="3">
        <v>989</v>
      </c>
      <c r="J1210" s="4">
        <v>371.7</v>
      </c>
      <c r="K1210" s="3">
        <v>105477</v>
      </c>
      <c r="L1210" s="3">
        <v>50708</v>
      </c>
    </row>
    <row r="1211" spans="1:12" x14ac:dyDescent="0.25">
      <c r="A1211" t="s">
        <v>30</v>
      </c>
      <c r="B1211" t="s">
        <v>30</v>
      </c>
      <c r="C1211" t="s">
        <v>31</v>
      </c>
      <c r="D1211" t="s">
        <v>17</v>
      </c>
      <c r="E1211" s="2">
        <v>45566</v>
      </c>
      <c r="F1211" s="3">
        <v>171208</v>
      </c>
      <c r="G1211" s="3">
        <v>106223</v>
      </c>
      <c r="H1211" s="3">
        <v>64985</v>
      </c>
      <c r="I1211" s="3">
        <v>1071</v>
      </c>
      <c r="J1211" s="4">
        <v>348.27</v>
      </c>
      <c r="K1211" s="3">
        <v>118653</v>
      </c>
      <c r="L1211" s="3">
        <v>52555</v>
      </c>
    </row>
    <row r="1212" spans="1:12" x14ac:dyDescent="0.25">
      <c r="A1212" t="s">
        <v>30</v>
      </c>
      <c r="B1212" t="s">
        <v>30</v>
      </c>
      <c r="C1212" t="s">
        <v>31</v>
      </c>
      <c r="D1212" t="s">
        <v>17</v>
      </c>
      <c r="E1212" s="2">
        <v>45597</v>
      </c>
      <c r="F1212" s="3">
        <v>161396</v>
      </c>
      <c r="G1212" s="3">
        <v>98397</v>
      </c>
      <c r="H1212" s="3">
        <v>62999</v>
      </c>
      <c r="I1212" s="3">
        <v>939</v>
      </c>
      <c r="J1212" s="4">
        <v>352.76</v>
      </c>
      <c r="K1212" s="3">
        <v>109176</v>
      </c>
      <c r="L1212" s="3">
        <v>52220</v>
      </c>
    </row>
    <row r="1213" spans="1:12" x14ac:dyDescent="0.25">
      <c r="A1213" t="s">
        <v>30</v>
      </c>
      <c r="B1213" t="s">
        <v>30</v>
      </c>
      <c r="C1213" t="s">
        <v>31</v>
      </c>
      <c r="D1213" t="s">
        <v>17</v>
      </c>
      <c r="E1213" s="2">
        <v>45627</v>
      </c>
      <c r="F1213" s="3">
        <v>152735</v>
      </c>
      <c r="G1213" s="3">
        <v>91710</v>
      </c>
      <c r="H1213" s="3">
        <v>61025</v>
      </c>
      <c r="I1213" s="3">
        <v>958</v>
      </c>
      <c r="J1213" s="4">
        <v>379.16</v>
      </c>
      <c r="K1213" s="3">
        <v>104667</v>
      </c>
      <c r="L1213" s="3">
        <v>48068</v>
      </c>
    </row>
    <row r="1214" spans="1:12" x14ac:dyDescent="0.25">
      <c r="A1214" t="s">
        <v>30</v>
      </c>
      <c r="B1214" t="s">
        <v>30</v>
      </c>
      <c r="C1214" t="s">
        <v>31</v>
      </c>
      <c r="D1214" t="s">
        <v>17</v>
      </c>
      <c r="E1214" s="2">
        <v>45658</v>
      </c>
      <c r="F1214" s="3">
        <v>162689</v>
      </c>
      <c r="G1214" s="3">
        <v>98275</v>
      </c>
      <c r="H1214" s="3">
        <v>64414</v>
      </c>
      <c r="I1214" s="3">
        <v>974</v>
      </c>
      <c r="J1214" s="4">
        <v>356.02</v>
      </c>
      <c r="K1214" s="3">
        <v>112898</v>
      </c>
      <c r="L1214" s="3">
        <v>49791</v>
      </c>
    </row>
    <row r="1215" spans="1:12" x14ac:dyDescent="0.25">
      <c r="A1215" t="s">
        <v>30</v>
      </c>
      <c r="B1215" t="s">
        <v>30</v>
      </c>
      <c r="C1215" t="s">
        <v>31</v>
      </c>
      <c r="D1215" t="s">
        <v>17</v>
      </c>
      <c r="E1215" s="2">
        <v>45689</v>
      </c>
      <c r="F1215" s="3">
        <v>152750</v>
      </c>
      <c r="G1215" s="3">
        <v>93474</v>
      </c>
      <c r="H1215" s="3">
        <v>59276</v>
      </c>
      <c r="I1215" s="3">
        <v>937</v>
      </c>
      <c r="J1215" s="4">
        <v>375.59</v>
      </c>
      <c r="K1215" s="3">
        <v>106095</v>
      </c>
      <c r="L1215" s="3">
        <v>46655</v>
      </c>
    </row>
    <row r="1216" spans="1:12" x14ac:dyDescent="0.25">
      <c r="A1216" t="s">
        <v>30</v>
      </c>
      <c r="B1216" t="s">
        <v>30</v>
      </c>
      <c r="C1216" t="s">
        <v>31</v>
      </c>
      <c r="D1216" t="s">
        <v>17</v>
      </c>
      <c r="E1216" s="2">
        <v>45717</v>
      </c>
      <c r="F1216" s="3">
        <v>138119</v>
      </c>
      <c r="G1216" s="3">
        <v>83395</v>
      </c>
      <c r="H1216" s="3">
        <v>54724</v>
      </c>
      <c r="I1216" s="3">
        <v>855</v>
      </c>
      <c r="J1216" s="4">
        <v>375.97</v>
      </c>
      <c r="K1216" s="3">
        <v>96380</v>
      </c>
      <c r="L1216" s="3">
        <v>41739</v>
      </c>
    </row>
    <row r="1217" spans="1:12" x14ac:dyDescent="0.25">
      <c r="A1217" t="s">
        <v>30</v>
      </c>
      <c r="B1217" t="s">
        <v>30</v>
      </c>
      <c r="C1217" t="s">
        <v>31</v>
      </c>
      <c r="D1217" t="s">
        <v>17</v>
      </c>
      <c r="E1217" s="2">
        <v>45748</v>
      </c>
      <c r="F1217" s="3">
        <v>144046</v>
      </c>
      <c r="G1217" s="3">
        <v>87005</v>
      </c>
      <c r="H1217" s="3">
        <v>57041</v>
      </c>
      <c r="I1217" s="3">
        <v>842</v>
      </c>
      <c r="J1217" s="4">
        <v>364.47</v>
      </c>
      <c r="K1217" s="3">
        <v>98232</v>
      </c>
      <c r="L1217" s="3">
        <v>45814</v>
      </c>
    </row>
    <row r="1218" spans="1:12" x14ac:dyDescent="0.25">
      <c r="A1218" t="s">
        <v>30</v>
      </c>
      <c r="B1218" t="s">
        <v>30</v>
      </c>
      <c r="C1218" t="s">
        <v>31</v>
      </c>
      <c r="D1218" t="s">
        <v>17</v>
      </c>
      <c r="E1218" s="2">
        <v>45778</v>
      </c>
      <c r="F1218" s="3">
        <v>148932</v>
      </c>
      <c r="G1218" s="3">
        <v>93624</v>
      </c>
      <c r="H1218" s="3">
        <v>55308</v>
      </c>
      <c r="I1218" s="3">
        <v>898</v>
      </c>
      <c r="J1218" s="4">
        <v>365.53</v>
      </c>
      <c r="K1218" s="3">
        <v>104290</v>
      </c>
      <c r="L1218" s="3">
        <v>44642</v>
      </c>
    </row>
    <row r="1219" spans="1:12" x14ac:dyDescent="0.25">
      <c r="A1219" t="s">
        <v>30</v>
      </c>
      <c r="B1219" t="s">
        <v>30</v>
      </c>
      <c r="C1219" t="s">
        <v>31</v>
      </c>
      <c r="D1219" t="s">
        <v>17</v>
      </c>
      <c r="E1219" s="2">
        <v>45809</v>
      </c>
      <c r="F1219" s="3">
        <v>148527</v>
      </c>
      <c r="G1219" s="3">
        <v>90394</v>
      </c>
      <c r="H1219" s="3">
        <v>58133</v>
      </c>
      <c r="I1219" s="3">
        <v>901</v>
      </c>
      <c r="J1219" s="4">
        <v>374.28</v>
      </c>
      <c r="K1219" s="3">
        <v>102615</v>
      </c>
      <c r="L1219" s="3">
        <v>45912</v>
      </c>
    </row>
    <row r="1220" spans="1:12" x14ac:dyDescent="0.25">
      <c r="A1220" t="s">
        <v>30</v>
      </c>
      <c r="B1220" t="s">
        <v>30</v>
      </c>
      <c r="C1220" t="s">
        <v>31</v>
      </c>
      <c r="D1220" t="s">
        <v>17</v>
      </c>
      <c r="E1220" s="2">
        <v>45839</v>
      </c>
      <c r="F1220" s="3">
        <v>162408</v>
      </c>
      <c r="G1220" s="3">
        <v>98465</v>
      </c>
      <c r="H1220" s="3">
        <v>63943</v>
      </c>
      <c r="I1220" s="3">
        <v>988</v>
      </c>
      <c r="J1220" s="4">
        <v>353.99</v>
      </c>
      <c r="K1220" s="3">
        <v>110756</v>
      </c>
      <c r="L1220" s="3">
        <v>51652</v>
      </c>
    </row>
    <row r="1221" spans="1:12" x14ac:dyDescent="0.25">
      <c r="A1221" t="s">
        <v>30</v>
      </c>
      <c r="B1221" t="s">
        <v>30</v>
      </c>
      <c r="C1221" t="s">
        <v>31</v>
      </c>
      <c r="D1221" t="s">
        <v>17</v>
      </c>
      <c r="E1221" s="2">
        <v>45870</v>
      </c>
      <c r="F1221" s="3">
        <v>174336</v>
      </c>
      <c r="G1221" s="3">
        <v>106537</v>
      </c>
      <c r="H1221" s="3">
        <v>67799</v>
      </c>
      <c r="I1221" s="3">
        <v>1020</v>
      </c>
      <c r="J1221" s="4">
        <v>368.95</v>
      </c>
      <c r="K1221" s="3">
        <v>120085</v>
      </c>
      <c r="L1221" s="3">
        <v>54251</v>
      </c>
    </row>
    <row r="1222" spans="1:12" x14ac:dyDescent="0.25">
      <c r="A1222" t="s">
        <v>30</v>
      </c>
      <c r="B1222" t="s">
        <v>30</v>
      </c>
      <c r="C1222" t="s">
        <v>31</v>
      </c>
      <c r="D1222" t="s">
        <v>17</v>
      </c>
      <c r="E1222" s="2">
        <v>45901</v>
      </c>
      <c r="F1222" s="3">
        <v>173923</v>
      </c>
      <c r="G1222" s="3">
        <v>106718</v>
      </c>
      <c r="H1222" s="3">
        <v>67205</v>
      </c>
      <c r="I1222" s="3">
        <v>1044</v>
      </c>
      <c r="J1222" s="4">
        <v>363.33</v>
      </c>
      <c r="K1222" s="3">
        <v>119142</v>
      </c>
      <c r="L1222" s="3">
        <v>54781</v>
      </c>
    </row>
    <row r="1223" spans="1:12" x14ac:dyDescent="0.25">
      <c r="A1223" t="s">
        <v>30</v>
      </c>
      <c r="B1223" t="s">
        <v>30</v>
      </c>
      <c r="C1223" t="s">
        <v>31</v>
      </c>
      <c r="D1223" t="s">
        <v>17</v>
      </c>
      <c r="E1223" s="2">
        <v>45931</v>
      </c>
      <c r="F1223" s="3">
        <v>189062</v>
      </c>
      <c r="G1223" s="3">
        <v>113991</v>
      </c>
      <c r="H1223" s="3">
        <v>75071</v>
      </c>
      <c r="I1223" s="3">
        <v>1168</v>
      </c>
      <c r="J1223" s="4">
        <v>362.5</v>
      </c>
      <c r="K1223" s="3">
        <v>128865</v>
      </c>
      <c r="L1223" s="3">
        <v>60197</v>
      </c>
    </row>
    <row r="1224" spans="1:12" x14ac:dyDescent="0.25">
      <c r="A1224" t="s">
        <v>30</v>
      </c>
      <c r="B1224" t="s">
        <v>30</v>
      </c>
      <c r="C1224" t="s">
        <v>31</v>
      </c>
      <c r="D1224" t="s">
        <v>17</v>
      </c>
      <c r="E1224" s="2">
        <v>45962</v>
      </c>
      <c r="F1224" s="3">
        <v>171356</v>
      </c>
      <c r="G1224" s="3">
        <v>106332</v>
      </c>
      <c r="H1224" s="3">
        <v>65024</v>
      </c>
      <c r="I1224" s="3">
        <v>1004</v>
      </c>
      <c r="J1224" s="4">
        <v>343.9</v>
      </c>
      <c r="K1224" s="3">
        <v>116552</v>
      </c>
      <c r="L1224" s="3">
        <v>54804</v>
      </c>
    </row>
    <row r="1225" spans="1:12" x14ac:dyDescent="0.25">
      <c r="A1225" t="s">
        <v>30</v>
      </c>
      <c r="B1225" t="s">
        <v>30</v>
      </c>
      <c r="C1225" t="s">
        <v>31</v>
      </c>
      <c r="D1225" t="s">
        <v>17</v>
      </c>
      <c r="E1225" s="2">
        <v>45992</v>
      </c>
      <c r="F1225" s="3">
        <v>165988</v>
      </c>
      <c r="G1225" s="3">
        <v>102853</v>
      </c>
      <c r="H1225" s="3">
        <v>63135</v>
      </c>
      <c r="I1225" s="3">
        <v>977</v>
      </c>
      <c r="J1225" s="4">
        <v>379.18</v>
      </c>
      <c r="K1225" s="3">
        <v>115236</v>
      </c>
      <c r="L1225" s="3">
        <v>50752</v>
      </c>
    </row>
    <row r="1226" spans="1:12" x14ac:dyDescent="0.25">
      <c r="A1226" t="s">
        <v>30</v>
      </c>
      <c r="B1226" t="s">
        <v>30</v>
      </c>
      <c r="C1226" t="s">
        <v>31</v>
      </c>
      <c r="D1226" t="s">
        <v>18</v>
      </c>
      <c r="E1226" s="2">
        <v>45292</v>
      </c>
      <c r="F1226" s="3">
        <v>117578</v>
      </c>
      <c r="G1226" s="3">
        <v>73164</v>
      </c>
      <c r="H1226" s="3">
        <v>44414</v>
      </c>
      <c r="I1226" s="3">
        <v>4197</v>
      </c>
      <c r="J1226" s="4">
        <v>215.66</v>
      </c>
      <c r="K1226" s="3">
        <v>79306</v>
      </c>
      <c r="L1226" s="3">
        <v>38272</v>
      </c>
    </row>
    <row r="1227" spans="1:12" x14ac:dyDescent="0.25">
      <c r="A1227" t="s">
        <v>30</v>
      </c>
      <c r="B1227" t="s">
        <v>30</v>
      </c>
      <c r="C1227" t="s">
        <v>31</v>
      </c>
      <c r="D1227" t="s">
        <v>18</v>
      </c>
      <c r="E1227" s="2">
        <v>45323</v>
      </c>
      <c r="F1227" s="3">
        <v>104491</v>
      </c>
      <c r="G1227" s="3">
        <v>65726</v>
      </c>
      <c r="H1227" s="3">
        <v>38765</v>
      </c>
      <c r="I1227" s="3">
        <v>3723</v>
      </c>
      <c r="J1227" s="4">
        <v>204.11</v>
      </c>
      <c r="K1227" s="3">
        <v>73460</v>
      </c>
      <c r="L1227" s="3">
        <v>31031</v>
      </c>
    </row>
    <row r="1228" spans="1:12" x14ac:dyDescent="0.25">
      <c r="A1228" t="s">
        <v>30</v>
      </c>
      <c r="B1228" t="s">
        <v>30</v>
      </c>
      <c r="C1228" t="s">
        <v>31</v>
      </c>
      <c r="D1228" t="s">
        <v>18</v>
      </c>
      <c r="E1228" s="2">
        <v>45352</v>
      </c>
      <c r="F1228" s="3">
        <v>100679</v>
      </c>
      <c r="G1228" s="3">
        <v>63501</v>
      </c>
      <c r="H1228" s="3">
        <v>37178</v>
      </c>
      <c r="I1228" s="3">
        <v>3605</v>
      </c>
      <c r="J1228" s="4">
        <v>220.18</v>
      </c>
      <c r="K1228" s="3">
        <v>68076</v>
      </c>
      <c r="L1228" s="3">
        <v>32603</v>
      </c>
    </row>
    <row r="1229" spans="1:12" x14ac:dyDescent="0.25">
      <c r="A1229" t="s">
        <v>30</v>
      </c>
      <c r="B1229" t="s">
        <v>30</v>
      </c>
      <c r="C1229" t="s">
        <v>31</v>
      </c>
      <c r="D1229" t="s">
        <v>18</v>
      </c>
      <c r="E1229" s="2">
        <v>45383</v>
      </c>
      <c r="F1229" s="3">
        <v>108170</v>
      </c>
      <c r="G1229" s="3">
        <v>69319</v>
      </c>
      <c r="H1229" s="3">
        <v>38851</v>
      </c>
      <c r="I1229" s="3">
        <v>3893</v>
      </c>
      <c r="J1229" s="4">
        <v>202.68</v>
      </c>
      <c r="K1229" s="3">
        <v>74062</v>
      </c>
      <c r="L1229" s="3">
        <v>34108</v>
      </c>
    </row>
    <row r="1230" spans="1:12" x14ac:dyDescent="0.25">
      <c r="A1230" t="s">
        <v>30</v>
      </c>
      <c r="B1230" t="s">
        <v>30</v>
      </c>
      <c r="C1230" t="s">
        <v>31</v>
      </c>
      <c r="D1230" t="s">
        <v>18</v>
      </c>
      <c r="E1230" s="2">
        <v>45413</v>
      </c>
      <c r="F1230" s="3">
        <v>108504</v>
      </c>
      <c r="G1230" s="3">
        <v>67747</v>
      </c>
      <c r="H1230" s="3">
        <v>40757</v>
      </c>
      <c r="I1230" s="3">
        <v>3985</v>
      </c>
      <c r="J1230" s="4">
        <v>211.57</v>
      </c>
      <c r="K1230" s="3">
        <v>76423</v>
      </c>
      <c r="L1230" s="3">
        <v>32081</v>
      </c>
    </row>
    <row r="1231" spans="1:12" x14ac:dyDescent="0.25">
      <c r="A1231" t="s">
        <v>30</v>
      </c>
      <c r="B1231" t="s">
        <v>30</v>
      </c>
      <c r="C1231" t="s">
        <v>31</v>
      </c>
      <c r="D1231" t="s">
        <v>18</v>
      </c>
      <c r="E1231" s="2">
        <v>45444</v>
      </c>
      <c r="F1231" s="3">
        <v>108475</v>
      </c>
      <c r="G1231" s="3">
        <v>69654</v>
      </c>
      <c r="H1231" s="3">
        <v>38821</v>
      </c>
      <c r="I1231" s="3">
        <v>3954</v>
      </c>
      <c r="J1231" s="4">
        <v>201.75</v>
      </c>
      <c r="K1231" s="3">
        <v>74057</v>
      </c>
      <c r="L1231" s="3">
        <v>34418</v>
      </c>
    </row>
    <row r="1232" spans="1:12" x14ac:dyDescent="0.25">
      <c r="A1232" t="s">
        <v>30</v>
      </c>
      <c r="B1232" t="s">
        <v>30</v>
      </c>
      <c r="C1232" t="s">
        <v>31</v>
      </c>
      <c r="D1232" t="s">
        <v>18</v>
      </c>
      <c r="E1232" s="2">
        <v>45474</v>
      </c>
      <c r="F1232" s="3">
        <v>112447</v>
      </c>
      <c r="G1232" s="3">
        <v>72743</v>
      </c>
      <c r="H1232" s="3">
        <v>39704</v>
      </c>
      <c r="I1232" s="3">
        <v>3960</v>
      </c>
      <c r="J1232" s="4">
        <v>202</v>
      </c>
      <c r="K1232" s="3">
        <v>76634</v>
      </c>
      <c r="L1232" s="3">
        <v>35813</v>
      </c>
    </row>
    <row r="1233" spans="1:12" x14ac:dyDescent="0.25">
      <c r="A1233" t="s">
        <v>30</v>
      </c>
      <c r="B1233" t="s">
        <v>30</v>
      </c>
      <c r="C1233" t="s">
        <v>31</v>
      </c>
      <c r="D1233" t="s">
        <v>18</v>
      </c>
      <c r="E1233" s="2">
        <v>45505</v>
      </c>
      <c r="F1233" s="3">
        <v>131232</v>
      </c>
      <c r="G1233" s="3">
        <v>83596</v>
      </c>
      <c r="H1233" s="3">
        <v>47636</v>
      </c>
      <c r="I1233" s="3">
        <v>4488</v>
      </c>
      <c r="J1233" s="4">
        <v>205.53</v>
      </c>
      <c r="K1233" s="3">
        <v>89461</v>
      </c>
      <c r="L1233" s="3">
        <v>41771</v>
      </c>
    </row>
    <row r="1234" spans="1:12" x14ac:dyDescent="0.25">
      <c r="A1234" t="s">
        <v>30</v>
      </c>
      <c r="B1234" t="s">
        <v>30</v>
      </c>
      <c r="C1234" t="s">
        <v>31</v>
      </c>
      <c r="D1234" t="s">
        <v>18</v>
      </c>
      <c r="E1234" s="2">
        <v>45536</v>
      </c>
      <c r="F1234" s="3">
        <v>135081</v>
      </c>
      <c r="G1234" s="3">
        <v>84914</v>
      </c>
      <c r="H1234" s="3">
        <v>50167</v>
      </c>
      <c r="I1234" s="3">
        <v>5024</v>
      </c>
      <c r="J1234" s="4">
        <v>212.91</v>
      </c>
      <c r="K1234" s="3">
        <v>93008</v>
      </c>
      <c r="L1234" s="3">
        <v>42073</v>
      </c>
    </row>
    <row r="1235" spans="1:12" x14ac:dyDescent="0.25">
      <c r="A1235" t="s">
        <v>30</v>
      </c>
      <c r="B1235" t="s">
        <v>30</v>
      </c>
      <c r="C1235" t="s">
        <v>31</v>
      </c>
      <c r="D1235" t="s">
        <v>18</v>
      </c>
      <c r="E1235" s="2">
        <v>45566</v>
      </c>
      <c r="F1235" s="3">
        <v>125136</v>
      </c>
      <c r="G1235" s="3">
        <v>78670</v>
      </c>
      <c r="H1235" s="3">
        <v>46466</v>
      </c>
      <c r="I1235" s="3">
        <v>4398</v>
      </c>
      <c r="J1235" s="4">
        <v>213.28</v>
      </c>
      <c r="K1235" s="3">
        <v>86495</v>
      </c>
      <c r="L1235" s="3">
        <v>38641</v>
      </c>
    </row>
    <row r="1236" spans="1:12" x14ac:dyDescent="0.25">
      <c r="A1236" t="s">
        <v>30</v>
      </c>
      <c r="B1236" t="s">
        <v>30</v>
      </c>
      <c r="C1236" t="s">
        <v>31</v>
      </c>
      <c r="D1236" t="s">
        <v>18</v>
      </c>
      <c r="E1236" s="2">
        <v>45597</v>
      </c>
      <c r="F1236" s="3">
        <v>125438</v>
      </c>
      <c r="G1236" s="3">
        <v>80025</v>
      </c>
      <c r="H1236" s="3">
        <v>45413</v>
      </c>
      <c r="I1236" s="3">
        <v>4286</v>
      </c>
      <c r="J1236" s="4">
        <v>210.18</v>
      </c>
      <c r="K1236" s="3">
        <v>87926</v>
      </c>
      <c r="L1236" s="3">
        <v>37512</v>
      </c>
    </row>
    <row r="1237" spans="1:12" x14ac:dyDescent="0.25">
      <c r="A1237" t="s">
        <v>30</v>
      </c>
      <c r="B1237" t="s">
        <v>30</v>
      </c>
      <c r="C1237" t="s">
        <v>31</v>
      </c>
      <c r="D1237" t="s">
        <v>18</v>
      </c>
      <c r="E1237" s="2">
        <v>45627</v>
      </c>
      <c r="F1237" s="3">
        <v>122501</v>
      </c>
      <c r="G1237" s="3">
        <v>78344</v>
      </c>
      <c r="H1237" s="3">
        <v>44157</v>
      </c>
      <c r="I1237" s="3">
        <v>4605</v>
      </c>
      <c r="J1237" s="4">
        <v>214.3</v>
      </c>
      <c r="K1237" s="3">
        <v>84591</v>
      </c>
      <c r="L1237" s="3">
        <v>37910</v>
      </c>
    </row>
    <row r="1238" spans="1:12" x14ac:dyDescent="0.25">
      <c r="A1238" t="s">
        <v>30</v>
      </c>
      <c r="B1238" t="s">
        <v>30</v>
      </c>
      <c r="C1238" t="s">
        <v>31</v>
      </c>
      <c r="D1238" t="s">
        <v>18</v>
      </c>
      <c r="E1238" s="2">
        <v>45658</v>
      </c>
      <c r="F1238" s="3">
        <v>128520</v>
      </c>
      <c r="G1238" s="3">
        <v>81408</v>
      </c>
      <c r="H1238" s="3">
        <v>47112</v>
      </c>
      <c r="I1238" s="3">
        <v>4418</v>
      </c>
      <c r="J1238" s="4">
        <v>211.77</v>
      </c>
      <c r="K1238" s="3">
        <v>87625</v>
      </c>
      <c r="L1238" s="3">
        <v>40895</v>
      </c>
    </row>
    <row r="1239" spans="1:12" x14ac:dyDescent="0.25">
      <c r="A1239" t="s">
        <v>30</v>
      </c>
      <c r="B1239" t="s">
        <v>30</v>
      </c>
      <c r="C1239" t="s">
        <v>31</v>
      </c>
      <c r="D1239" t="s">
        <v>18</v>
      </c>
      <c r="E1239" s="2">
        <v>45689</v>
      </c>
      <c r="F1239" s="3">
        <v>122700</v>
      </c>
      <c r="G1239" s="3">
        <v>79129</v>
      </c>
      <c r="H1239" s="3">
        <v>43571</v>
      </c>
      <c r="I1239" s="3">
        <v>4419</v>
      </c>
      <c r="J1239" s="4">
        <v>218.15</v>
      </c>
      <c r="K1239" s="3">
        <v>84161</v>
      </c>
      <c r="L1239" s="3">
        <v>38539</v>
      </c>
    </row>
    <row r="1240" spans="1:12" x14ac:dyDescent="0.25">
      <c r="A1240" t="s">
        <v>30</v>
      </c>
      <c r="B1240" t="s">
        <v>30</v>
      </c>
      <c r="C1240" t="s">
        <v>31</v>
      </c>
      <c r="D1240" t="s">
        <v>18</v>
      </c>
      <c r="E1240" s="2">
        <v>45717</v>
      </c>
      <c r="F1240" s="3">
        <v>111485</v>
      </c>
      <c r="G1240" s="3">
        <v>72143</v>
      </c>
      <c r="H1240" s="3">
        <v>39342</v>
      </c>
      <c r="I1240" s="3">
        <v>3990</v>
      </c>
      <c r="J1240" s="4">
        <v>202.55</v>
      </c>
      <c r="K1240" s="3">
        <v>78152</v>
      </c>
      <c r="L1240" s="3">
        <v>33333</v>
      </c>
    </row>
    <row r="1241" spans="1:12" x14ac:dyDescent="0.25">
      <c r="A1241" t="s">
        <v>30</v>
      </c>
      <c r="B1241" t="s">
        <v>30</v>
      </c>
      <c r="C1241" t="s">
        <v>31</v>
      </c>
      <c r="D1241" t="s">
        <v>18</v>
      </c>
      <c r="E1241" s="2">
        <v>45748</v>
      </c>
      <c r="F1241" s="3">
        <v>112938</v>
      </c>
      <c r="G1241" s="3">
        <v>71469</v>
      </c>
      <c r="H1241" s="3">
        <v>41469</v>
      </c>
      <c r="I1241" s="3">
        <v>4090</v>
      </c>
      <c r="J1241" s="4">
        <v>212.82</v>
      </c>
      <c r="K1241" s="3">
        <v>77880</v>
      </c>
      <c r="L1241" s="3">
        <v>35058</v>
      </c>
    </row>
    <row r="1242" spans="1:12" x14ac:dyDescent="0.25">
      <c r="A1242" t="s">
        <v>30</v>
      </c>
      <c r="B1242" t="s">
        <v>30</v>
      </c>
      <c r="C1242" t="s">
        <v>31</v>
      </c>
      <c r="D1242" t="s">
        <v>18</v>
      </c>
      <c r="E1242" s="2">
        <v>45778</v>
      </c>
      <c r="F1242" s="3">
        <v>113255</v>
      </c>
      <c r="G1242" s="3">
        <v>73431</v>
      </c>
      <c r="H1242" s="3">
        <v>39824</v>
      </c>
      <c r="I1242" s="3">
        <v>3892</v>
      </c>
      <c r="J1242" s="4">
        <v>218.16</v>
      </c>
      <c r="K1242" s="3">
        <v>77121</v>
      </c>
      <c r="L1242" s="3">
        <v>36134</v>
      </c>
    </row>
    <row r="1243" spans="1:12" x14ac:dyDescent="0.25">
      <c r="A1243" t="s">
        <v>30</v>
      </c>
      <c r="B1243" t="s">
        <v>30</v>
      </c>
      <c r="C1243" t="s">
        <v>31</v>
      </c>
      <c r="D1243" t="s">
        <v>18</v>
      </c>
      <c r="E1243" s="2">
        <v>45809</v>
      </c>
      <c r="F1243" s="3">
        <v>122146</v>
      </c>
      <c r="G1243" s="3">
        <v>76658</v>
      </c>
      <c r="H1243" s="3">
        <v>45488</v>
      </c>
      <c r="I1243" s="3">
        <v>4386</v>
      </c>
      <c r="J1243" s="4">
        <v>220.62</v>
      </c>
      <c r="K1243" s="3">
        <v>84640</v>
      </c>
      <c r="L1243" s="3">
        <v>37506</v>
      </c>
    </row>
    <row r="1244" spans="1:12" x14ac:dyDescent="0.25">
      <c r="A1244" t="s">
        <v>30</v>
      </c>
      <c r="B1244" t="s">
        <v>30</v>
      </c>
      <c r="C1244" t="s">
        <v>31</v>
      </c>
      <c r="D1244" t="s">
        <v>18</v>
      </c>
      <c r="E1244" s="2">
        <v>45839</v>
      </c>
      <c r="F1244" s="3">
        <v>129581</v>
      </c>
      <c r="G1244" s="3">
        <v>81595</v>
      </c>
      <c r="H1244" s="3">
        <v>47986</v>
      </c>
      <c r="I1244" s="3">
        <v>4860</v>
      </c>
      <c r="J1244" s="4">
        <v>208.86</v>
      </c>
      <c r="K1244" s="3">
        <v>90634</v>
      </c>
      <c r="L1244" s="3">
        <v>38947</v>
      </c>
    </row>
    <row r="1245" spans="1:12" x14ac:dyDescent="0.25">
      <c r="A1245" t="s">
        <v>30</v>
      </c>
      <c r="B1245" t="s">
        <v>30</v>
      </c>
      <c r="C1245" t="s">
        <v>31</v>
      </c>
      <c r="D1245" t="s">
        <v>18</v>
      </c>
      <c r="E1245" s="2">
        <v>45870</v>
      </c>
      <c r="F1245" s="3">
        <v>138282</v>
      </c>
      <c r="G1245" s="3">
        <v>86467</v>
      </c>
      <c r="H1245" s="3">
        <v>51815</v>
      </c>
      <c r="I1245" s="3">
        <v>5153</v>
      </c>
      <c r="J1245" s="4">
        <v>220.75</v>
      </c>
      <c r="K1245" s="3">
        <v>94196</v>
      </c>
      <c r="L1245" s="3">
        <v>44086</v>
      </c>
    </row>
    <row r="1246" spans="1:12" x14ac:dyDescent="0.25">
      <c r="A1246" t="s">
        <v>30</v>
      </c>
      <c r="B1246" t="s">
        <v>30</v>
      </c>
      <c r="C1246" t="s">
        <v>31</v>
      </c>
      <c r="D1246" t="s">
        <v>18</v>
      </c>
      <c r="E1246" s="2">
        <v>45901</v>
      </c>
      <c r="F1246" s="3">
        <v>133080</v>
      </c>
      <c r="G1246" s="3">
        <v>84269</v>
      </c>
      <c r="H1246" s="3">
        <v>48811</v>
      </c>
      <c r="I1246" s="3">
        <v>4933</v>
      </c>
      <c r="J1246" s="4">
        <v>221</v>
      </c>
      <c r="K1246" s="3">
        <v>90738</v>
      </c>
      <c r="L1246" s="3">
        <v>42342</v>
      </c>
    </row>
    <row r="1247" spans="1:12" x14ac:dyDescent="0.25">
      <c r="A1247" t="s">
        <v>30</v>
      </c>
      <c r="B1247" t="s">
        <v>30</v>
      </c>
      <c r="C1247" t="s">
        <v>31</v>
      </c>
      <c r="D1247" t="s">
        <v>18</v>
      </c>
      <c r="E1247" s="2">
        <v>45931</v>
      </c>
      <c r="F1247" s="3">
        <v>137477</v>
      </c>
      <c r="G1247" s="3">
        <v>88757</v>
      </c>
      <c r="H1247" s="3">
        <v>48720</v>
      </c>
      <c r="I1247" s="3">
        <v>4725</v>
      </c>
      <c r="J1247" s="4">
        <v>208.29</v>
      </c>
      <c r="K1247" s="3">
        <v>93143</v>
      </c>
      <c r="L1247" s="3">
        <v>44334</v>
      </c>
    </row>
    <row r="1248" spans="1:12" x14ac:dyDescent="0.25">
      <c r="A1248" t="s">
        <v>30</v>
      </c>
      <c r="B1248" t="s">
        <v>30</v>
      </c>
      <c r="C1248" t="s">
        <v>31</v>
      </c>
      <c r="D1248" t="s">
        <v>18</v>
      </c>
      <c r="E1248" s="2">
        <v>45962</v>
      </c>
      <c r="F1248" s="3">
        <v>141206</v>
      </c>
      <c r="G1248" s="3">
        <v>91476</v>
      </c>
      <c r="H1248" s="3">
        <v>49730</v>
      </c>
      <c r="I1248" s="3">
        <v>5250</v>
      </c>
      <c r="J1248" s="4">
        <v>202.44</v>
      </c>
      <c r="K1248" s="3">
        <v>99449</v>
      </c>
      <c r="L1248" s="3">
        <v>41757</v>
      </c>
    </row>
    <row r="1249" spans="1:12" x14ac:dyDescent="0.25">
      <c r="A1249" t="s">
        <v>30</v>
      </c>
      <c r="B1249" t="s">
        <v>30</v>
      </c>
      <c r="C1249" t="s">
        <v>31</v>
      </c>
      <c r="D1249" t="s">
        <v>18</v>
      </c>
      <c r="E1249" s="2">
        <v>45992</v>
      </c>
      <c r="F1249" s="3">
        <v>129569</v>
      </c>
      <c r="G1249" s="3">
        <v>80775</v>
      </c>
      <c r="H1249" s="3">
        <v>48794</v>
      </c>
      <c r="I1249" s="3">
        <v>4705</v>
      </c>
      <c r="J1249" s="4">
        <v>202.26</v>
      </c>
      <c r="K1249" s="3">
        <v>88648</v>
      </c>
      <c r="L1249" s="3">
        <v>40921</v>
      </c>
    </row>
    <row r="1250" spans="1:12" x14ac:dyDescent="0.25">
      <c r="A1250" t="s">
        <v>30</v>
      </c>
      <c r="B1250" t="s">
        <v>30</v>
      </c>
      <c r="C1250" t="s">
        <v>31</v>
      </c>
      <c r="D1250" t="s">
        <v>19</v>
      </c>
      <c r="E1250" s="2">
        <v>45292</v>
      </c>
      <c r="F1250" s="3">
        <v>106641</v>
      </c>
      <c r="G1250" s="3">
        <v>62593</v>
      </c>
      <c r="H1250" s="3">
        <v>44048</v>
      </c>
      <c r="I1250" s="3">
        <v>4294</v>
      </c>
      <c r="J1250" s="4">
        <v>121.64</v>
      </c>
      <c r="K1250" s="3">
        <v>74346</v>
      </c>
      <c r="L1250" s="3">
        <v>32295</v>
      </c>
    </row>
    <row r="1251" spans="1:12" x14ac:dyDescent="0.25">
      <c r="A1251" t="s">
        <v>30</v>
      </c>
      <c r="B1251" t="s">
        <v>30</v>
      </c>
      <c r="C1251" t="s">
        <v>31</v>
      </c>
      <c r="D1251" t="s">
        <v>19</v>
      </c>
      <c r="E1251" s="2">
        <v>45323</v>
      </c>
      <c r="F1251" s="3">
        <v>96267</v>
      </c>
      <c r="G1251" s="3">
        <v>58274</v>
      </c>
      <c r="H1251" s="3">
        <v>37993</v>
      </c>
      <c r="I1251" s="3">
        <v>4138</v>
      </c>
      <c r="J1251" s="4">
        <v>115.2</v>
      </c>
      <c r="K1251" s="3">
        <v>65014</v>
      </c>
      <c r="L1251" s="3">
        <v>31253</v>
      </c>
    </row>
    <row r="1252" spans="1:12" x14ac:dyDescent="0.25">
      <c r="A1252" t="s">
        <v>30</v>
      </c>
      <c r="B1252" t="s">
        <v>30</v>
      </c>
      <c r="C1252" t="s">
        <v>31</v>
      </c>
      <c r="D1252" t="s">
        <v>19</v>
      </c>
      <c r="E1252" s="2">
        <v>45352</v>
      </c>
      <c r="F1252" s="3">
        <v>94272</v>
      </c>
      <c r="G1252" s="3">
        <v>54845</v>
      </c>
      <c r="H1252" s="3">
        <v>39427</v>
      </c>
      <c r="I1252" s="3">
        <v>3806</v>
      </c>
      <c r="J1252" s="4">
        <v>115.84</v>
      </c>
      <c r="K1252" s="3">
        <v>64330</v>
      </c>
      <c r="L1252" s="3">
        <v>29942</v>
      </c>
    </row>
    <row r="1253" spans="1:12" x14ac:dyDescent="0.25">
      <c r="A1253" t="s">
        <v>30</v>
      </c>
      <c r="B1253" t="s">
        <v>30</v>
      </c>
      <c r="C1253" t="s">
        <v>31</v>
      </c>
      <c r="D1253" t="s">
        <v>19</v>
      </c>
      <c r="E1253" s="2">
        <v>45383</v>
      </c>
      <c r="F1253" s="3">
        <v>91274</v>
      </c>
      <c r="G1253" s="3">
        <v>52889</v>
      </c>
      <c r="H1253" s="3">
        <v>38385</v>
      </c>
      <c r="I1253" s="3">
        <v>3755</v>
      </c>
      <c r="J1253" s="4">
        <v>124.93</v>
      </c>
      <c r="K1253" s="3">
        <v>62839</v>
      </c>
      <c r="L1253" s="3">
        <v>28435</v>
      </c>
    </row>
    <row r="1254" spans="1:12" x14ac:dyDescent="0.25">
      <c r="A1254" t="s">
        <v>30</v>
      </c>
      <c r="B1254" t="s">
        <v>30</v>
      </c>
      <c r="C1254" t="s">
        <v>31</v>
      </c>
      <c r="D1254" t="s">
        <v>19</v>
      </c>
      <c r="E1254" s="2">
        <v>45413</v>
      </c>
      <c r="F1254" s="3">
        <v>101059</v>
      </c>
      <c r="G1254" s="3">
        <v>61019</v>
      </c>
      <c r="H1254" s="3">
        <v>40040</v>
      </c>
      <c r="I1254" s="3">
        <v>4360</v>
      </c>
      <c r="J1254" s="4">
        <v>125.67</v>
      </c>
      <c r="K1254" s="3">
        <v>68116</v>
      </c>
      <c r="L1254" s="3">
        <v>32943</v>
      </c>
    </row>
    <row r="1255" spans="1:12" x14ac:dyDescent="0.25">
      <c r="A1255" t="s">
        <v>30</v>
      </c>
      <c r="B1255" t="s">
        <v>30</v>
      </c>
      <c r="C1255" t="s">
        <v>31</v>
      </c>
      <c r="D1255" t="s">
        <v>19</v>
      </c>
      <c r="E1255" s="2">
        <v>45444</v>
      </c>
      <c r="F1255" s="3">
        <v>106901</v>
      </c>
      <c r="G1255" s="3">
        <v>62921</v>
      </c>
      <c r="H1255" s="3">
        <v>43980</v>
      </c>
      <c r="I1255" s="3">
        <v>4484</v>
      </c>
      <c r="J1255" s="4">
        <v>120.95</v>
      </c>
      <c r="K1255" s="3">
        <v>73180</v>
      </c>
      <c r="L1255" s="3">
        <v>33721</v>
      </c>
    </row>
    <row r="1256" spans="1:12" x14ac:dyDescent="0.25">
      <c r="A1256" t="s">
        <v>30</v>
      </c>
      <c r="B1256" t="s">
        <v>30</v>
      </c>
      <c r="C1256" t="s">
        <v>31</v>
      </c>
      <c r="D1256" t="s">
        <v>19</v>
      </c>
      <c r="E1256" s="2">
        <v>45474</v>
      </c>
      <c r="F1256" s="3">
        <v>103091</v>
      </c>
      <c r="G1256" s="3">
        <v>61086</v>
      </c>
      <c r="H1256" s="3">
        <v>42005</v>
      </c>
      <c r="I1256" s="3">
        <v>4497</v>
      </c>
      <c r="J1256" s="4">
        <v>118.35</v>
      </c>
      <c r="K1256" s="3">
        <v>71195</v>
      </c>
      <c r="L1256" s="3">
        <v>31896</v>
      </c>
    </row>
    <row r="1257" spans="1:12" x14ac:dyDescent="0.25">
      <c r="A1257" t="s">
        <v>30</v>
      </c>
      <c r="B1257" t="s">
        <v>30</v>
      </c>
      <c r="C1257" t="s">
        <v>31</v>
      </c>
      <c r="D1257" t="s">
        <v>19</v>
      </c>
      <c r="E1257" s="2">
        <v>45505</v>
      </c>
      <c r="F1257" s="3">
        <v>121579</v>
      </c>
      <c r="G1257" s="3">
        <v>72855</v>
      </c>
      <c r="H1257" s="3">
        <v>48724</v>
      </c>
      <c r="I1257" s="3">
        <v>4983</v>
      </c>
      <c r="J1257" s="4">
        <v>122.39</v>
      </c>
      <c r="K1257" s="3">
        <v>85253</v>
      </c>
      <c r="L1257" s="3">
        <v>36326</v>
      </c>
    </row>
    <row r="1258" spans="1:12" x14ac:dyDescent="0.25">
      <c r="A1258" t="s">
        <v>30</v>
      </c>
      <c r="B1258" t="s">
        <v>30</v>
      </c>
      <c r="C1258" t="s">
        <v>31</v>
      </c>
      <c r="D1258" t="s">
        <v>19</v>
      </c>
      <c r="E1258" s="2">
        <v>45536</v>
      </c>
      <c r="F1258" s="3">
        <v>122977</v>
      </c>
      <c r="G1258" s="3">
        <v>74844</v>
      </c>
      <c r="H1258" s="3">
        <v>48133</v>
      </c>
      <c r="I1258" s="3">
        <v>5234</v>
      </c>
      <c r="J1258" s="4">
        <v>116.62</v>
      </c>
      <c r="K1258" s="3">
        <v>86199</v>
      </c>
      <c r="L1258" s="3">
        <v>36778</v>
      </c>
    </row>
    <row r="1259" spans="1:12" x14ac:dyDescent="0.25">
      <c r="A1259" t="s">
        <v>30</v>
      </c>
      <c r="B1259" t="s">
        <v>30</v>
      </c>
      <c r="C1259" t="s">
        <v>31</v>
      </c>
      <c r="D1259" t="s">
        <v>19</v>
      </c>
      <c r="E1259" s="2">
        <v>45566</v>
      </c>
      <c r="F1259" s="3">
        <v>125836</v>
      </c>
      <c r="G1259" s="3">
        <v>73809</v>
      </c>
      <c r="H1259" s="3">
        <v>52027</v>
      </c>
      <c r="I1259" s="3">
        <v>5000</v>
      </c>
      <c r="J1259" s="4">
        <v>119.16</v>
      </c>
      <c r="K1259" s="3">
        <v>88574</v>
      </c>
      <c r="L1259" s="3">
        <v>37262</v>
      </c>
    </row>
    <row r="1260" spans="1:12" x14ac:dyDescent="0.25">
      <c r="A1260" t="s">
        <v>30</v>
      </c>
      <c r="B1260" t="s">
        <v>30</v>
      </c>
      <c r="C1260" t="s">
        <v>31</v>
      </c>
      <c r="D1260" t="s">
        <v>19</v>
      </c>
      <c r="E1260" s="2">
        <v>45597</v>
      </c>
      <c r="F1260" s="3">
        <v>118684</v>
      </c>
      <c r="G1260" s="3">
        <v>69491</v>
      </c>
      <c r="H1260" s="3">
        <v>49193</v>
      </c>
      <c r="I1260" s="3">
        <v>5067</v>
      </c>
      <c r="J1260" s="4">
        <v>123.09</v>
      </c>
      <c r="K1260" s="3">
        <v>82627</v>
      </c>
      <c r="L1260" s="3">
        <v>36057</v>
      </c>
    </row>
    <row r="1261" spans="1:12" x14ac:dyDescent="0.25">
      <c r="A1261" t="s">
        <v>30</v>
      </c>
      <c r="B1261" t="s">
        <v>30</v>
      </c>
      <c r="C1261" t="s">
        <v>31</v>
      </c>
      <c r="D1261" t="s">
        <v>19</v>
      </c>
      <c r="E1261" s="2">
        <v>45627</v>
      </c>
      <c r="F1261" s="3">
        <v>124599</v>
      </c>
      <c r="G1261" s="3">
        <v>74823</v>
      </c>
      <c r="H1261" s="3">
        <v>49776</v>
      </c>
      <c r="I1261" s="3">
        <v>5185</v>
      </c>
      <c r="J1261" s="4">
        <v>119.03</v>
      </c>
      <c r="K1261" s="3">
        <v>85601</v>
      </c>
      <c r="L1261" s="3">
        <v>38998</v>
      </c>
    </row>
    <row r="1262" spans="1:12" x14ac:dyDescent="0.25">
      <c r="A1262" t="s">
        <v>30</v>
      </c>
      <c r="B1262" t="s">
        <v>30</v>
      </c>
      <c r="C1262" t="s">
        <v>31</v>
      </c>
      <c r="D1262" t="s">
        <v>19</v>
      </c>
      <c r="E1262" s="2">
        <v>45658</v>
      </c>
      <c r="F1262" s="3">
        <v>114134</v>
      </c>
      <c r="G1262" s="3">
        <v>68328</v>
      </c>
      <c r="H1262" s="3">
        <v>45806</v>
      </c>
      <c r="I1262" s="3">
        <v>4923</v>
      </c>
      <c r="J1262" s="4">
        <v>115.13</v>
      </c>
      <c r="K1262" s="3">
        <v>79502</v>
      </c>
      <c r="L1262" s="3">
        <v>34632</v>
      </c>
    </row>
    <row r="1263" spans="1:12" x14ac:dyDescent="0.25">
      <c r="A1263" t="s">
        <v>30</v>
      </c>
      <c r="B1263" t="s">
        <v>30</v>
      </c>
      <c r="C1263" t="s">
        <v>31</v>
      </c>
      <c r="D1263" t="s">
        <v>19</v>
      </c>
      <c r="E1263" s="2">
        <v>45689</v>
      </c>
      <c r="F1263" s="3">
        <v>110267</v>
      </c>
      <c r="G1263" s="3">
        <v>64831</v>
      </c>
      <c r="H1263" s="3">
        <v>45436</v>
      </c>
      <c r="I1263" s="3">
        <v>4415</v>
      </c>
      <c r="J1263" s="4">
        <v>121.61</v>
      </c>
      <c r="K1263" s="3">
        <v>76816</v>
      </c>
      <c r="L1263" s="3">
        <v>33451</v>
      </c>
    </row>
    <row r="1264" spans="1:12" x14ac:dyDescent="0.25">
      <c r="A1264" t="s">
        <v>30</v>
      </c>
      <c r="B1264" t="s">
        <v>30</v>
      </c>
      <c r="C1264" t="s">
        <v>31</v>
      </c>
      <c r="D1264" t="s">
        <v>19</v>
      </c>
      <c r="E1264" s="2">
        <v>45717</v>
      </c>
      <c r="F1264" s="3">
        <v>101051</v>
      </c>
      <c r="G1264" s="3">
        <v>59591</v>
      </c>
      <c r="H1264" s="3">
        <v>41460</v>
      </c>
      <c r="I1264" s="3">
        <v>4283</v>
      </c>
      <c r="J1264" s="4">
        <v>125.26</v>
      </c>
      <c r="K1264" s="3">
        <v>69344</v>
      </c>
      <c r="L1264" s="3">
        <v>31707</v>
      </c>
    </row>
    <row r="1265" spans="1:12" x14ac:dyDescent="0.25">
      <c r="A1265" t="s">
        <v>30</v>
      </c>
      <c r="B1265" t="s">
        <v>30</v>
      </c>
      <c r="C1265" t="s">
        <v>31</v>
      </c>
      <c r="D1265" t="s">
        <v>19</v>
      </c>
      <c r="E1265" s="2">
        <v>45748</v>
      </c>
      <c r="F1265" s="3">
        <v>106007</v>
      </c>
      <c r="G1265" s="3">
        <v>63404</v>
      </c>
      <c r="H1265" s="3">
        <v>42603</v>
      </c>
      <c r="I1265" s="3">
        <v>4493</v>
      </c>
      <c r="J1265" s="4">
        <v>125.65</v>
      </c>
      <c r="K1265" s="3">
        <v>72828</v>
      </c>
      <c r="L1265" s="3">
        <v>33179</v>
      </c>
    </row>
    <row r="1266" spans="1:12" x14ac:dyDescent="0.25">
      <c r="A1266" t="s">
        <v>30</v>
      </c>
      <c r="B1266" t="s">
        <v>30</v>
      </c>
      <c r="C1266" t="s">
        <v>31</v>
      </c>
      <c r="D1266" t="s">
        <v>19</v>
      </c>
      <c r="E1266" s="2">
        <v>45778</v>
      </c>
      <c r="F1266" s="3">
        <v>109754</v>
      </c>
      <c r="G1266" s="3">
        <v>65212</v>
      </c>
      <c r="H1266" s="3">
        <v>44542</v>
      </c>
      <c r="I1266" s="3">
        <v>4495</v>
      </c>
      <c r="J1266" s="4">
        <v>117.23</v>
      </c>
      <c r="K1266" s="3">
        <v>75223</v>
      </c>
      <c r="L1266" s="3">
        <v>34531</v>
      </c>
    </row>
    <row r="1267" spans="1:12" x14ac:dyDescent="0.25">
      <c r="A1267" t="s">
        <v>30</v>
      </c>
      <c r="B1267" t="s">
        <v>30</v>
      </c>
      <c r="C1267" t="s">
        <v>31</v>
      </c>
      <c r="D1267" t="s">
        <v>19</v>
      </c>
      <c r="E1267" s="2">
        <v>45809</v>
      </c>
      <c r="F1267" s="3">
        <v>110426</v>
      </c>
      <c r="G1267" s="3">
        <v>65714</v>
      </c>
      <c r="H1267" s="3">
        <v>44712</v>
      </c>
      <c r="I1267" s="3">
        <v>4817</v>
      </c>
      <c r="J1267" s="4">
        <v>121.04</v>
      </c>
      <c r="K1267" s="3">
        <v>75043</v>
      </c>
      <c r="L1267" s="3">
        <v>35383</v>
      </c>
    </row>
    <row r="1268" spans="1:12" x14ac:dyDescent="0.25">
      <c r="A1268" t="s">
        <v>30</v>
      </c>
      <c r="B1268" t="s">
        <v>30</v>
      </c>
      <c r="C1268" t="s">
        <v>31</v>
      </c>
      <c r="D1268" t="s">
        <v>19</v>
      </c>
      <c r="E1268" s="2">
        <v>45839</v>
      </c>
      <c r="F1268" s="3">
        <v>122977</v>
      </c>
      <c r="G1268" s="3">
        <v>74100</v>
      </c>
      <c r="H1268" s="3">
        <v>48877</v>
      </c>
      <c r="I1268" s="3">
        <v>5042</v>
      </c>
      <c r="J1268" s="4">
        <v>119.28</v>
      </c>
      <c r="K1268" s="3">
        <v>84358</v>
      </c>
      <c r="L1268" s="3">
        <v>38619</v>
      </c>
    </row>
    <row r="1269" spans="1:12" x14ac:dyDescent="0.25">
      <c r="A1269" t="s">
        <v>30</v>
      </c>
      <c r="B1269" t="s">
        <v>30</v>
      </c>
      <c r="C1269" t="s">
        <v>31</v>
      </c>
      <c r="D1269" t="s">
        <v>19</v>
      </c>
      <c r="E1269" s="2">
        <v>45870</v>
      </c>
      <c r="F1269" s="3">
        <v>122099</v>
      </c>
      <c r="G1269" s="3">
        <v>72860</v>
      </c>
      <c r="H1269" s="3">
        <v>49239</v>
      </c>
      <c r="I1269" s="3">
        <v>5151</v>
      </c>
      <c r="J1269" s="4">
        <v>120.72</v>
      </c>
      <c r="K1269" s="3">
        <v>85701</v>
      </c>
      <c r="L1269" s="3">
        <v>36398</v>
      </c>
    </row>
    <row r="1270" spans="1:12" x14ac:dyDescent="0.25">
      <c r="A1270" t="s">
        <v>30</v>
      </c>
      <c r="B1270" t="s">
        <v>30</v>
      </c>
      <c r="C1270" t="s">
        <v>31</v>
      </c>
      <c r="D1270" t="s">
        <v>19</v>
      </c>
      <c r="E1270" s="2">
        <v>45901</v>
      </c>
      <c r="F1270" s="3">
        <v>132642</v>
      </c>
      <c r="G1270" s="3">
        <v>78854</v>
      </c>
      <c r="H1270" s="3">
        <v>53788</v>
      </c>
      <c r="I1270" s="3">
        <v>5481</v>
      </c>
      <c r="J1270" s="4">
        <v>125.2</v>
      </c>
      <c r="K1270" s="3">
        <v>92448</v>
      </c>
      <c r="L1270" s="3">
        <v>40194</v>
      </c>
    </row>
    <row r="1271" spans="1:12" x14ac:dyDescent="0.25">
      <c r="A1271" t="s">
        <v>30</v>
      </c>
      <c r="B1271" t="s">
        <v>30</v>
      </c>
      <c r="C1271" t="s">
        <v>31</v>
      </c>
      <c r="D1271" t="s">
        <v>19</v>
      </c>
      <c r="E1271" s="2">
        <v>45931</v>
      </c>
      <c r="F1271" s="3">
        <v>142534</v>
      </c>
      <c r="G1271" s="3">
        <v>86397</v>
      </c>
      <c r="H1271" s="3">
        <v>56137</v>
      </c>
      <c r="I1271" s="3">
        <v>6001</v>
      </c>
      <c r="J1271" s="4">
        <v>115.94</v>
      </c>
      <c r="K1271" s="3">
        <v>97639</v>
      </c>
      <c r="L1271" s="3">
        <v>44895</v>
      </c>
    </row>
    <row r="1272" spans="1:12" x14ac:dyDescent="0.25">
      <c r="A1272" t="s">
        <v>30</v>
      </c>
      <c r="B1272" t="s">
        <v>30</v>
      </c>
      <c r="C1272" t="s">
        <v>31</v>
      </c>
      <c r="D1272" t="s">
        <v>19</v>
      </c>
      <c r="E1272" s="2">
        <v>45962</v>
      </c>
      <c r="F1272" s="3">
        <v>138562</v>
      </c>
      <c r="G1272" s="3">
        <v>82377</v>
      </c>
      <c r="H1272" s="3">
        <v>56185</v>
      </c>
      <c r="I1272" s="3">
        <v>6069</v>
      </c>
      <c r="J1272" s="4">
        <v>124.23</v>
      </c>
      <c r="K1272" s="3">
        <v>96285</v>
      </c>
      <c r="L1272" s="3">
        <v>42277</v>
      </c>
    </row>
    <row r="1273" spans="1:12" x14ac:dyDescent="0.25">
      <c r="A1273" t="s">
        <v>30</v>
      </c>
      <c r="B1273" t="s">
        <v>30</v>
      </c>
      <c r="C1273" t="s">
        <v>31</v>
      </c>
      <c r="D1273" t="s">
        <v>19</v>
      </c>
      <c r="E1273" s="2">
        <v>45992</v>
      </c>
      <c r="F1273" s="3">
        <v>128817</v>
      </c>
      <c r="G1273" s="3">
        <v>75643</v>
      </c>
      <c r="H1273" s="3">
        <v>53174</v>
      </c>
      <c r="I1273" s="3">
        <v>5369</v>
      </c>
      <c r="J1273" s="4">
        <v>114.92</v>
      </c>
      <c r="K1273" s="3">
        <v>88336</v>
      </c>
      <c r="L1273" s="3">
        <v>40481</v>
      </c>
    </row>
    <row r="1274" spans="1:12" x14ac:dyDescent="0.25">
      <c r="A1274" t="s">
        <v>30</v>
      </c>
      <c r="B1274" t="s">
        <v>30</v>
      </c>
      <c r="C1274" t="s">
        <v>31</v>
      </c>
      <c r="D1274" t="s">
        <v>20</v>
      </c>
      <c r="E1274" s="2">
        <v>45292</v>
      </c>
      <c r="F1274" s="3">
        <v>109425</v>
      </c>
      <c r="G1274" s="3">
        <v>77973</v>
      </c>
      <c r="H1274" s="3">
        <v>31452</v>
      </c>
      <c r="I1274" s="3">
        <v>2669</v>
      </c>
      <c r="J1274" s="4">
        <v>368.09</v>
      </c>
      <c r="K1274" s="3">
        <v>74278</v>
      </c>
      <c r="L1274" s="3">
        <v>35147</v>
      </c>
    </row>
    <row r="1275" spans="1:12" x14ac:dyDescent="0.25">
      <c r="A1275" t="s">
        <v>30</v>
      </c>
      <c r="B1275" t="s">
        <v>30</v>
      </c>
      <c r="C1275" t="s">
        <v>31</v>
      </c>
      <c r="D1275" t="s">
        <v>20</v>
      </c>
      <c r="E1275" s="2">
        <v>45323</v>
      </c>
      <c r="F1275" s="3">
        <v>108646</v>
      </c>
      <c r="G1275" s="3">
        <v>77900</v>
      </c>
      <c r="H1275" s="3">
        <v>30746</v>
      </c>
      <c r="I1275" s="3">
        <v>2586</v>
      </c>
      <c r="J1275" s="4">
        <v>385.48</v>
      </c>
      <c r="K1275" s="3">
        <v>76286</v>
      </c>
      <c r="L1275" s="3">
        <v>32360</v>
      </c>
    </row>
    <row r="1276" spans="1:12" x14ac:dyDescent="0.25">
      <c r="A1276" t="s">
        <v>30</v>
      </c>
      <c r="B1276" t="s">
        <v>30</v>
      </c>
      <c r="C1276" t="s">
        <v>31</v>
      </c>
      <c r="D1276" t="s">
        <v>20</v>
      </c>
      <c r="E1276" s="2">
        <v>45352</v>
      </c>
      <c r="F1276" s="3">
        <v>98965</v>
      </c>
      <c r="G1276" s="3">
        <v>69635</v>
      </c>
      <c r="H1276" s="3">
        <v>29330</v>
      </c>
      <c r="I1276" s="3">
        <v>2412</v>
      </c>
      <c r="J1276" s="4">
        <v>366.75</v>
      </c>
      <c r="K1276" s="3">
        <v>68196</v>
      </c>
      <c r="L1276" s="3">
        <v>30769</v>
      </c>
    </row>
    <row r="1277" spans="1:12" x14ac:dyDescent="0.25">
      <c r="A1277" t="s">
        <v>30</v>
      </c>
      <c r="B1277" t="s">
        <v>30</v>
      </c>
      <c r="C1277" t="s">
        <v>31</v>
      </c>
      <c r="D1277" t="s">
        <v>20</v>
      </c>
      <c r="E1277" s="2">
        <v>45383</v>
      </c>
      <c r="F1277" s="3">
        <v>97332</v>
      </c>
      <c r="G1277" s="3">
        <v>69835</v>
      </c>
      <c r="H1277" s="3">
        <v>27497</v>
      </c>
      <c r="I1277" s="3">
        <v>2243</v>
      </c>
      <c r="J1277" s="4">
        <v>400.97</v>
      </c>
      <c r="K1277" s="3">
        <v>68353</v>
      </c>
      <c r="L1277" s="3">
        <v>28979</v>
      </c>
    </row>
    <row r="1278" spans="1:12" x14ac:dyDescent="0.25">
      <c r="A1278" t="s">
        <v>30</v>
      </c>
      <c r="B1278" t="s">
        <v>30</v>
      </c>
      <c r="C1278" t="s">
        <v>31</v>
      </c>
      <c r="D1278" t="s">
        <v>20</v>
      </c>
      <c r="E1278" s="2">
        <v>45413</v>
      </c>
      <c r="F1278" s="3">
        <v>99314</v>
      </c>
      <c r="G1278" s="3">
        <v>69961</v>
      </c>
      <c r="H1278" s="3">
        <v>29353</v>
      </c>
      <c r="I1278" s="3">
        <v>2435</v>
      </c>
      <c r="J1278" s="4">
        <v>380.64</v>
      </c>
      <c r="K1278" s="3">
        <v>69845</v>
      </c>
      <c r="L1278" s="3">
        <v>29469</v>
      </c>
    </row>
    <row r="1279" spans="1:12" x14ac:dyDescent="0.25">
      <c r="A1279" t="s">
        <v>30</v>
      </c>
      <c r="B1279" t="s">
        <v>30</v>
      </c>
      <c r="C1279" t="s">
        <v>31</v>
      </c>
      <c r="D1279" t="s">
        <v>20</v>
      </c>
      <c r="E1279" s="2">
        <v>45444</v>
      </c>
      <c r="F1279" s="3">
        <v>105641</v>
      </c>
      <c r="G1279" s="3">
        <v>73032</v>
      </c>
      <c r="H1279" s="3">
        <v>32609</v>
      </c>
      <c r="I1279" s="3">
        <v>2480</v>
      </c>
      <c r="J1279" s="4">
        <v>393.56</v>
      </c>
      <c r="K1279" s="3">
        <v>72660</v>
      </c>
      <c r="L1279" s="3">
        <v>32981</v>
      </c>
    </row>
    <row r="1280" spans="1:12" x14ac:dyDescent="0.25">
      <c r="A1280" t="s">
        <v>30</v>
      </c>
      <c r="B1280" t="s">
        <v>30</v>
      </c>
      <c r="C1280" t="s">
        <v>31</v>
      </c>
      <c r="D1280" t="s">
        <v>20</v>
      </c>
      <c r="E1280" s="2">
        <v>45474</v>
      </c>
      <c r="F1280" s="3">
        <v>113721</v>
      </c>
      <c r="G1280" s="3">
        <v>78974</v>
      </c>
      <c r="H1280" s="3">
        <v>34747</v>
      </c>
      <c r="I1280" s="3">
        <v>2661</v>
      </c>
      <c r="J1280" s="4">
        <v>373.59</v>
      </c>
      <c r="K1280" s="3">
        <v>79484</v>
      </c>
      <c r="L1280" s="3">
        <v>34237</v>
      </c>
    </row>
    <row r="1281" spans="1:12" x14ac:dyDescent="0.25">
      <c r="A1281" t="s">
        <v>30</v>
      </c>
      <c r="B1281" t="s">
        <v>30</v>
      </c>
      <c r="C1281" t="s">
        <v>31</v>
      </c>
      <c r="D1281" t="s">
        <v>20</v>
      </c>
      <c r="E1281" s="2">
        <v>45505</v>
      </c>
      <c r="F1281" s="3">
        <v>115820</v>
      </c>
      <c r="G1281" s="3">
        <v>80357</v>
      </c>
      <c r="H1281" s="3">
        <v>35463</v>
      </c>
      <c r="I1281" s="3">
        <v>2641</v>
      </c>
      <c r="J1281" s="4">
        <v>372</v>
      </c>
      <c r="K1281" s="3">
        <v>79731</v>
      </c>
      <c r="L1281" s="3">
        <v>36089</v>
      </c>
    </row>
    <row r="1282" spans="1:12" x14ac:dyDescent="0.25">
      <c r="A1282" t="s">
        <v>30</v>
      </c>
      <c r="B1282" t="s">
        <v>30</v>
      </c>
      <c r="C1282" t="s">
        <v>31</v>
      </c>
      <c r="D1282" t="s">
        <v>20</v>
      </c>
      <c r="E1282" s="2">
        <v>45536</v>
      </c>
      <c r="F1282" s="3">
        <v>118690</v>
      </c>
      <c r="G1282" s="3">
        <v>83813</v>
      </c>
      <c r="H1282" s="3">
        <v>34877</v>
      </c>
      <c r="I1282" s="3">
        <v>2779</v>
      </c>
      <c r="J1282" s="4">
        <v>398.32</v>
      </c>
      <c r="K1282" s="3">
        <v>80342</v>
      </c>
      <c r="L1282" s="3">
        <v>38348</v>
      </c>
    </row>
    <row r="1283" spans="1:12" x14ac:dyDescent="0.25">
      <c r="A1283" t="s">
        <v>30</v>
      </c>
      <c r="B1283" t="s">
        <v>30</v>
      </c>
      <c r="C1283" t="s">
        <v>31</v>
      </c>
      <c r="D1283" t="s">
        <v>20</v>
      </c>
      <c r="E1283" s="2">
        <v>45566</v>
      </c>
      <c r="F1283" s="3">
        <v>133874</v>
      </c>
      <c r="G1283" s="3">
        <v>93997</v>
      </c>
      <c r="H1283" s="3">
        <v>39877</v>
      </c>
      <c r="I1283" s="3">
        <v>3197</v>
      </c>
      <c r="J1283" s="4">
        <v>375.45</v>
      </c>
      <c r="K1283" s="3">
        <v>92457</v>
      </c>
      <c r="L1283" s="3">
        <v>41417</v>
      </c>
    </row>
    <row r="1284" spans="1:12" x14ac:dyDescent="0.25">
      <c r="A1284" t="s">
        <v>30</v>
      </c>
      <c r="B1284" t="s">
        <v>30</v>
      </c>
      <c r="C1284" t="s">
        <v>31</v>
      </c>
      <c r="D1284" t="s">
        <v>20</v>
      </c>
      <c r="E1284" s="2">
        <v>45597</v>
      </c>
      <c r="F1284" s="3">
        <v>125230</v>
      </c>
      <c r="G1284" s="3">
        <v>89040</v>
      </c>
      <c r="H1284" s="3">
        <v>36190</v>
      </c>
      <c r="I1284" s="3">
        <v>2941</v>
      </c>
      <c r="J1284" s="4">
        <v>385.71</v>
      </c>
      <c r="K1284" s="3">
        <v>84526</v>
      </c>
      <c r="L1284" s="3">
        <v>40704</v>
      </c>
    </row>
    <row r="1285" spans="1:12" x14ac:dyDescent="0.25">
      <c r="A1285" t="s">
        <v>30</v>
      </c>
      <c r="B1285" t="s">
        <v>30</v>
      </c>
      <c r="C1285" t="s">
        <v>31</v>
      </c>
      <c r="D1285" t="s">
        <v>20</v>
      </c>
      <c r="E1285" s="2">
        <v>45627</v>
      </c>
      <c r="F1285" s="3">
        <v>128313</v>
      </c>
      <c r="G1285" s="3">
        <v>88978</v>
      </c>
      <c r="H1285" s="3">
        <v>39335</v>
      </c>
      <c r="I1285" s="3">
        <v>3193</v>
      </c>
      <c r="J1285" s="4">
        <v>394.59</v>
      </c>
      <c r="K1285" s="3">
        <v>87964</v>
      </c>
      <c r="L1285" s="3">
        <v>40349</v>
      </c>
    </row>
    <row r="1286" spans="1:12" x14ac:dyDescent="0.25">
      <c r="A1286" t="s">
        <v>30</v>
      </c>
      <c r="B1286" t="s">
        <v>30</v>
      </c>
      <c r="C1286" t="s">
        <v>31</v>
      </c>
      <c r="D1286" t="s">
        <v>20</v>
      </c>
      <c r="E1286" s="2">
        <v>45658</v>
      </c>
      <c r="F1286" s="3">
        <v>112162</v>
      </c>
      <c r="G1286" s="3">
        <v>79116</v>
      </c>
      <c r="H1286" s="3">
        <v>33046</v>
      </c>
      <c r="I1286" s="3">
        <v>2768</v>
      </c>
      <c r="J1286" s="4">
        <v>377.61</v>
      </c>
      <c r="K1286" s="3">
        <v>78918</v>
      </c>
      <c r="L1286" s="3">
        <v>33244</v>
      </c>
    </row>
    <row r="1287" spans="1:12" x14ac:dyDescent="0.25">
      <c r="A1287" t="s">
        <v>30</v>
      </c>
      <c r="B1287" t="s">
        <v>30</v>
      </c>
      <c r="C1287" t="s">
        <v>31</v>
      </c>
      <c r="D1287" t="s">
        <v>20</v>
      </c>
      <c r="E1287" s="2">
        <v>45689</v>
      </c>
      <c r="F1287" s="3">
        <v>105517</v>
      </c>
      <c r="G1287" s="3">
        <v>73155</v>
      </c>
      <c r="H1287" s="3">
        <v>32362</v>
      </c>
      <c r="I1287" s="3">
        <v>2430</v>
      </c>
      <c r="J1287" s="4">
        <v>367.36</v>
      </c>
      <c r="K1287" s="3">
        <v>71882</v>
      </c>
      <c r="L1287" s="3">
        <v>33635</v>
      </c>
    </row>
    <row r="1288" spans="1:12" x14ac:dyDescent="0.25">
      <c r="A1288" t="s">
        <v>30</v>
      </c>
      <c r="B1288" t="s">
        <v>30</v>
      </c>
      <c r="C1288" t="s">
        <v>31</v>
      </c>
      <c r="D1288" t="s">
        <v>20</v>
      </c>
      <c r="E1288" s="2">
        <v>45717</v>
      </c>
      <c r="F1288" s="3">
        <v>108803</v>
      </c>
      <c r="G1288" s="3">
        <v>77112</v>
      </c>
      <c r="H1288" s="3">
        <v>31691</v>
      </c>
      <c r="I1288" s="3">
        <v>2535</v>
      </c>
      <c r="J1288" s="4">
        <v>383.39</v>
      </c>
      <c r="K1288" s="3">
        <v>73972</v>
      </c>
      <c r="L1288" s="3">
        <v>34831</v>
      </c>
    </row>
    <row r="1289" spans="1:12" x14ac:dyDescent="0.25">
      <c r="A1289" t="s">
        <v>30</v>
      </c>
      <c r="B1289" t="s">
        <v>30</v>
      </c>
      <c r="C1289" t="s">
        <v>31</v>
      </c>
      <c r="D1289" t="s">
        <v>20</v>
      </c>
      <c r="E1289" s="2">
        <v>45748</v>
      </c>
      <c r="F1289" s="3">
        <v>98271</v>
      </c>
      <c r="G1289" s="3">
        <v>69256</v>
      </c>
      <c r="H1289" s="3">
        <v>29015</v>
      </c>
      <c r="I1289" s="3">
        <v>2270</v>
      </c>
      <c r="J1289" s="4">
        <v>380.23</v>
      </c>
      <c r="K1289" s="3">
        <v>69121</v>
      </c>
      <c r="L1289" s="3">
        <v>29150</v>
      </c>
    </row>
    <row r="1290" spans="1:12" x14ac:dyDescent="0.25">
      <c r="A1290" t="s">
        <v>30</v>
      </c>
      <c r="B1290" t="s">
        <v>30</v>
      </c>
      <c r="C1290" t="s">
        <v>31</v>
      </c>
      <c r="D1290" t="s">
        <v>20</v>
      </c>
      <c r="E1290" s="2">
        <v>45778</v>
      </c>
      <c r="F1290" s="3">
        <v>105321</v>
      </c>
      <c r="G1290" s="3">
        <v>74740</v>
      </c>
      <c r="H1290" s="3">
        <v>30581</v>
      </c>
      <c r="I1290" s="3">
        <v>2567</v>
      </c>
      <c r="J1290" s="4">
        <v>378.86</v>
      </c>
      <c r="K1290" s="3">
        <v>72409</v>
      </c>
      <c r="L1290" s="3">
        <v>32912</v>
      </c>
    </row>
    <row r="1291" spans="1:12" x14ac:dyDescent="0.25">
      <c r="A1291" t="s">
        <v>30</v>
      </c>
      <c r="B1291" t="s">
        <v>30</v>
      </c>
      <c r="C1291" t="s">
        <v>31</v>
      </c>
      <c r="D1291" t="s">
        <v>20</v>
      </c>
      <c r="E1291" s="2">
        <v>45809</v>
      </c>
      <c r="F1291" s="3">
        <v>112086</v>
      </c>
      <c r="G1291" s="3">
        <v>77854</v>
      </c>
      <c r="H1291" s="3">
        <v>34232</v>
      </c>
      <c r="I1291" s="3">
        <v>2649</v>
      </c>
      <c r="J1291" s="4">
        <v>375.78</v>
      </c>
      <c r="K1291" s="3">
        <v>77565</v>
      </c>
      <c r="L1291" s="3">
        <v>34521</v>
      </c>
    </row>
    <row r="1292" spans="1:12" x14ac:dyDescent="0.25">
      <c r="A1292" t="s">
        <v>30</v>
      </c>
      <c r="B1292" t="s">
        <v>30</v>
      </c>
      <c r="C1292" t="s">
        <v>31</v>
      </c>
      <c r="D1292" t="s">
        <v>20</v>
      </c>
      <c r="E1292" s="2">
        <v>45839</v>
      </c>
      <c r="F1292" s="3">
        <v>113358</v>
      </c>
      <c r="G1292" s="3">
        <v>81018</v>
      </c>
      <c r="H1292" s="3">
        <v>32340</v>
      </c>
      <c r="I1292" s="3">
        <v>2599</v>
      </c>
      <c r="J1292" s="4">
        <v>396.48</v>
      </c>
      <c r="K1292" s="3">
        <v>77548</v>
      </c>
      <c r="L1292" s="3">
        <v>35810</v>
      </c>
    </row>
    <row r="1293" spans="1:12" x14ac:dyDescent="0.25">
      <c r="A1293" t="s">
        <v>30</v>
      </c>
      <c r="B1293" t="s">
        <v>30</v>
      </c>
      <c r="C1293" t="s">
        <v>31</v>
      </c>
      <c r="D1293" t="s">
        <v>20</v>
      </c>
      <c r="E1293" s="2">
        <v>45870</v>
      </c>
      <c r="F1293" s="3">
        <v>125416</v>
      </c>
      <c r="G1293" s="3">
        <v>87208</v>
      </c>
      <c r="H1293" s="3">
        <v>38208</v>
      </c>
      <c r="I1293" s="3">
        <v>2900</v>
      </c>
      <c r="J1293" s="4">
        <v>390.64</v>
      </c>
      <c r="K1293" s="3">
        <v>88207</v>
      </c>
      <c r="L1293" s="3">
        <v>37209</v>
      </c>
    </row>
    <row r="1294" spans="1:12" x14ac:dyDescent="0.25">
      <c r="A1294" t="s">
        <v>30</v>
      </c>
      <c r="B1294" t="s">
        <v>30</v>
      </c>
      <c r="C1294" t="s">
        <v>31</v>
      </c>
      <c r="D1294" t="s">
        <v>20</v>
      </c>
      <c r="E1294" s="2">
        <v>45901</v>
      </c>
      <c r="F1294" s="3">
        <v>126638</v>
      </c>
      <c r="G1294" s="3">
        <v>89749</v>
      </c>
      <c r="H1294" s="3">
        <v>36889</v>
      </c>
      <c r="I1294" s="3">
        <v>2961</v>
      </c>
      <c r="J1294" s="4">
        <v>369.38</v>
      </c>
      <c r="K1294" s="3">
        <v>88742</v>
      </c>
      <c r="L1294" s="3">
        <v>37896</v>
      </c>
    </row>
    <row r="1295" spans="1:12" x14ac:dyDescent="0.25">
      <c r="A1295" t="s">
        <v>30</v>
      </c>
      <c r="B1295" t="s">
        <v>30</v>
      </c>
      <c r="C1295" t="s">
        <v>31</v>
      </c>
      <c r="D1295" t="s">
        <v>20</v>
      </c>
      <c r="E1295" s="2">
        <v>45931</v>
      </c>
      <c r="F1295" s="3">
        <v>120703</v>
      </c>
      <c r="G1295" s="3">
        <v>86715</v>
      </c>
      <c r="H1295" s="3">
        <v>33988</v>
      </c>
      <c r="I1295" s="3">
        <v>2783</v>
      </c>
      <c r="J1295" s="4">
        <v>394.67</v>
      </c>
      <c r="K1295" s="3">
        <v>84949</v>
      </c>
      <c r="L1295" s="3">
        <v>35754</v>
      </c>
    </row>
    <row r="1296" spans="1:12" x14ac:dyDescent="0.25">
      <c r="A1296" t="s">
        <v>30</v>
      </c>
      <c r="B1296" t="s">
        <v>30</v>
      </c>
      <c r="C1296" t="s">
        <v>31</v>
      </c>
      <c r="D1296" t="s">
        <v>20</v>
      </c>
      <c r="E1296" s="2">
        <v>45962</v>
      </c>
      <c r="F1296" s="3">
        <v>118899</v>
      </c>
      <c r="G1296" s="3">
        <v>82194</v>
      </c>
      <c r="H1296" s="3">
        <v>36705</v>
      </c>
      <c r="I1296" s="3">
        <v>2807</v>
      </c>
      <c r="J1296" s="4">
        <v>396.45</v>
      </c>
      <c r="K1296" s="3">
        <v>81968</v>
      </c>
      <c r="L1296" s="3">
        <v>36931</v>
      </c>
    </row>
    <row r="1297" spans="1:12" x14ac:dyDescent="0.25">
      <c r="A1297" t="s">
        <v>30</v>
      </c>
      <c r="B1297" t="s">
        <v>30</v>
      </c>
      <c r="C1297" t="s">
        <v>31</v>
      </c>
      <c r="D1297" t="s">
        <v>20</v>
      </c>
      <c r="E1297" s="2">
        <v>45992</v>
      </c>
      <c r="F1297" s="3">
        <v>119771</v>
      </c>
      <c r="G1297" s="3">
        <v>83207</v>
      </c>
      <c r="H1297" s="3">
        <v>36564</v>
      </c>
      <c r="I1297" s="3">
        <v>2775</v>
      </c>
      <c r="J1297" s="4">
        <v>385.93</v>
      </c>
      <c r="K1297" s="3">
        <v>80895</v>
      </c>
      <c r="L1297" s="3">
        <v>38876</v>
      </c>
    </row>
    <row r="1298" spans="1:12" x14ac:dyDescent="0.25">
      <c r="A1298" t="s">
        <v>30</v>
      </c>
      <c r="B1298" t="s">
        <v>30</v>
      </c>
      <c r="C1298" t="s">
        <v>31</v>
      </c>
      <c r="D1298" t="s">
        <v>21</v>
      </c>
      <c r="E1298" s="2">
        <v>45292</v>
      </c>
      <c r="F1298" s="3">
        <v>71533</v>
      </c>
      <c r="G1298" s="3">
        <v>40269</v>
      </c>
      <c r="H1298" s="3">
        <v>31264</v>
      </c>
      <c r="I1298" s="3">
        <v>841</v>
      </c>
      <c r="J1298" s="4">
        <v>166.39</v>
      </c>
      <c r="K1298" s="3">
        <v>50188</v>
      </c>
      <c r="L1298" s="3">
        <v>21345</v>
      </c>
    </row>
    <row r="1299" spans="1:12" x14ac:dyDescent="0.25">
      <c r="A1299" t="s">
        <v>30</v>
      </c>
      <c r="B1299" t="s">
        <v>30</v>
      </c>
      <c r="C1299" t="s">
        <v>31</v>
      </c>
      <c r="D1299" t="s">
        <v>21</v>
      </c>
      <c r="E1299" s="2">
        <v>45323</v>
      </c>
      <c r="F1299" s="3">
        <v>68584</v>
      </c>
      <c r="G1299" s="3">
        <v>38542</v>
      </c>
      <c r="H1299" s="3">
        <v>30042</v>
      </c>
      <c r="I1299" s="3">
        <v>781</v>
      </c>
      <c r="J1299" s="4">
        <v>168.88</v>
      </c>
      <c r="K1299" s="3">
        <v>47754</v>
      </c>
      <c r="L1299" s="3">
        <v>20830</v>
      </c>
    </row>
    <row r="1300" spans="1:12" x14ac:dyDescent="0.25">
      <c r="A1300" t="s">
        <v>30</v>
      </c>
      <c r="B1300" t="s">
        <v>30</v>
      </c>
      <c r="C1300" t="s">
        <v>31</v>
      </c>
      <c r="D1300" t="s">
        <v>21</v>
      </c>
      <c r="E1300" s="2">
        <v>45352</v>
      </c>
      <c r="F1300" s="3">
        <v>65161</v>
      </c>
      <c r="G1300" s="3">
        <v>36649</v>
      </c>
      <c r="H1300" s="3">
        <v>28512</v>
      </c>
      <c r="I1300" s="3">
        <v>742</v>
      </c>
      <c r="J1300" s="4">
        <v>152.84</v>
      </c>
      <c r="K1300" s="3">
        <v>44026</v>
      </c>
      <c r="L1300" s="3">
        <v>21135</v>
      </c>
    </row>
    <row r="1301" spans="1:12" x14ac:dyDescent="0.25">
      <c r="A1301" t="s">
        <v>30</v>
      </c>
      <c r="B1301" t="s">
        <v>30</v>
      </c>
      <c r="C1301" t="s">
        <v>31</v>
      </c>
      <c r="D1301" t="s">
        <v>21</v>
      </c>
      <c r="E1301" s="2">
        <v>45383</v>
      </c>
      <c r="F1301" s="3">
        <v>66043</v>
      </c>
      <c r="G1301" s="3">
        <v>36436</v>
      </c>
      <c r="H1301" s="3">
        <v>29607</v>
      </c>
      <c r="I1301" s="3">
        <v>769</v>
      </c>
      <c r="J1301" s="4">
        <v>160.1</v>
      </c>
      <c r="K1301" s="3">
        <v>44472</v>
      </c>
      <c r="L1301" s="3">
        <v>21571</v>
      </c>
    </row>
    <row r="1302" spans="1:12" x14ac:dyDescent="0.25">
      <c r="A1302" t="s">
        <v>30</v>
      </c>
      <c r="B1302" t="s">
        <v>30</v>
      </c>
      <c r="C1302" t="s">
        <v>31</v>
      </c>
      <c r="D1302" t="s">
        <v>21</v>
      </c>
      <c r="E1302" s="2">
        <v>45413</v>
      </c>
      <c r="F1302" s="3">
        <v>66608</v>
      </c>
      <c r="G1302" s="3">
        <v>37641</v>
      </c>
      <c r="H1302" s="3">
        <v>28967</v>
      </c>
      <c r="I1302" s="3">
        <v>824</v>
      </c>
      <c r="J1302" s="4">
        <v>153.87</v>
      </c>
      <c r="K1302" s="3">
        <v>46150</v>
      </c>
      <c r="L1302" s="3">
        <v>20458</v>
      </c>
    </row>
    <row r="1303" spans="1:12" x14ac:dyDescent="0.25">
      <c r="A1303" t="s">
        <v>30</v>
      </c>
      <c r="B1303" t="s">
        <v>30</v>
      </c>
      <c r="C1303" t="s">
        <v>31</v>
      </c>
      <c r="D1303" t="s">
        <v>21</v>
      </c>
      <c r="E1303" s="2">
        <v>45444</v>
      </c>
      <c r="F1303" s="3">
        <v>69719</v>
      </c>
      <c r="G1303" s="3">
        <v>39955</v>
      </c>
      <c r="H1303" s="3">
        <v>29764</v>
      </c>
      <c r="I1303" s="3">
        <v>808</v>
      </c>
      <c r="J1303" s="4">
        <v>160.22</v>
      </c>
      <c r="K1303" s="3">
        <v>49091</v>
      </c>
      <c r="L1303" s="3">
        <v>20628</v>
      </c>
    </row>
    <row r="1304" spans="1:12" x14ac:dyDescent="0.25">
      <c r="A1304" t="s">
        <v>30</v>
      </c>
      <c r="B1304" t="s">
        <v>30</v>
      </c>
      <c r="C1304" t="s">
        <v>31</v>
      </c>
      <c r="D1304" t="s">
        <v>21</v>
      </c>
      <c r="E1304" s="2">
        <v>45474</v>
      </c>
      <c r="F1304" s="3">
        <v>77961</v>
      </c>
      <c r="G1304" s="3">
        <v>43478</v>
      </c>
      <c r="H1304" s="3">
        <v>34483</v>
      </c>
      <c r="I1304" s="3">
        <v>890</v>
      </c>
      <c r="J1304" s="4">
        <v>156.26</v>
      </c>
      <c r="K1304" s="3">
        <v>53879</v>
      </c>
      <c r="L1304" s="3">
        <v>24082</v>
      </c>
    </row>
    <row r="1305" spans="1:12" x14ac:dyDescent="0.25">
      <c r="A1305" t="s">
        <v>30</v>
      </c>
      <c r="B1305" t="s">
        <v>30</v>
      </c>
      <c r="C1305" t="s">
        <v>31</v>
      </c>
      <c r="D1305" t="s">
        <v>21</v>
      </c>
      <c r="E1305" s="2">
        <v>45505</v>
      </c>
      <c r="F1305" s="3">
        <v>81219</v>
      </c>
      <c r="G1305" s="3">
        <v>44933</v>
      </c>
      <c r="H1305" s="3">
        <v>36286</v>
      </c>
      <c r="I1305" s="3">
        <v>948</v>
      </c>
      <c r="J1305" s="4">
        <v>167.34</v>
      </c>
      <c r="K1305" s="3">
        <v>55915</v>
      </c>
      <c r="L1305" s="3">
        <v>25304</v>
      </c>
    </row>
    <row r="1306" spans="1:12" x14ac:dyDescent="0.25">
      <c r="A1306" t="s">
        <v>30</v>
      </c>
      <c r="B1306" t="s">
        <v>30</v>
      </c>
      <c r="C1306" t="s">
        <v>31</v>
      </c>
      <c r="D1306" t="s">
        <v>21</v>
      </c>
      <c r="E1306" s="2">
        <v>45536</v>
      </c>
      <c r="F1306" s="3">
        <v>82437</v>
      </c>
      <c r="G1306" s="3">
        <v>45973</v>
      </c>
      <c r="H1306" s="3">
        <v>36464</v>
      </c>
      <c r="I1306" s="3">
        <v>1018</v>
      </c>
      <c r="J1306" s="4">
        <v>166</v>
      </c>
      <c r="K1306" s="3">
        <v>56360</v>
      </c>
      <c r="L1306" s="3">
        <v>26077</v>
      </c>
    </row>
    <row r="1307" spans="1:12" x14ac:dyDescent="0.25">
      <c r="A1307" t="s">
        <v>30</v>
      </c>
      <c r="B1307" t="s">
        <v>30</v>
      </c>
      <c r="C1307" t="s">
        <v>31</v>
      </c>
      <c r="D1307" t="s">
        <v>21</v>
      </c>
      <c r="E1307" s="2">
        <v>45566</v>
      </c>
      <c r="F1307" s="3">
        <v>86874</v>
      </c>
      <c r="G1307" s="3">
        <v>48059</v>
      </c>
      <c r="H1307" s="3">
        <v>38815</v>
      </c>
      <c r="I1307" s="3">
        <v>987</v>
      </c>
      <c r="J1307" s="4">
        <v>158.37</v>
      </c>
      <c r="K1307" s="3">
        <v>61164</v>
      </c>
      <c r="L1307" s="3">
        <v>25710</v>
      </c>
    </row>
    <row r="1308" spans="1:12" x14ac:dyDescent="0.25">
      <c r="A1308" t="s">
        <v>30</v>
      </c>
      <c r="B1308" t="s">
        <v>30</v>
      </c>
      <c r="C1308" t="s">
        <v>31</v>
      </c>
      <c r="D1308" t="s">
        <v>21</v>
      </c>
      <c r="E1308" s="2">
        <v>45597</v>
      </c>
      <c r="F1308" s="3">
        <v>82680</v>
      </c>
      <c r="G1308" s="3">
        <v>47405</v>
      </c>
      <c r="H1308" s="3">
        <v>35275</v>
      </c>
      <c r="I1308" s="3">
        <v>1019</v>
      </c>
      <c r="J1308" s="4">
        <v>156.99</v>
      </c>
      <c r="K1308" s="3">
        <v>55755</v>
      </c>
      <c r="L1308" s="3">
        <v>26925</v>
      </c>
    </row>
    <row r="1309" spans="1:12" x14ac:dyDescent="0.25">
      <c r="A1309" t="s">
        <v>30</v>
      </c>
      <c r="B1309" t="s">
        <v>30</v>
      </c>
      <c r="C1309" t="s">
        <v>31</v>
      </c>
      <c r="D1309" t="s">
        <v>21</v>
      </c>
      <c r="E1309" s="2">
        <v>45627</v>
      </c>
      <c r="F1309" s="3">
        <v>84508</v>
      </c>
      <c r="G1309" s="3">
        <v>47753</v>
      </c>
      <c r="H1309" s="3">
        <v>36755</v>
      </c>
      <c r="I1309" s="3">
        <v>978</v>
      </c>
      <c r="J1309" s="4">
        <v>153.27000000000001</v>
      </c>
      <c r="K1309" s="3">
        <v>58591</v>
      </c>
      <c r="L1309" s="3">
        <v>25917</v>
      </c>
    </row>
    <row r="1310" spans="1:12" x14ac:dyDescent="0.25">
      <c r="A1310" t="s">
        <v>30</v>
      </c>
      <c r="B1310" t="s">
        <v>30</v>
      </c>
      <c r="C1310" t="s">
        <v>31</v>
      </c>
      <c r="D1310" t="s">
        <v>21</v>
      </c>
      <c r="E1310" s="2">
        <v>45658</v>
      </c>
      <c r="F1310" s="3">
        <v>82925</v>
      </c>
      <c r="G1310" s="3">
        <v>45843</v>
      </c>
      <c r="H1310" s="3">
        <v>37082</v>
      </c>
      <c r="I1310" s="3">
        <v>945</v>
      </c>
      <c r="J1310" s="4">
        <v>156.01</v>
      </c>
      <c r="K1310" s="3">
        <v>55852</v>
      </c>
      <c r="L1310" s="3">
        <v>27073</v>
      </c>
    </row>
    <row r="1311" spans="1:12" x14ac:dyDescent="0.25">
      <c r="A1311" t="s">
        <v>30</v>
      </c>
      <c r="B1311" t="s">
        <v>30</v>
      </c>
      <c r="C1311" t="s">
        <v>31</v>
      </c>
      <c r="D1311" t="s">
        <v>21</v>
      </c>
      <c r="E1311" s="2">
        <v>45689</v>
      </c>
      <c r="F1311" s="3">
        <v>80217</v>
      </c>
      <c r="G1311" s="3">
        <v>45409</v>
      </c>
      <c r="H1311" s="3">
        <v>34808</v>
      </c>
      <c r="I1311" s="3">
        <v>944</v>
      </c>
      <c r="J1311" s="4">
        <v>161.6</v>
      </c>
      <c r="K1311" s="3">
        <v>56480</v>
      </c>
      <c r="L1311" s="3">
        <v>23737</v>
      </c>
    </row>
    <row r="1312" spans="1:12" x14ac:dyDescent="0.25">
      <c r="A1312" t="s">
        <v>30</v>
      </c>
      <c r="B1312" t="s">
        <v>30</v>
      </c>
      <c r="C1312" t="s">
        <v>31</v>
      </c>
      <c r="D1312" t="s">
        <v>21</v>
      </c>
      <c r="E1312" s="2">
        <v>45717</v>
      </c>
      <c r="F1312" s="3">
        <v>73168</v>
      </c>
      <c r="G1312" s="3">
        <v>42120</v>
      </c>
      <c r="H1312" s="3">
        <v>31048</v>
      </c>
      <c r="I1312" s="3">
        <v>821</v>
      </c>
      <c r="J1312" s="4">
        <v>167.69</v>
      </c>
      <c r="K1312" s="3">
        <v>51334</v>
      </c>
      <c r="L1312" s="3">
        <v>21834</v>
      </c>
    </row>
    <row r="1313" spans="1:12" x14ac:dyDescent="0.25">
      <c r="A1313" t="s">
        <v>30</v>
      </c>
      <c r="B1313" t="s">
        <v>30</v>
      </c>
      <c r="C1313" t="s">
        <v>31</v>
      </c>
      <c r="D1313" t="s">
        <v>21</v>
      </c>
      <c r="E1313" s="2">
        <v>45748</v>
      </c>
      <c r="F1313" s="3">
        <v>75598</v>
      </c>
      <c r="G1313" s="3">
        <v>43119</v>
      </c>
      <c r="H1313" s="3">
        <v>32479</v>
      </c>
      <c r="I1313" s="3">
        <v>854</v>
      </c>
      <c r="J1313" s="4">
        <v>152.84</v>
      </c>
      <c r="K1313" s="3">
        <v>50994</v>
      </c>
      <c r="L1313" s="3">
        <v>24604</v>
      </c>
    </row>
    <row r="1314" spans="1:12" x14ac:dyDescent="0.25">
      <c r="A1314" t="s">
        <v>30</v>
      </c>
      <c r="B1314" t="s">
        <v>30</v>
      </c>
      <c r="C1314" t="s">
        <v>31</v>
      </c>
      <c r="D1314" t="s">
        <v>21</v>
      </c>
      <c r="E1314" s="2">
        <v>45778</v>
      </c>
      <c r="F1314" s="3">
        <v>79214</v>
      </c>
      <c r="G1314" s="3">
        <v>44155</v>
      </c>
      <c r="H1314" s="3">
        <v>35059</v>
      </c>
      <c r="I1314" s="3">
        <v>906</v>
      </c>
      <c r="J1314" s="4">
        <v>163.62</v>
      </c>
      <c r="K1314" s="3">
        <v>53463</v>
      </c>
      <c r="L1314" s="3">
        <v>25751</v>
      </c>
    </row>
    <row r="1315" spans="1:12" x14ac:dyDescent="0.25">
      <c r="A1315" t="s">
        <v>30</v>
      </c>
      <c r="B1315" t="s">
        <v>30</v>
      </c>
      <c r="C1315" t="s">
        <v>31</v>
      </c>
      <c r="D1315" t="s">
        <v>21</v>
      </c>
      <c r="E1315" s="2">
        <v>45809</v>
      </c>
      <c r="F1315" s="3">
        <v>80975</v>
      </c>
      <c r="G1315" s="3">
        <v>44966</v>
      </c>
      <c r="H1315" s="3">
        <v>36009</v>
      </c>
      <c r="I1315" s="3">
        <v>950</v>
      </c>
      <c r="J1315" s="4">
        <v>165.42</v>
      </c>
      <c r="K1315" s="3">
        <v>54553</v>
      </c>
      <c r="L1315" s="3">
        <v>26422</v>
      </c>
    </row>
    <row r="1316" spans="1:12" x14ac:dyDescent="0.25">
      <c r="A1316" t="s">
        <v>30</v>
      </c>
      <c r="B1316" t="s">
        <v>30</v>
      </c>
      <c r="C1316" t="s">
        <v>31</v>
      </c>
      <c r="D1316" t="s">
        <v>21</v>
      </c>
      <c r="E1316" s="2">
        <v>45839</v>
      </c>
      <c r="F1316" s="3">
        <v>86746</v>
      </c>
      <c r="G1316" s="3">
        <v>49053</v>
      </c>
      <c r="H1316" s="3">
        <v>37693</v>
      </c>
      <c r="I1316" s="3">
        <v>1003</v>
      </c>
      <c r="J1316" s="4">
        <v>164.76</v>
      </c>
      <c r="K1316" s="3">
        <v>59672</v>
      </c>
      <c r="L1316" s="3">
        <v>27074</v>
      </c>
    </row>
    <row r="1317" spans="1:12" x14ac:dyDescent="0.25">
      <c r="A1317" t="s">
        <v>30</v>
      </c>
      <c r="B1317" t="s">
        <v>30</v>
      </c>
      <c r="C1317" t="s">
        <v>31</v>
      </c>
      <c r="D1317" t="s">
        <v>21</v>
      </c>
      <c r="E1317" s="2">
        <v>45870</v>
      </c>
      <c r="F1317" s="3">
        <v>92738</v>
      </c>
      <c r="G1317" s="3">
        <v>52609</v>
      </c>
      <c r="H1317" s="3">
        <v>40129</v>
      </c>
      <c r="I1317" s="3">
        <v>1057</v>
      </c>
      <c r="J1317" s="4">
        <v>165.5</v>
      </c>
      <c r="K1317" s="3">
        <v>62478</v>
      </c>
      <c r="L1317" s="3">
        <v>30260</v>
      </c>
    </row>
    <row r="1318" spans="1:12" x14ac:dyDescent="0.25">
      <c r="A1318" t="s">
        <v>30</v>
      </c>
      <c r="B1318" t="s">
        <v>30</v>
      </c>
      <c r="C1318" t="s">
        <v>31</v>
      </c>
      <c r="D1318" t="s">
        <v>21</v>
      </c>
      <c r="E1318" s="2">
        <v>45901</v>
      </c>
      <c r="F1318" s="3">
        <v>96957</v>
      </c>
      <c r="G1318" s="3">
        <v>54288</v>
      </c>
      <c r="H1318" s="3">
        <v>42669</v>
      </c>
      <c r="I1318" s="3">
        <v>1102</v>
      </c>
      <c r="J1318" s="4">
        <v>154.27000000000001</v>
      </c>
      <c r="K1318" s="3">
        <v>66169</v>
      </c>
      <c r="L1318" s="3">
        <v>30788</v>
      </c>
    </row>
    <row r="1319" spans="1:12" x14ac:dyDescent="0.25">
      <c r="A1319" t="s">
        <v>30</v>
      </c>
      <c r="B1319" t="s">
        <v>30</v>
      </c>
      <c r="C1319" t="s">
        <v>31</v>
      </c>
      <c r="D1319" t="s">
        <v>21</v>
      </c>
      <c r="E1319" s="2">
        <v>45931</v>
      </c>
      <c r="F1319" s="3">
        <v>102305</v>
      </c>
      <c r="G1319" s="3">
        <v>56228</v>
      </c>
      <c r="H1319" s="3">
        <v>46077</v>
      </c>
      <c r="I1319" s="3">
        <v>1148</v>
      </c>
      <c r="J1319" s="4">
        <v>166.1</v>
      </c>
      <c r="K1319" s="3">
        <v>70133</v>
      </c>
      <c r="L1319" s="3">
        <v>32172</v>
      </c>
    </row>
    <row r="1320" spans="1:12" x14ac:dyDescent="0.25">
      <c r="A1320" t="s">
        <v>30</v>
      </c>
      <c r="B1320" t="s">
        <v>30</v>
      </c>
      <c r="C1320" t="s">
        <v>31</v>
      </c>
      <c r="D1320" t="s">
        <v>21</v>
      </c>
      <c r="E1320" s="2">
        <v>45962</v>
      </c>
      <c r="F1320" s="3">
        <v>92701</v>
      </c>
      <c r="G1320" s="3">
        <v>51859</v>
      </c>
      <c r="H1320" s="3">
        <v>40842</v>
      </c>
      <c r="I1320" s="3">
        <v>1083</v>
      </c>
      <c r="J1320" s="4">
        <v>154.52000000000001</v>
      </c>
      <c r="K1320" s="3">
        <v>65080</v>
      </c>
      <c r="L1320" s="3">
        <v>27621</v>
      </c>
    </row>
    <row r="1321" spans="1:12" x14ac:dyDescent="0.25">
      <c r="A1321" t="s">
        <v>30</v>
      </c>
      <c r="B1321" t="s">
        <v>30</v>
      </c>
      <c r="C1321" t="s">
        <v>31</v>
      </c>
      <c r="D1321" t="s">
        <v>21</v>
      </c>
      <c r="E1321" s="2">
        <v>45992</v>
      </c>
      <c r="F1321" s="3">
        <v>99138</v>
      </c>
      <c r="G1321" s="3">
        <v>55643</v>
      </c>
      <c r="H1321" s="3">
        <v>43495</v>
      </c>
      <c r="I1321" s="3">
        <v>1141</v>
      </c>
      <c r="J1321" s="4">
        <v>168.54</v>
      </c>
      <c r="K1321" s="3">
        <v>68080</v>
      </c>
      <c r="L1321" s="3">
        <v>31058</v>
      </c>
    </row>
    <row r="1322" spans="1:12" x14ac:dyDescent="0.25">
      <c r="A1322" t="s">
        <v>30</v>
      </c>
      <c r="B1322" t="s">
        <v>30</v>
      </c>
      <c r="C1322" t="s">
        <v>31</v>
      </c>
      <c r="D1322" t="s">
        <v>22</v>
      </c>
      <c r="E1322" s="2">
        <v>45292</v>
      </c>
      <c r="F1322" s="3">
        <v>65455</v>
      </c>
      <c r="G1322" s="3">
        <v>34152</v>
      </c>
      <c r="H1322" s="3">
        <v>31303</v>
      </c>
      <c r="I1322" s="3">
        <v>6990</v>
      </c>
      <c r="J1322" s="4">
        <v>72.819999999999993</v>
      </c>
      <c r="K1322" s="3">
        <v>45693</v>
      </c>
      <c r="L1322" s="3">
        <v>19762</v>
      </c>
    </row>
    <row r="1323" spans="1:12" x14ac:dyDescent="0.25">
      <c r="A1323" t="s">
        <v>30</v>
      </c>
      <c r="B1323" t="s">
        <v>30</v>
      </c>
      <c r="C1323" t="s">
        <v>31</v>
      </c>
      <c r="D1323" t="s">
        <v>22</v>
      </c>
      <c r="E1323" s="2">
        <v>45323</v>
      </c>
      <c r="F1323" s="3">
        <v>59347</v>
      </c>
      <c r="G1323" s="3">
        <v>31381</v>
      </c>
      <c r="H1323" s="3">
        <v>27966</v>
      </c>
      <c r="I1323" s="3">
        <v>6305</v>
      </c>
      <c r="J1323" s="4">
        <v>76.95</v>
      </c>
      <c r="K1323" s="3">
        <v>40959</v>
      </c>
      <c r="L1323" s="3">
        <v>18388</v>
      </c>
    </row>
    <row r="1324" spans="1:12" x14ac:dyDescent="0.25">
      <c r="A1324" t="s">
        <v>30</v>
      </c>
      <c r="B1324" t="s">
        <v>30</v>
      </c>
      <c r="C1324" t="s">
        <v>31</v>
      </c>
      <c r="D1324" t="s">
        <v>22</v>
      </c>
      <c r="E1324" s="2">
        <v>45352</v>
      </c>
      <c r="F1324" s="3">
        <v>56116</v>
      </c>
      <c r="G1324" s="3">
        <v>29568</v>
      </c>
      <c r="H1324" s="3">
        <v>26548</v>
      </c>
      <c r="I1324" s="3">
        <v>6415</v>
      </c>
      <c r="J1324" s="4">
        <v>73.66</v>
      </c>
      <c r="K1324" s="3">
        <v>37886</v>
      </c>
      <c r="L1324" s="3">
        <v>18230</v>
      </c>
    </row>
    <row r="1325" spans="1:12" x14ac:dyDescent="0.25">
      <c r="A1325" t="s">
        <v>30</v>
      </c>
      <c r="B1325" t="s">
        <v>30</v>
      </c>
      <c r="C1325" t="s">
        <v>31</v>
      </c>
      <c r="D1325" t="s">
        <v>22</v>
      </c>
      <c r="E1325" s="2">
        <v>45383</v>
      </c>
      <c r="F1325" s="3">
        <v>61280</v>
      </c>
      <c r="G1325" s="3">
        <v>33289</v>
      </c>
      <c r="H1325" s="3">
        <v>27991</v>
      </c>
      <c r="I1325" s="3">
        <v>7110</v>
      </c>
      <c r="J1325" s="4">
        <v>74.23</v>
      </c>
      <c r="K1325" s="3">
        <v>42318</v>
      </c>
      <c r="L1325" s="3">
        <v>18962</v>
      </c>
    </row>
    <row r="1326" spans="1:12" x14ac:dyDescent="0.25">
      <c r="A1326" t="s">
        <v>30</v>
      </c>
      <c r="B1326" t="s">
        <v>30</v>
      </c>
      <c r="C1326" t="s">
        <v>31</v>
      </c>
      <c r="D1326" t="s">
        <v>22</v>
      </c>
      <c r="E1326" s="2">
        <v>45413</v>
      </c>
      <c r="F1326" s="3">
        <v>56922</v>
      </c>
      <c r="G1326" s="3">
        <v>29604</v>
      </c>
      <c r="H1326" s="3">
        <v>27318</v>
      </c>
      <c r="I1326" s="3">
        <v>6570</v>
      </c>
      <c r="J1326" s="4">
        <v>75.92</v>
      </c>
      <c r="K1326" s="3">
        <v>39220</v>
      </c>
      <c r="L1326" s="3">
        <v>17702</v>
      </c>
    </row>
    <row r="1327" spans="1:12" x14ac:dyDescent="0.25">
      <c r="A1327" t="s">
        <v>30</v>
      </c>
      <c r="B1327" t="s">
        <v>30</v>
      </c>
      <c r="C1327" t="s">
        <v>31</v>
      </c>
      <c r="D1327" t="s">
        <v>22</v>
      </c>
      <c r="E1327" s="2">
        <v>45444</v>
      </c>
      <c r="F1327" s="3">
        <v>61718</v>
      </c>
      <c r="G1327" s="3">
        <v>32656</v>
      </c>
      <c r="H1327" s="3">
        <v>29062</v>
      </c>
      <c r="I1327" s="3">
        <v>6618</v>
      </c>
      <c r="J1327" s="4">
        <v>73.72</v>
      </c>
      <c r="K1327" s="3">
        <v>43131</v>
      </c>
      <c r="L1327" s="3">
        <v>18587</v>
      </c>
    </row>
    <row r="1328" spans="1:12" x14ac:dyDescent="0.25">
      <c r="A1328" t="s">
        <v>30</v>
      </c>
      <c r="B1328" t="s">
        <v>30</v>
      </c>
      <c r="C1328" t="s">
        <v>31</v>
      </c>
      <c r="D1328" t="s">
        <v>22</v>
      </c>
      <c r="E1328" s="2">
        <v>45474</v>
      </c>
      <c r="F1328" s="3">
        <v>61580</v>
      </c>
      <c r="G1328" s="3">
        <v>32505</v>
      </c>
      <c r="H1328" s="3">
        <v>29075</v>
      </c>
      <c r="I1328" s="3">
        <v>6764</v>
      </c>
      <c r="J1328" s="4">
        <v>73.069999999999993</v>
      </c>
      <c r="K1328" s="3">
        <v>42725</v>
      </c>
      <c r="L1328" s="3">
        <v>18855</v>
      </c>
    </row>
    <row r="1329" spans="1:12" x14ac:dyDescent="0.25">
      <c r="A1329" t="s">
        <v>30</v>
      </c>
      <c r="B1329" t="s">
        <v>30</v>
      </c>
      <c r="C1329" t="s">
        <v>31</v>
      </c>
      <c r="D1329" t="s">
        <v>22</v>
      </c>
      <c r="E1329" s="2">
        <v>45505</v>
      </c>
      <c r="F1329" s="3">
        <v>69538</v>
      </c>
      <c r="G1329" s="3">
        <v>36809</v>
      </c>
      <c r="H1329" s="3">
        <v>32729</v>
      </c>
      <c r="I1329" s="3">
        <v>7495</v>
      </c>
      <c r="J1329" s="4">
        <v>73.430000000000007</v>
      </c>
      <c r="K1329" s="3">
        <v>47137</v>
      </c>
      <c r="L1329" s="3">
        <v>22401</v>
      </c>
    </row>
    <row r="1330" spans="1:12" x14ac:dyDescent="0.25">
      <c r="A1330" t="s">
        <v>30</v>
      </c>
      <c r="B1330" t="s">
        <v>30</v>
      </c>
      <c r="C1330" t="s">
        <v>31</v>
      </c>
      <c r="D1330" t="s">
        <v>22</v>
      </c>
      <c r="E1330" s="2">
        <v>45536</v>
      </c>
      <c r="F1330" s="3">
        <v>67988</v>
      </c>
      <c r="G1330" s="3">
        <v>36992</v>
      </c>
      <c r="H1330" s="3">
        <v>30996</v>
      </c>
      <c r="I1330" s="3">
        <v>7571</v>
      </c>
      <c r="J1330" s="4">
        <v>75.81</v>
      </c>
      <c r="K1330" s="3">
        <v>46351</v>
      </c>
      <c r="L1330" s="3">
        <v>21637</v>
      </c>
    </row>
    <row r="1331" spans="1:12" x14ac:dyDescent="0.25">
      <c r="A1331" t="s">
        <v>30</v>
      </c>
      <c r="B1331" t="s">
        <v>30</v>
      </c>
      <c r="C1331" t="s">
        <v>31</v>
      </c>
      <c r="D1331" t="s">
        <v>22</v>
      </c>
      <c r="E1331" s="2">
        <v>45566</v>
      </c>
      <c r="F1331" s="3">
        <v>74210</v>
      </c>
      <c r="G1331" s="3">
        <v>39459</v>
      </c>
      <c r="H1331" s="3">
        <v>34751</v>
      </c>
      <c r="I1331" s="3">
        <v>7953</v>
      </c>
      <c r="J1331" s="4">
        <v>78.900000000000006</v>
      </c>
      <c r="K1331" s="3">
        <v>52106</v>
      </c>
      <c r="L1331" s="3">
        <v>22104</v>
      </c>
    </row>
    <row r="1332" spans="1:12" x14ac:dyDescent="0.25">
      <c r="A1332" t="s">
        <v>30</v>
      </c>
      <c r="B1332" t="s">
        <v>30</v>
      </c>
      <c r="C1332" t="s">
        <v>31</v>
      </c>
      <c r="D1332" t="s">
        <v>22</v>
      </c>
      <c r="E1332" s="2">
        <v>45597</v>
      </c>
      <c r="F1332" s="3">
        <v>72718</v>
      </c>
      <c r="G1332" s="3">
        <v>38600</v>
      </c>
      <c r="H1332" s="3">
        <v>34118</v>
      </c>
      <c r="I1332" s="3">
        <v>8310</v>
      </c>
      <c r="J1332" s="4">
        <v>76.89</v>
      </c>
      <c r="K1332" s="3">
        <v>50102</v>
      </c>
      <c r="L1332" s="3">
        <v>22616</v>
      </c>
    </row>
    <row r="1333" spans="1:12" x14ac:dyDescent="0.25">
      <c r="A1333" t="s">
        <v>30</v>
      </c>
      <c r="B1333" t="s">
        <v>30</v>
      </c>
      <c r="C1333" t="s">
        <v>31</v>
      </c>
      <c r="D1333" t="s">
        <v>22</v>
      </c>
      <c r="E1333" s="2">
        <v>45627</v>
      </c>
      <c r="F1333" s="3">
        <v>68424</v>
      </c>
      <c r="G1333" s="3">
        <v>37188</v>
      </c>
      <c r="H1333" s="3">
        <v>31236</v>
      </c>
      <c r="I1333" s="3">
        <v>7689</v>
      </c>
      <c r="J1333" s="4">
        <v>74.64</v>
      </c>
      <c r="K1333" s="3">
        <v>47113</v>
      </c>
      <c r="L1333" s="3">
        <v>21311</v>
      </c>
    </row>
    <row r="1334" spans="1:12" x14ac:dyDescent="0.25">
      <c r="A1334" t="s">
        <v>30</v>
      </c>
      <c r="B1334" t="s">
        <v>30</v>
      </c>
      <c r="C1334" t="s">
        <v>31</v>
      </c>
      <c r="D1334" t="s">
        <v>22</v>
      </c>
      <c r="E1334" s="2">
        <v>45658</v>
      </c>
      <c r="F1334" s="3">
        <v>69309</v>
      </c>
      <c r="G1334" s="3">
        <v>37590</v>
      </c>
      <c r="H1334" s="3">
        <v>31719</v>
      </c>
      <c r="I1334" s="3">
        <v>7863</v>
      </c>
      <c r="J1334" s="4">
        <v>71.92</v>
      </c>
      <c r="K1334" s="3">
        <v>47247</v>
      </c>
      <c r="L1334" s="3">
        <v>22062</v>
      </c>
    </row>
    <row r="1335" spans="1:12" x14ac:dyDescent="0.25">
      <c r="A1335" t="s">
        <v>30</v>
      </c>
      <c r="B1335" t="s">
        <v>30</v>
      </c>
      <c r="C1335" t="s">
        <v>31</v>
      </c>
      <c r="D1335" t="s">
        <v>22</v>
      </c>
      <c r="E1335" s="2">
        <v>45689</v>
      </c>
      <c r="F1335" s="3">
        <v>67153</v>
      </c>
      <c r="G1335" s="3">
        <v>35714</v>
      </c>
      <c r="H1335" s="3">
        <v>31439</v>
      </c>
      <c r="I1335" s="3">
        <v>7792</v>
      </c>
      <c r="J1335" s="4">
        <v>71.88</v>
      </c>
      <c r="K1335" s="3">
        <v>46697</v>
      </c>
      <c r="L1335" s="3">
        <v>20456</v>
      </c>
    </row>
    <row r="1336" spans="1:12" x14ac:dyDescent="0.25">
      <c r="A1336" t="s">
        <v>30</v>
      </c>
      <c r="B1336" t="s">
        <v>30</v>
      </c>
      <c r="C1336" t="s">
        <v>31</v>
      </c>
      <c r="D1336" t="s">
        <v>22</v>
      </c>
      <c r="E1336" s="2">
        <v>45717</v>
      </c>
      <c r="F1336" s="3">
        <v>59654</v>
      </c>
      <c r="G1336" s="3">
        <v>32584</v>
      </c>
      <c r="H1336" s="3">
        <v>27070</v>
      </c>
      <c r="I1336" s="3">
        <v>6751</v>
      </c>
      <c r="J1336" s="4">
        <v>78.75</v>
      </c>
      <c r="K1336" s="3">
        <v>40569</v>
      </c>
      <c r="L1336" s="3">
        <v>19085</v>
      </c>
    </row>
    <row r="1337" spans="1:12" x14ac:dyDescent="0.25">
      <c r="A1337" t="s">
        <v>30</v>
      </c>
      <c r="B1337" t="s">
        <v>30</v>
      </c>
      <c r="C1337" t="s">
        <v>31</v>
      </c>
      <c r="D1337" t="s">
        <v>22</v>
      </c>
      <c r="E1337" s="2">
        <v>45748</v>
      </c>
      <c r="F1337" s="3">
        <v>62079</v>
      </c>
      <c r="G1337" s="3">
        <v>32798</v>
      </c>
      <c r="H1337" s="3">
        <v>29281</v>
      </c>
      <c r="I1337" s="3">
        <v>6622</v>
      </c>
      <c r="J1337" s="4">
        <v>73.7</v>
      </c>
      <c r="K1337" s="3">
        <v>42714</v>
      </c>
      <c r="L1337" s="3">
        <v>19365</v>
      </c>
    </row>
    <row r="1338" spans="1:12" x14ac:dyDescent="0.25">
      <c r="A1338" t="s">
        <v>30</v>
      </c>
      <c r="B1338" t="s">
        <v>30</v>
      </c>
      <c r="C1338" t="s">
        <v>31</v>
      </c>
      <c r="D1338" t="s">
        <v>22</v>
      </c>
      <c r="E1338" s="2">
        <v>45778</v>
      </c>
      <c r="F1338" s="3">
        <v>59107</v>
      </c>
      <c r="G1338" s="3">
        <v>30915</v>
      </c>
      <c r="H1338" s="3">
        <v>28192</v>
      </c>
      <c r="I1338" s="3">
        <v>6725</v>
      </c>
      <c r="J1338" s="4">
        <v>72.58</v>
      </c>
      <c r="K1338" s="3">
        <v>40433</v>
      </c>
      <c r="L1338" s="3">
        <v>18674</v>
      </c>
    </row>
    <row r="1339" spans="1:12" x14ac:dyDescent="0.25">
      <c r="A1339" t="s">
        <v>30</v>
      </c>
      <c r="B1339" t="s">
        <v>30</v>
      </c>
      <c r="C1339" t="s">
        <v>31</v>
      </c>
      <c r="D1339" t="s">
        <v>22</v>
      </c>
      <c r="E1339" s="2">
        <v>45809</v>
      </c>
      <c r="F1339" s="3">
        <v>69204</v>
      </c>
      <c r="G1339" s="3">
        <v>37573</v>
      </c>
      <c r="H1339" s="3">
        <v>31631</v>
      </c>
      <c r="I1339" s="3">
        <v>7819</v>
      </c>
      <c r="J1339" s="4">
        <v>73.400000000000006</v>
      </c>
      <c r="K1339" s="3">
        <v>48343</v>
      </c>
      <c r="L1339" s="3">
        <v>20861</v>
      </c>
    </row>
    <row r="1340" spans="1:12" x14ac:dyDescent="0.25">
      <c r="A1340" t="s">
        <v>30</v>
      </c>
      <c r="B1340" t="s">
        <v>30</v>
      </c>
      <c r="C1340" t="s">
        <v>31</v>
      </c>
      <c r="D1340" t="s">
        <v>22</v>
      </c>
      <c r="E1340" s="2">
        <v>45839</v>
      </c>
      <c r="F1340" s="3">
        <v>71522</v>
      </c>
      <c r="G1340" s="3">
        <v>37488</v>
      </c>
      <c r="H1340" s="3">
        <v>34034</v>
      </c>
      <c r="I1340" s="3">
        <v>7778</v>
      </c>
      <c r="J1340" s="4">
        <v>76.22</v>
      </c>
      <c r="K1340" s="3">
        <v>49833</v>
      </c>
      <c r="L1340" s="3">
        <v>21689</v>
      </c>
    </row>
    <row r="1341" spans="1:12" x14ac:dyDescent="0.25">
      <c r="A1341" t="s">
        <v>30</v>
      </c>
      <c r="B1341" t="s">
        <v>30</v>
      </c>
      <c r="C1341" t="s">
        <v>31</v>
      </c>
      <c r="D1341" t="s">
        <v>22</v>
      </c>
      <c r="E1341" s="2">
        <v>45870</v>
      </c>
      <c r="F1341" s="3">
        <v>74196</v>
      </c>
      <c r="G1341" s="3">
        <v>40493</v>
      </c>
      <c r="H1341" s="3">
        <v>33703</v>
      </c>
      <c r="I1341" s="3">
        <v>7907</v>
      </c>
      <c r="J1341" s="4">
        <v>75.06</v>
      </c>
      <c r="K1341" s="3">
        <v>50875</v>
      </c>
      <c r="L1341" s="3">
        <v>23321</v>
      </c>
    </row>
    <row r="1342" spans="1:12" x14ac:dyDescent="0.25">
      <c r="A1342" t="s">
        <v>30</v>
      </c>
      <c r="B1342" t="s">
        <v>30</v>
      </c>
      <c r="C1342" t="s">
        <v>31</v>
      </c>
      <c r="D1342" t="s">
        <v>22</v>
      </c>
      <c r="E1342" s="2">
        <v>45901</v>
      </c>
      <c r="F1342" s="3">
        <v>78335</v>
      </c>
      <c r="G1342" s="3">
        <v>41083</v>
      </c>
      <c r="H1342" s="3">
        <v>37252</v>
      </c>
      <c r="I1342" s="3">
        <v>8555</v>
      </c>
      <c r="J1342" s="4">
        <v>72.7</v>
      </c>
      <c r="K1342" s="3">
        <v>53563</v>
      </c>
      <c r="L1342" s="3">
        <v>24772</v>
      </c>
    </row>
    <row r="1343" spans="1:12" x14ac:dyDescent="0.25">
      <c r="A1343" t="s">
        <v>30</v>
      </c>
      <c r="B1343" t="s">
        <v>30</v>
      </c>
      <c r="C1343" t="s">
        <v>31</v>
      </c>
      <c r="D1343" t="s">
        <v>22</v>
      </c>
      <c r="E1343" s="2">
        <v>45931</v>
      </c>
      <c r="F1343" s="3">
        <v>75203</v>
      </c>
      <c r="G1343" s="3">
        <v>40914</v>
      </c>
      <c r="H1343" s="3">
        <v>34289</v>
      </c>
      <c r="I1343" s="3">
        <v>8629</v>
      </c>
      <c r="J1343" s="4">
        <v>72.97</v>
      </c>
      <c r="K1343" s="3">
        <v>50753</v>
      </c>
      <c r="L1343" s="3">
        <v>24450</v>
      </c>
    </row>
    <row r="1344" spans="1:12" x14ac:dyDescent="0.25">
      <c r="A1344" t="s">
        <v>30</v>
      </c>
      <c r="B1344" t="s">
        <v>30</v>
      </c>
      <c r="C1344" t="s">
        <v>31</v>
      </c>
      <c r="D1344" t="s">
        <v>22</v>
      </c>
      <c r="E1344" s="2">
        <v>45962</v>
      </c>
      <c r="F1344" s="3">
        <v>80848</v>
      </c>
      <c r="G1344" s="3">
        <v>42998</v>
      </c>
      <c r="H1344" s="3">
        <v>37850</v>
      </c>
      <c r="I1344" s="3">
        <v>9011</v>
      </c>
      <c r="J1344" s="4">
        <v>77.95</v>
      </c>
      <c r="K1344" s="3">
        <v>56434</v>
      </c>
      <c r="L1344" s="3">
        <v>24414</v>
      </c>
    </row>
    <row r="1345" spans="1:12" x14ac:dyDescent="0.25">
      <c r="A1345" t="s">
        <v>30</v>
      </c>
      <c r="B1345" t="s">
        <v>30</v>
      </c>
      <c r="C1345" t="s">
        <v>31</v>
      </c>
      <c r="D1345" t="s">
        <v>22</v>
      </c>
      <c r="E1345" s="2">
        <v>45992</v>
      </c>
      <c r="F1345" s="3">
        <v>70659</v>
      </c>
      <c r="G1345" s="3">
        <v>37660</v>
      </c>
      <c r="H1345" s="3">
        <v>32999</v>
      </c>
      <c r="I1345" s="3">
        <v>8177</v>
      </c>
      <c r="J1345" s="4">
        <v>73.900000000000006</v>
      </c>
      <c r="K1345" s="3">
        <v>49003</v>
      </c>
      <c r="L1345" s="3">
        <v>21656</v>
      </c>
    </row>
    <row r="1346" spans="1:12" x14ac:dyDescent="0.25">
      <c r="A1346" t="s">
        <v>32</v>
      </c>
      <c r="B1346" t="s">
        <v>32</v>
      </c>
      <c r="C1346" t="s">
        <v>33</v>
      </c>
      <c r="D1346" t="s">
        <v>15</v>
      </c>
      <c r="E1346" s="2">
        <v>45292</v>
      </c>
      <c r="F1346" s="3">
        <v>317852</v>
      </c>
      <c r="G1346" s="3">
        <v>246294</v>
      </c>
      <c r="H1346" s="3">
        <v>71558</v>
      </c>
      <c r="I1346" s="3">
        <v>9625</v>
      </c>
      <c r="J1346" s="4">
        <v>434.94</v>
      </c>
      <c r="K1346" s="3">
        <v>213769</v>
      </c>
      <c r="L1346" s="3">
        <v>104083</v>
      </c>
    </row>
    <row r="1347" spans="1:12" x14ac:dyDescent="0.25">
      <c r="A1347" t="s">
        <v>32</v>
      </c>
      <c r="B1347" t="s">
        <v>32</v>
      </c>
      <c r="C1347" t="s">
        <v>33</v>
      </c>
      <c r="D1347" t="s">
        <v>15</v>
      </c>
      <c r="E1347" s="2">
        <v>45323</v>
      </c>
      <c r="F1347" s="3">
        <v>296170</v>
      </c>
      <c r="G1347" s="3">
        <v>234103</v>
      </c>
      <c r="H1347" s="3">
        <v>62067</v>
      </c>
      <c r="I1347" s="3">
        <v>8365</v>
      </c>
      <c r="J1347" s="4">
        <v>405.23</v>
      </c>
      <c r="K1347" s="3">
        <v>199869</v>
      </c>
      <c r="L1347" s="3">
        <v>96301</v>
      </c>
    </row>
    <row r="1348" spans="1:12" x14ac:dyDescent="0.25">
      <c r="A1348" t="s">
        <v>32</v>
      </c>
      <c r="B1348" t="s">
        <v>32</v>
      </c>
      <c r="C1348" t="s">
        <v>33</v>
      </c>
      <c r="D1348" t="s">
        <v>15</v>
      </c>
      <c r="E1348" s="2">
        <v>45352</v>
      </c>
      <c r="F1348" s="3">
        <v>263405</v>
      </c>
      <c r="G1348" s="3">
        <v>207319</v>
      </c>
      <c r="H1348" s="3">
        <v>56086</v>
      </c>
      <c r="I1348" s="3">
        <v>7636</v>
      </c>
      <c r="J1348" s="4">
        <v>410.25</v>
      </c>
      <c r="K1348" s="3">
        <v>176985</v>
      </c>
      <c r="L1348" s="3">
        <v>86420</v>
      </c>
    </row>
    <row r="1349" spans="1:12" x14ac:dyDescent="0.25">
      <c r="A1349" t="s">
        <v>32</v>
      </c>
      <c r="B1349" t="s">
        <v>32</v>
      </c>
      <c r="C1349" t="s">
        <v>33</v>
      </c>
      <c r="D1349" t="s">
        <v>15</v>
      </c>
      <c r="E1349" s="2">
        <v>45383</v>
      </c>
      <c r="F1349" s="3">
        <v>260497</v>
      </c>
      <c r="G1349" s="3">
        <v>206282</v>
      </c>
      <c r="H1349" s="3">
        <v>54215</v>
      </c>
      <c r="I1349" s="3">
        <v>7553</v>
      </c>
      <c r="J1349" s="4">
        <v>410.91</v>
      </c>
      <c r="K1349" s="3">
        <v>175664</v>
      </c>
      <c r="L1349" s="3">
        <v>84833</v>
      </c>
    </row>
    <row r="1350" spans="1:12" x14ac:dyDescent="0.25">
      <c r="A1350" t="s">
        <v>32</v>
      </c>
      <c r="B1350" t="s">
        <v>32</v>
      </c>
      <c r="C1350" t="s">
        <v>33</v>
      </c>
      <c r="D1350" t="s">
        <v>15</v>
      </c>
      <c r="E1350" s="2">
        <v>45413</v>
      </c>
      <c r="F1350" s="3">
        <v>283227</v>
      </c>
      <c r="G1350" s="3">
        <v>217237</v>
      </c>
      <c r="H1350" s="3">
        <v>65990</v>
      </c>
      <c r="I1350" s="3">
        <v>8542</v>
      </c>
      <c r="J1350" s="4">
        <v>427.51</v>
      </c>
      <c r="K1350" s="3">
        <v>188892</v>
      </c>
      <c r="L1350" s="3">
        <v>94335</v>
      </c>
    </row>
    <row r="1351" spans="1:12" x14ac:dyDescent="0.25">
      <c r="A1351" t="s">
        <v>32</v>
      </c>
      <c r="B1351" t="s">
        <v>32</v>
      </c>
      <c r="C1351" t="s">
        <v>33</v>
      </c>
      <c r="D1351" t="s">
        <v>15</v>
      </c>
      <c r="E1351" s="2">
        <v>45444</v>
      </c>
      <c r="F1351" s="3">
        <v>296311</v>
      </c>
      <c r="G1351" s="3">
        <v>229424</v>
      </c>
      <c r="H1351" s="3">
        <v>66887</v>
      </c>
      <c r="I1351" s="3">
        <v>9007</v>
      </c>
      <c r="J1351" s="4">
        <v>412.4</v>
      </c>
      <c r="K1351" s="3">
        <v>193066</v>
      </c>
      <c r="L1351" s="3">
        <v>103245</v>
      </c>
    </row>
    <row r="1352" spans="1:12" x14ac:dyDescent="0.25">
      <c r="A1352" t="s">
        <v>32</v>
      </c>
      <c r="B1352" t="s">
        <v>32</v>
      </c>
      <c r="C1352" t="s">
        <v>33</v>
      </c>
      <c r="D1352" t="s">
        <v>15</v>
      </c>
      <c r="E1352" s="2">
        <v>45474</v>
      </c>
      <c r="F1352" s="3">
        <v>316925</v>
      </c>
      <c r="G1352" s="3">
        <v>250503</v>
      </c>
      <c r="H1352" s="3">
        <v>66422</v>
      </c>
      <c r="I1352" s="3">
        <v>9063</v>
      </c>
      <c r="J1352" s="4">
        <v>428.16</v>
      </c>
      <c r="K1352" s="3">
        <v>207420</v>
      </c>
      <c r="L1352" s="3">
        <v>109505</v>
      </c>
    </row>
    <row r="1353" spans="1:12" x14ac:dyDescent="0.25">
      <c r="A1353" t="s">
        <v>32</v>
      </c>
      <c r="B1353" t="s">
        <v>32</v>
      </c>
      <c r="C1353" t="s">
        <v>33</v>
      </c>
      <c r="D1353" t="s">
        <v>15</v>
      </c>
      <c r="E1353" s="2">
        <v>45505</v>
      </c>
      <c r="F1353" s="3">
        <v>320981</v>
      </c>
      <c r="G1353" s="3">
        <v>252166</v>
      </c>
      <c r="H1353" s="3">
        <v>68815</v>
      </c>
      <c r="I1353" s="3">
        <v>9427</v>
      </c>
      <c r="J1353" s="4">
        <v>427.03</v>
      </c>
      <c r="K1353" s="3">
        <v>207710</v>
      </c>
      <c r="L1353" s="3">
        <v>113271</v>
      </c>
    </row>
    <row r="1354" spans="1:12" x14ac:dyDescent="0.25">
      <c r="A1354" t="s">
        <v>32</v>
      </c>
      <c r="B1354" t="s">
        <v>32</v>
      </c>
      <c r="C1354" t="s">
        <v>33</v>
      </c>
      <c r="D1354" t="s">
        <v>15</v>
      </c>
      <c r="E1354" s="2">
        <v>45536</v>
      </c>
      <c r="F1354" s="3">
        <v>342627</v>
      </c>
      <c r="G1354" s="3">
        <v>268741</v>
      </c>
      <c r="H1354" s="3">
        <v>73886</v>
      </c>
      <c r="I1354" s="3">
        <v>9712</v>
      </c>
      <c r="J1354" s="4">
        <v>402.38</v>
      </c>
      <c r="K1354" s="3">
        <v>221653</v>
      </c>
      <c r="L1354" s="3">
        <v>120974</v>
      </c>
    </row>
    <row r="1355" spans="1:12" x14ac:dyDescent="0.25">
      <c r="A1355" t="s">
        <v>32</v>
      </c>
      <c r="B1355" t="s">
        <v>32</v>
      </c>
      <c r="C1355" t="s">
        <v>33</v>
      </c>
      <c r="D1355" t="s">
        <v>15</v>
      </c>
      <c r="E1355" s="2">
        <v>45566</v>
      </c>
      <c r="F1355" s="3">
        <v>326726</v>
      </c>
      <c r="G1355" s="3">
        <v>252857</v>
      </c>
      <c r="H1355" s="3">
        <v>73869</v>
      </c>
      <c r="I1355" s="3">
        <v>9970</v>
      </c>
      <c r="J1355" s="4">
        <v>431.07</v>
      </c>
      <c r="K1355" s="3">
        <v>210824</v>
      </c>
      <c r="L1355" s="3">
        <v>115902</v>
      </c>
    </row>
    <row r="1356" spans="1:12" x14ac:dyDescent="0.25">
      <c r="A1356" t="s">
        <v>32</v>
      </c>
      <c r="B1356" t="s">
        <v>32</v>
      </c>
      <c r="C1356" t="s">
        <v>33</v>
      </c>
      <c r="D1356" t="s">
        <v>15</v>
      </c>
      <c r="E1356" s="2">
        <v>45597</v>
      </c>
      <c r="F1356" s="3">
        <v>352683</v>
      </c>
      <c r="G1356" s="3">
        <v>271964</v>
      </c>
      <c r="H1356" s="3">
        <v>80719</v>
      </c>
      <c r="I1356" s="3">
        <v>10792</v>
      </c>
      <c r="J1356" s="4">
        <v>417.38</v>
      </c>
      <c r="K1356" s="3">
        <v>231683</v>
      </c>
      <c r="L1356" s="3">
        <v>121000</v>
      </c>
    </row>
    <row r="1357" spans="1:12" x14ac:dyDescent="0.25">
      <c r="A1357" t="s">
        <v>32</v>
      </c>
      <c r="B1357" t="s">
        <v>32</v>
      </c>
      <c r="C1357" t="s">
        <v>33</v>
      </c>
      <c r="D1357" t="s">
        <v>15</v>
      </c>
      <c r="E1357" s="2">
        <v>45627</v>
      </c>
      <c r="F1357" s="3">
        <v>349500</v>
      </c>
      <c r="G1357" s="3">
        <v>275659</v>
      </c>
      <c r="H1357" s="3">
        <v>73841</v>
      </c>
      <c r="I1357" s="3">
        <v>10550</v>
      </c>
      <c r="J1357" s="4">
        <v>430.86</v>
      </c>
      <c r="K1357" s="3">
        <v>231941</v>
      </c>
      <c r="L1357" s="3">
        <v>117559</v>
      </c>
    </row>
    <row r="1358" spans="1:12" x14ac:dyDescent="0.25">
      <c r="A1358" t="s">
        <v>32</v>
      </c>
      <c r="B1358" t="s">
        <v>32</v>
      </c>
      <c r="C1358" t="s">
        <v>33</v>
      </c>
      <c r="D1358" t="s">
        <v>15</v>
      </c>
      <c r="E1358" s="2">
        <v>45658</v>
      </c>
      <c r="F1358" s="3">
        <v>327632</v>
      </c>
      <c r="G1358" s="3">
        <v>257631</v>
      </c>
      <c r="H1358" s="3">
        <v>70001</v>
      </c>
      <c r="I1358" s="3">
        <v>9596</v>
      </c>
      <c r="J1358" s="4">
        <v>416.31</v>
      </c>
      <c r="K1358" s="3">
        <v>214842</v>
      </c>
      <c r="L1358" s="3">
        <v>112790</v>
      </c>
    </row>
    <row r="1359" spans="1:12" x14ac:dyDescent="0.25">
      <c r="A1359" t="s">
        <v>32</v>
      </c>
      <c r="B1359" t="s">
        <v>32</v>
      </c>
      <c r="C1359" t="s">
        <v>33</v>
      </c>
      <c r="D1359" t="s">
        <v>15</v>
      </c>
      <c r="E1359" s="2">
        <v>45689</v>
      </c>
      <c r="F1359" s="3">
        <v>293294</v>
      </c>
      <c r="G1359" s="3">
        <v>231658</v>
      </c>
      <c r="H1359" s="3">
        <v>61636</v>
      </c>
      <c r="I1359" s="3">
        <v>8496</v>
      </c>
      <c r="J1359" s="4">
        <v>420.37</v>
      </c>
      <c r="K1359" s="3">
        <v>189905</v>
      </c>
      <c r="L1359" s="3">
        <v>103389</v>
      </c>
    </row>
    <row r="1360" spans="1:12" x14ac:dyDescent="0.25">
      <c r="A1360" t="s">
        <v>32</v>
      </c>
      <c r="B1360" t="s">
        <v>32</v>
      </c>
      <c r="C1360" t="s">
        <v>33</v>
      </c>
      <c r="D1360" t="s">
        <v>15</v>
      </c>
      <c r="E1360" s="2">
        <v>45717</v>
      </c>
      <c r="F1360" s="3">
        <v>309649</v>
      </c>
      <c r="G1360" s="3">
        <v>241843</v>
      </c>
      <c r="H1360" s="3">
        <v>67806</v>
      </c>
      <c r="I1360" s="3">
        <v>9481</v>
      </c>
      <c r="J1360" s="4">
        <v>407.79</v>
      </c>
      <c r="K1360" s="3">
        <v>207912</v>
      </c>
      <c r="L1360" s="3">
        <v>101737</v>
      </c>
    </row>
    <row r="1361" spans="1:12" x14ac:dyDescent="0.25">
      <c r="A1361" t="s">
        <v>32</v>
      </c>
      <c r="B1361" t="s">
        <v>32</v>
      </c>
      <c r="C1361" t="s">
        <v>33</v>
      </c>
      <c r="D1361" t="s">
        <v>15</v>
      </c>
      <c r="E1361" s="2">
        <v>45748</v>
      </c>
      <c r="F1361" s="3">
        <v>300416</v>
      </c>
      <c r="G1361" s="3">
        <v>233190</v>
      </c>
      <c r="H1361" s="3">
        <v>67226</v>
      </c>
      <c r="I1361" s="3">
        <v>8786</v>
      </c>
      <c r="J1361" s="4">
        <v>425.88</v>
      </c>
      <c r="K1361" s="3">
        <v>202894</v>
      </c>
      <c r="L1361" s="3">
        <v>97522</v>
      </c>
    </row>
    <row r="1362" spans="1:12" x14ac:dyDescent="0.25">
      <c r="A1362" t="s">
        <v>32</v>
      </c>
      <c r="B1362" t="s">
        <v>32</v>
      </c>
      <c r="C1362" t="s">
        <v>33</v>
      </c>
      <c r="D1362" t="s">
        <v>15</v>
      </c>
      <c r="E1362" s="2">
        <v>45778</v>
      </c>
      <c r="F1362" s="3">
        <v>287465</v>
      </c>
      <c r="G1362" s="3">
        <v>227014</v>
      </c>
      <c r="H1362" s="3">
        <v>60451</v>
      </c>
      <c r="I1362" s="3">
        <v>8277</v>
      </c>
      <c r="J1362" s="4">
        <v>417.32</v>
      </c>
      <c r="K1362" s="3">
        <v>193104</v>
      </c>
      <c r="L1362" s="3">
        <v>94361</v>
      </c>
    </row>
    <row r="1363" spans="1:12" x14ac:dyDescent="0.25">
      <c r="A1363" t="s">
        <v>32</v>
      </c>
      <c r="B1363" t="s">
        <v>32</v>
      </c>
      <c r="C1363" t="s">
        <v>33</v>
      </c>
      <c r="D1363" t="s">
        <v>15</v>
      </c>
      <c r="E1363" s="2">
        <v>45809</v>
      </c>
      <c r="F1363" s="3">
        <v>313534</v>
      </c>
      <c r="G1363" s="3">
        <v>243301</v>
      </c>
      <c r="H1363" s="3">
        <v>70233</v>
      </c>
      <c r="I1363" s="3">
        <v>9330</v>
      </c>
      <c r="J1363" s="4">
        <v>399.89</v>
      </c>
      <c r="K1363" s="3">
        <v>201974</v>
      </c>
      <c r="L1363" s="3">
        <v>111560</v>
      </c>
    </row>
    <row r="1364" spans="1:12" x14ac:dyDescent="0.25">
      <c r="A1364" t="s">
        <v>32</v>
      </c>
      <c r="B1364" t="s">
        <v>32</v>
      </c>
      <c r="C1364" t="s">
        <v>33</v>
      </c>
      <c r="D1364" t="s">
        <v>15</v>
      </c>
      <c r="E1364" s="2">
        <v>45839</v>
      </c>
      <c r="F1364" s="3">
        <v>342262</v>
      </c>
      <c r="G1364" s="3">
        <v>263996</v>
      </c>
      <c r="H1364" s="3">
        <v>78266</v>
      </c>
      <c r="I1364" s="3">
        <v>10042</v>
      </c>
      <c r="J1364" s="4">
        <v>425.15</v>
      </c>
      <c r="K1364" s="3">
        <v>228301</v>
      </c>
      <c r="L1364" s="3">
        <v>113961</v>
      </c>
    </row>
    <row r="1365" spans="1:12" x14ac:dyDescent="0.25">
      <c r="A1365" t="s">
        <v>32</v>
      </c>
      <c r="B1365" t="s">
        <v>32</v>
      </c>
      <c r="C1365" t="s">
        <v>33</v>
      </c>
      <c r="D1365" t="s">
        <v>15</v>
      </c>
      <c r="E1365" s="2">
        <v>45870</v>
      </c>
      <c r="F1365" s="3">
        <v>341070</v>
      </c>
      <c r="G1365" s="3">
        <v>261904</v>
      </c>
      <c r="H1365" s="3">
        <v>79166</v>
      </c>
      <c r="I1365" s="3">
        <v>10016</v>
      </c>
      <c r="J1365" s="4">
        <v>425.25</v>
      </c>
      <c r="K1365" s="3">
        <v>229152</v>
      </c>
      <c r="L1365" s="3">
        <v>111918</v>
      </c>
    </row>
    <row r="1366" spans="1:12" x14ac:dyDescent="0.25">
      <c r="A1366" t="s">
        <v>32</v>
      </c>
      <c r="B1366" t="s">
        <v>32</v>
      </c>
      <c r="C1366" t="s">
        <v>33</v>
      </c>
      <c r="D1366" t="s">
        <v>15</v>
      </c>
      <c r="E1366" s="2">
        <v>45901</v>
      </c>
      <c r="F1366" s="3">
        <v>369675</v>
      </c>
      <c r="G1366" s="3">
        <v>288808</v>
      </c>
      <c r="H1366" s="3">
        <v>80867</v>
      </c>
      <c r="I1366" s="3">
        <v>11089</v>
      </c>
      <c r="J1366" s="4">
        <v>409.14</v>
      </c>
      <c r="K1366" s="3">
        <v>246884</v>
      </c>
      <c r="L1366" s="3">
        <v>122791</v>
      </c>
    </row>
    <row r="1367" spans="1:12" x14ac:dyDescent="0.25">
      <c r="A1367" t="s">
        <v>32</v>
      </c>
      <c r="B1367" t="s">
        <v>32</v>
      </c>
      <c r="C1367" t="s">
        <v>33</v>
      </c>
      <c r="D1367" t="s">
        <v>15</v>
      </c>
      <c r="E1367" s="2">
        <v>45931</v>
      </c>
      <c r="F1367" s="3">
        <v>378880</v>
      </c>
      <c r="G1367" s="3">
        <v>296562</v>
      </c>
      <c r="H1367" s="3">
        <v>82318</v>
      </c>
      <c r="I1367" s="3">
        <v>11268</v>
      </c>
      <c r="J1367" s="4">
        <v>403.25</v>
      </c>
      <c r="K1367" s="3">
        <v>243942</v>
      </c>
      <c r="L1367" s="3">
        <v>134938</v>
      </c>
    </row>
    <row r="1368" spans="1:12" x14ac:dyDescent="0.25">
      <c r="A1368" t="s">
        <v>32</v>
      </c>
      <c r="B1368" t="s">
        <v>32</v>
      </c>
      <c r="C1368" t="s">
        <v>33</v>
      </c>
      <c r="D1368" t="s">
        <v>15</v>
      </c>
      <c r="E1368" s="2">
        <v>45962</v>
      </c>
      <c r="F1368" s="3">
        <v>353986</v>
      </c>
      <c r="G1368" s="3">
        <v>274368</v>
      </c>
      <c r="H1368" s="3">
        <v>79618</v>
      </c>
      <c r="I1368" s="3">
        <v>10443</v>
      </c>
      <c r="J1368" s="4">
        <v>433.82</v>
      </c>
      <c r="K1368" s="3">
        <v>230343</v>
      </c>
      <c r="L1368" s="3">
        <v>123643</v>
      </c>
    </row>
    <row r="1369" spans="1:12" x14ac:dyDescent="0.25">
      <c r="A1369" t="s">
        <v>32</v>
      </c>
      <c r="B1369" t="s">
        <v>32</v>
      </c>
      <c r="C1369" t="s">
        <v>33</v>
      </c>
      <c r="D1369" t="s">
        <v>15</v>
      </c>
      <c r="E1369" s="2">
        <v>45992</v>
      </c>
      <c r="F1369" s="3">
        <v>359586</v>
      </c>
      <c r="G1369" s="3">
        <v>277475</v>
      </c>
      <c r="H1369" s="3">
        <v>82111</v>
      </c>
      <c r="I1369" s="3">
        <v>10680</v>
      </c>
      <c r="J1369" s="4">
        <v>402.26</v>
      </c>
      <c r="K1369" s="3">
        <v>235290</v>
      </c>
      <c r="L1369" s="3">
        <v>124296</v>
      </c>
    </row>
    <row r="1370" spans="1:12" x14ac:dyDescent="0.25">
      <c r="A1370" t="s">
        <v>32</v>
      </c>
      <c r="B1370" t="s">
        <v>32</v>
      </c>
      <c r="C1370" t="s">
        <v>33</v>
      </c>
      <c r="D1370" t="s">
        <v>16</v>
      </c>
      <c r="E1370" s="2">
        <v>45292</v>
      </c>
      <c r="F1370" s="3">
        <v>79052</v>
      </c>
      <c r="G1370" s="3">
        <v>52254</v>
      </c>
      <c r="H1370" s="3">
        <v>26798</v>
      </c>
      <c r="I1370" s="3">
        <v>1396</v>
      </c>
      <c r="J1370" s="4">
        <v>675.4</v>
      </c>
      <c r="K1370" s="3">
        <v>50834</v>
      </c>
      <c r="L1370" s="3">
        <v>28218</v>
      </c>
    </row>
    <row r="1371" spans="1:12" x14ac:dyDescent="0.25">
      <c r="A1371" t="s">
        <v>32</v>
      </c>
      <c r="B1371" t="s">
        <v>32</v>
      </c>
      <c r="C1371" t="s">
        <v>33</v>
      </c>
      <c r="D1371" t="s">
        <v>16</v>
      </c>
      <c r="E1371" s="2">
        <v>45323</v>
      </c>
      <c r="F1371" s="3">
        <v>76561</v>
      </c>
      <c r="G1371" s="3">
        <v>49926</v>
      </c>
      <c r="H1371" s="3">
        <v>26635</v>
      </c>
      <c r="I1371" s="3">
        <v>1373</v>
      </c>
      <c r="J1371" s="4">
        <v>717.45</v>
      </c>
      <c r="K1371" s="3">
        <v>51636</v>
      </c>
      <c r="L1371" s="3">
        <v>24925</v>
      </c>
    </row>
    <row r="1372" spans="1:12" x14ac:dyDescent="0.25">
      <c r="A1372" t="s">
        <v>32</v>
      </c>
      <c r="B1372" t="s">
        <v>32</v>
      </c>
      <c r="C1372" t="s">
        <v>33</v>
      </c>
      <c r="D1372" t="s">
        <v>16</v>
      </c>
      <c r="E1372" s="2">
        <v>45352</v>
      </c>
      <c r="F1372" s="3">
        <v>72670</v>
      </c>
      <c r="G1372" s="3">
        <v>47364</v>
      </c>
      <c r="H1372" s="3">
        <v>25306</v>
      </c>
      <c r="I1372" s="3">
        <v>1241</v>
      </c>
      <c r="J1372" s="4">
        <v>698.89</v>
      </c>
      <c r="K1372" s="3">
        <v>47739</v>
      </c>
      <c r="L1372" s="3">
        <v>24931</v>
      </c>
    </row>
    <row r="1373" spans="1:12" x14ac:dyDescent="0.25">
      <c r="A1373" t="s">
        <v>32</v>
      </c>
      <c r="B1373" t="s">
        <v>32</v>
      </c>
      <c r="C1373" t="s">
        <v>33</v>
      </c>
      <c r="D1373" t="s">
        <v>16</v>
      </c>
      <c r="E1373" s="2">
        <v>45383</v>
      </c>
      <c r="F1373" s="3">
        <v>77976</v>
      </c>
      <c r="G1373" s="3">
        <v>51775</v>
      </c>
      <c r="H1373" s="3">
        <v>26201</v>
      </c>
      <c r="I1373" s="3">
        <v>1406</v>
      </c>
      <c r="J1373" s="4">
        <v>659.1</v>
      </c>
      <c r="K1373" s="3">
        <v>52740</v>
      </c>
      <c r="L1373" s="3">
        <v>25236</v>
      </c>
    </row>
    <row r="1374" spans="1:12" x14ac:dyDescent="0.25">
      <c r="A1374" t="s">
        <v>32</v>
      </c>
      <c r="B1374" t="s">
        <v>32</v>
      </c>
      <c r="C1374" t="s">
        <v>33</v>
      </c>
      <c r="D1374" t="s">
        <v>16</v>
      </c>
      <c r="E1374" s="2">
        <v>45413</v>
      </c>
      <c r="F1374" s="3">
        <v>74559</v>
      </c>
      <c r="G1374" s="3">
        <v>49455</v>
      </c>
      <c r="H1374" s="3">
        <v>25104</v>
      </c>
      <c r="I1374" s="3">
        <v>1330</v>
      </c>
      <c r="J1374" s="4">
        <v>707.66</v>
      </c>
      <c r="K1374" s="3">
        <v>49308</v>
      </c>
      <c r="L1374" s="3">
        <v>25251</v>
      </c>
    </row>
    <row r="1375" spans="1:12" x14ac:dyDescent="0.25">
      <c r="A1375" t="s">
        <v>32</v>
      </c>
      <c r="B1375" t="s">
        <v>32</v>
      </c>
      <c r="C1375" t="s">
        <v>33</v>
      </c>
      <c r="D1375" t="s">
        <v>16</v>
      </c>
      <c r="E1375" s="2">
        <v>45444</v>
      </c>
      <c r="F1375" s="3">
        <v>86695</v>
      </c>
      <c r="G1375" s="3">
        <v>56667</v>
      </c>
      <c r="H1375" s="3">
        <v>30028</v>
      </c>
      <c r="I1375" s="3">
        <v>1531</v>
      </c>
      <c r="J1375" s="4">
        <v>682.95</v>
      </c>
      <c r="K1375" s="3">
        <v>55816</v>
      </c>
      <c r="L1375" s="3">
        <v>30879</v>
      </c>
    </row>
    <row r="1376" spans="1:12" x14ac:dyDescent="0.25">
      <c r="A1376" t="s">
        <v>32</v>
      </c>
      <c r="B1376" t="s">
        <v>32</v>
      </c>
      <c r="C1376" t="s">
        <v>33</v>
      </c>
      <c r="D1376" t="s">
        <v>16</v>
      </c>
      <c r="E1376" s="2">
        <v>45474</v>
      </c>
      <c r="F1376" s="3">
        <v>85465</v>
      </c>
      <c r="G1376" s="3">
        <v>56310</v>
      </c>
      <c r="H1376" s="3">
        <v>29155</v>
      </c>
      <c r="I1376" s="3">
        <v>1541</v>
      </c>
      <c r="J1376" s="4">
        <v>660.85</v>
      </c>
      <c r="K1376" s="3">
        <v>57652</v>
      </c>
      <c r="L1376" s="3">
        <v>27813</v>
      </c>
    </row>
    <row r="1377" spans="1:12" x14ac:dyDescent="0.25">
      <c r="A1377" t="s">
        <v>32</v>
      </c>
      <c r="B1377" t="s">
        <v>32</v>
      </c>
      <c r="C1377" t="s">
        <v>33</v>
      </c>
      <c r="D1377" t="s">
        <v>16</v>
      </c>
      <c r="E1377" s="2">
        <v>45505</v>
      </c>
      <c r="F1377" s="3">
        <v>98692</v>
      </c>
      <c r="G1377" s="3">
        <v>64467</v>
      </c>
      <c r="H1377" s="3">
        <v>34225</v>
      </c>
      <c r="I1377" s="3">
        <v>1635</v>
      </c>
      <c r="J1377" s="4">
        <v>651.52</v>
      </c>
      <c r="K1377" s="3">
        <v>64230</v>
      </c>
      <c r="L1377" s="3">
        <v>34462</v>
      </c>
    </row>
    <row r="1378" spans="1:12" x14ac:dyDescent="0.25">
      <c r="A1378" t="s">
        <v>32</v>
      </c>
      <c r="B1378" t="s">
        <v>32</v>
      </c>
      <c r="C1378" t="s">
        <v>33</v>
      </c>
      <c r="D1378" t="s">
        <v>16</v>
      </c>
      <c r="E1378" s="2">
        <v>45536</v>
      </c>
      <c r="F1378" s="3">
        <v>96461</v>
      </c>
      <c r="G1378" s="3">
        <v>62460</v>
      </c>
      <c r="H1378" s="3">
        <v>34001</v>
      </c>
      <c r="I1378" s="3">
        <v>1722</v>
      </c>
      <c r="J1378" s="4">
        <v>649.84</v>
      </c>
      <c r="K1378" s="3">
        <v>62094</v>
      </c>
      <c r="L1378" s="3">
        <v>34367</v>
      </c>
    </row>
    <row r="1379" spans="1:12" x14ac:dyDescent="0.25">
      <c r="A1379" t="s">
        <v>32</v>
      </c>
      <c r="B1379" t="s">
        <v>32</v>
      </c>
      <c r="C1379" t="s">
        <v>33</v>
      </c>
      <c r="D1379" t="s">
        <v>16</v>
      </c>
      <c r="E1379" s="2">
        <v>45566</v>
      </c>
      <c r="F1379" s="3">
        <v>101676</v>
      </c>
      <c r="G1379" s="3">
        <v>66512</v>
      </c>
      <c r="H1379" s="3">
        <v>35164</v>
      </c>
      <c r="I1379" s="3">
        <v>1751</v>
      </c>
      <c r="J1379" s="4">
        <v>666.01</v>
      </c>
      <c r="K1379" s="3">
        <v>66650</v>
      </c>
      <c r="L1379" s="3">
        <v>35026</v>
      </c>
    </row>
    <row r="1380" spans="1:12" x14ac:dyDescent="0.25">
      <c r="A1380" t="s">
        <v>32</v>
      </c>
      <c r="B1380" t="s">
        <v>32</v>
      </c>
      <c r="C1380" t="s">
        <v>33</v>
      </c>
      <c r="D1380" t="s">
        <v>16</v>
      </c>
      <c r="E1380" s="2">
        <v>45597</v>
      </c>
      <c r="F1380" s="3">
        <v>102128</v>
      </c>
      <c r="G1380" s="3">
        <v>66393</v>
      </c>
      <c r="H1380" s="3">
        <v>35735</v>
      </c>
      <c r="I1380" s="3">
        <v>1805</v>
      </c>
      <c r="J1380" s="4">
        <v>657.56</v>
      </c>
      <c r="K1380" s="3">
        <v>68860</v>
      </c>
      <c r="L1380" s="3">
        <v>33268</v>
      </c>
    </row>
    <row r="1381" spans="1:12" x14ac:dyDescent="0.25">
      <c r="A1381" t="s">
        <v>32</v>
      </c>
      <c r="B1381" t="s">
        <v>32</v>
      </c>
      <c r="C1381" t="s">
        <v>33</v>
      </c>
      <c r="D1381" t="s">
        <v>16</v>
      </c>
      <c r="E1381" s="2">
        <v>45627</v>
      </c>
      <c r="F1381" s="3">
        <v>104162</v>
      </c>
      <c r="G1381" s="3">
        <v>67369</v>
      </c>
      <c r="H1381" s="3">
        <v>36793</v>
      </c>
      <c r="I1381" s="3">
        <v>1820</v>
      </c>
      <c r="J1381" s="4">
        <v>697.73</v>
      </c>
      <c r="K1381" s="3">
        <v>68682</v>
      </c>
      <c r="L1381" s="3">
        <v>35480</v>
      </c>
    </row>
    <row r="1382" spans="1:12" x14ac:dyDescent="0.25">
      <c r="A1382" t="s">
        <v>32</v>
      </c>
      <c r="B1382" t="s">
        <v>32</v>
      </c>
      <c r="C1382" t="s">
        <v>33</v>
      </c>
      <c r="D1382" t="s">
        <v>16</v>
      </c>
      <c r="E1382" s="2">
        <v>45658</v>
      </c>
      <c r="F1382" s="3">
        <v>95886</v>
      </c>
      <c r="G1382" s="3">
        <v>62906</v>
      </c>
      <c r="H1382" s="3">
        <v>32980</v>
      </c>
      <c r="I1382" s="3">
        <v>1726</v>
      </c>
      <c r="J1382" s="4">
        <v>702.54</v>
      </c>
      <c r="K1382" s="3">
        <v>63553</v>
      </c>
      <c r="L1382" s="3">
        <v>32333</v>
      </c>
    </row>
    <row r="1383" spans="1:12" x14ac:dyDescent="0.25">
      <c r="A1383" t="s">
        <v>32</v>
      </c>
      <c r="B1383" t="s">
        <v>32</v>
      </c>
      <c r="C1383" t="s">
        <v>33</v>
      </c>
      <c r="D1383" t="s">
        <v>16</v>
      </c>
      <c r="E1383" s="2">
        <v>45689</v>
      </c>
      <c r="F1383" s="3">
        <v>87895</v>
      </c>
      <c r="G1383" s="3">
        <v>57145</v>
      </c>
      <c r="H1383" s="3">
        <v>30750</v>
      </c>
      <c r="I1383" s="3">
        <v>1505</v>
      </c>
      <c r="J1383" s="4">
        <v>707.88</v>
      </c>
      <c r="K1383" s="3">
        <v>57544</v>
      </c>
      <c r="L1383" s="3">
        <v>30351</v>
      </c>
    </row>
    <row r="1384" spans="1:12" x14ac:dyDescent="0.25">
      <c r="A1384" t="s">
        <v>32</v>
      </c>
      <c r="B1384" t="s">
        <v>32</v>
      </c>
      <c r="C1384" t="s">
        <v>33</v>
      </c>
      <c r="D1384" t="s">
        <v>16</v>
      </c>
      <c r="E1384" s="2">
        <v>45717</v>
      </c>
      <c r="F1384" s="3">
        <v>89783</v>
      </c>
      <c r="G1384" s="3">
        <v>59694</v>
      </c>
      <c r="H1384" s="3">
        <v>30089</v>
      </c>
      <c r="I1384" s="3">
        <v>1624</v>
      </c>
      <c r="J1384" s="4">
        <v>697.82</v>
      </c>
      <c r="K1384" s="3">
        <v>57751</v>
      </c>
      <c r="L1384" s="3">
        <v>32032</v>
      </c>
    </row>
    <row r="1385" spans="1:12" x14ac:dyDescent="0.25">
      <c r="A1385" t="s">
        <v>32</v>
      </c>
      <c r="B1385" t="s">
        <v>32</v>
      </c>
      <c r="C1385" t="s">
        <v>33</v>
      </c>
      <c r="D1385" t="s">
        <v>16</v>
      </c>
      <c r="E1385" s="2">
        <v>45748</v>
      </c>
      <c r="F1385" s="3">
        <v>88438</v>
      </c>
      <c r="G1385" s="3">
        <v>59096</v>
      </c>
      <c r="H1385" s="3">
        <v>29342</v>
      </c>
      <c r="I1385" s="3">
        <v>1469</v>
      </c>
      <c r="J1385" s="4">
        <v>671.83</v>
      </c>
      <c r="K1385" s="3">
        <v>57320</v>
      </c>
      <c r="L1385" s="3">
        <v>31118</v>
      </c>
    </row>
    <row r="1386" spans="1:12" x14ac:dyDescent="0.25">
      <c r="A1386" t="s">
        <v>32</v>
      </c>
      <c r="B1386" t="s">
        <v>32</v>
      </c>
      <c r="C1386" t="s">
        <v>33</v>
      </c>
      <c r="D1386" t="s">
        <v>16</v>
      </c>
      <c r="E1386" s="2">
        <v>45778</v>
      </c>
      <c r="F1386" s="3">
        <v>88369</v>
      </c>
      <c r="G1386" s="3">
        <v>57584</v>
      </c>
      <c r="H1386" s="3">
        <v>30785</v>
      </c>
      <c r="I1386" s="3">
        <v>1590</v>
      </c>
      <c r="J1386" s="4">
        <v>672.63</v>
      </c>
      <c r="K1386" s="3">
        <v>59170</v>
      </c>
      <c r="L1386" s="3">
        <v>29199</v>
      </c>
    </row>
    <row r="1387" spans="1:12" x14ac:dyDescent="0.25">
      <c r="A1387" t="s">
        <v>32</v>
      </c>
      <c r="B1387" t="s">
        <v>32</v>
      </c>
      <c r="C1387" t="s">
        <v>33</v>
      </c>
      <c r="D1387" t="s">
        <v>16</v>
      </c>
      <c r="E1387" s="2">
        <v>45809</v>
      </c>
      <c r="F1387" s="3">
        <v>91298</v>
      </c>
      <c r="G1387" s="3">
        <v>61717</v>
      </c>
      <c r="H1387" s="3">
        <v>29581</v>
      </c>
      <c r="I1387" s="3">
        <v>1580</v>
      </c>
      <c r="J1387" s="4">
        <v>711.33</v>
      </c>
      <c r="K1387" s="3">
        <v>61721</v>
      </c>
      <c r="L1387" s="3">
        <v>29577</v>
      </c>
    </row>
    <row r="1388" spans="1:12" x14ac:dyDescent="0.25">
      <c r="A1388" t="s">
        <v>32</v>
      </c>
      <c r="B1388" t="s">
        <v>32</v>
      </c>
      <c r="C1388" t="s">
        <v>33</v>
      </c>
      <c r="D1388" t="s">
        <v>16</v>
      </c>
      <c r="E1388" s="2">
        <v>45839</v>
      </c>
      <c r="F1388" s="3">
        <v>97677</v>
      </c>
      <c r="G1388" s="3">
        <v>63370</v>
      </c>
      <c r="H1388" s="3">
        <v>34307</v>
      </c>
      <c r="I1388" s="3">
        <v>1706</v>
      </c>
      <c r="J1388" s="4">
        <v>661.09</v>
      </c>
      <c r="K1388" s="3">
        <v>63958</v>
      </c>
      <c r="L1388" s="3">
        <v>33719</v>
      </c>
    </row>
    <row r="1389" spans="1:12" x14ac:dyDescent="0.25">
      <c r="A1389" t="s">
        <v>32</v>
      </c>
      <c r="B1389" t="s">
        <v>32</v>
      </c>
      <c r="C1389" t="s">
        <v>33</v>
      </c>
      <c r="D1389" t="s">
        <v>16</v>
      </c>
      <c r="E1389" s="2">
        <v>45870</v>
      </c>
      <c r="F1389" s="3">
        <v>110487</v>
      </c>
      <c r="G1389" s="3">
        <v>74585</v>
      </c>
      <c r="H1389" s="3">
        <v>35902</v>
      </c>
      <c r="I1389" s="3">
        <v>1946</v>
      </c>
      <c r="J1389" s="4">
        <v>674.59</v>
      </c>
      <c r="K1389" s="3">
        <v>72181</v>
      </c>
      <c r="L1389" s="3">
        <v>38306</v>
      </c>
    </row>
    <row r="1390" spans="1:12" x14ac:dyDescent="0.25">
      <c r="A1390" t="s">
        <v>32</v>
      </c>
      <c r="B1390" t="s">
        <v>32</v>
      </c>
      <c r="C1390" t="s">
        <v>33</v>
      </c>
      <c r="D1390" t="s">
        <v>16</v>
      </c>
      <c r="E1390" s="2">
        <v>45901</v>
      </c>
      <c r="F1390" s="3">
        <v>111336</v>
      </c>
      <c r="G1390" s="3">
        <v>73580</v>
      </c>
      <c r="H1390" s="3">
        <v>37756</v>
      </c>
      <c r="I1390" s="3">
        <v>1882</v>
      </c>
      <c r="J1390" s="4">
        <v>707.08</v>
      </c>
      <c r="K1390" s="3">
        <v>75035</v>
      </c>
      <c r="L1390" s="3">
        <v>36301</v>
      </c>
    </row>
    <row r="1391" spans="1:12" x14ac:dyDescent="0.25">
      <c r="A1391" t="s">
        <v>32</v>
      </c>
      <c r="B1391" t="s">
        <v>32</v>
      </c>
      <c r="C1391" t="s">
        <v>33</v>
      </c>
      <c r="D1391" t="s">
        <v>16</v>
      </c>
      <c r="E1391" s="2">
        <v>45931</v>
      </c>
      <c r="F1391" s="3">
        <v>123266</v>
      </c>
      <c r="G1391" s="3">
        <v>82162</v>
      </c>
      <c r="H1391" s="3">
        <v>41104</v>
      </c>
      <c r="I1391" s="3">
        <v>2086</v>
      </c>
      <c r="J1391" s="4">
        <v>698.79</v>
      </c>
      <c r="K1391" s="3">
        <v>82649</v>
      </c>
      <c r="L1391" s="3">
        <v>40617</v>
      </c>
    </row>
    <row r="1392" spans="1:12" x14ac:dyDescent="0.25">
      <c r="A1392" t="s">
        <v>32</v>
      </c>
      <c r="B1392" t="s">
        <v>32</v>
      </c>
      <c r="C1392" t="s">
        <v>33</v>
      </c>
      <c r="D1392" t="s">
        <v>16</v>
      </c>
      <c r="E1392" s="2">
        <v>45962</v>
      </c>
      <c r="F1392" s="3">
        <v>113418</v>
      </c>
      <c r="G1392" s="3">
        <v>74837</v>
      </c>
      <c r="H1392" s="3">
        <v>38581</v>
      </c>
      <c r="I1392" s="3">
        <v>2015</v>
      </c>
      <c r="J1392" s="4">
        <v>652.13</v>
      </c>
      <c r="K1392" s="3">
        <v>76609</v>
      </c>
      <c r="L1392" s="3">
        <v>36809</v>
      </c>
    </row>
    <row r="1393" spans="1:12" x14ac:dyDescent="0.25">
      <c r="A1393" t="s">
        <v>32</v>
      </c>
      <c r="B1393" t="s">
        <v>32</v>
      </c>
      <c r="C1393" t="s">
        <v>33</v>
      </c>
      <c r="D1393" t="s">
        <v>16</v>
      </c>
      <c r="E1393" s="2">
        <v>45992</v>
      </c>
      <c r="F1393" s="3">
        <v>117620</v>
      </c>
      <c r="G1393" s="3">
        <v>78008</v>
      </c>
      <c r="H1393" s="3">
        <v>39612</v>
      </c>
      <c r="I1393" s="3">
        <v>1981</v>
      </c>
      <c r="J1393" s="4">
        <v>716.36</v>
      </c>
      <c r="K1393" s="3">
        <v>75812</v>
      </c>
      <c r="L1393" s="3">
        <v>41808</v>
      </c>
    </row>
    <row r="1394" spans="1:12" x14ac:dyDescent="0.25">
      <c r="A1394" t="s">
        <v>32</v>
      </c>
      <c r="B1394" t="s">
        <v>32</v>
      </c>
      <c r="C1394" t="s">
        <v>33</v>
      </c>
      <c r="D1394" t="s">
        <v>17</v>
      </c>
      <c r="E1394" s="2">
        <v>45292</v>
      </c>
      <c r="F1394" s="3">
        <v>60659</v>
      </c>
      <c r="G1394" s="3">
        <v>36806</v>
      </c>
      <c r="H1394" s="3">
        <v>23853</v>
      </c>
      <c r="I1394" s="3">
        <v>366</v>
      </c>
      <c r="J1394" s="4">
        <v>340.67</v>
      </c>
      <c r="K1394" s="3">
        <v>39342</v>
      </c>
      <c r="L1394" s="3">
        <v>21317</v>
      </c>
    </row>
    <row r="1395" spans="1:12" x14ac:dyDescent="0.25">
      <c r="A1395" t="s">
        <v>32</v>
      </c>
      <c r="B1395" t="s">
        <v>32</v>
      </c>
      <c r="C1395" t="s">
        <v>33</v>
      </c>
      <c r="D1395" t="s">
        <v>17</v>
      </c>
      <c r="E1395" s="2">
        <v>45323</v>
      </c>
      <c r="F1395" s="3">
        <v>57540</v>
      </c>
      <c r="G1395" s="3">
        <v>35534</v>
      </c>
      <c r="H1395" s="3">
        <v>22006</v>
      </c>
      <c r="I1395" s="3">
        <v>334</v>
      </c>
      <c r="J1395" s="4">
        <v>369.03</v>
      </c>
      <c r="K1395" s="3">
        <v>38696</v>
      </c>
      <c r="L1395" s="3">
        <v>18844</v>
      </c>
    </row>
    <row r="1396" spans="1:12" x14ac:dyDescent="0.25">
      <c r="A1396" t="s">
        <v>32</v>
      </c>
      <c r="B1396" t="s">
        <v>32</v>
      </c>
      <c r="C1396" t="s">
        <v>33</v>
      </c>
      <c r="D1396" t="s">
        <v>17</v>
      </c>
      <c r="E1396" s="2">
        <v>45352</v>
      </c>
      <c r="F1396" s="3">
        <v>54278</v>
      </c>
      <c r="G1396" s="3">
        <v>33108</v>
      </c>
      <c r="H1396" s="3">
        <v>21170</v>
      </c>
      <c r="I1396" s="3">
        <v>332</v>
      </c>
      <c r="J1396" s="4">
        <v>344.32</v>
      </c>
      <c r="K1396" s="3">
        <v>35102</v>
      </c>
      <c r="L1396" s="3">
        <v>19176</v>
      </c>
    </row>
    <row r="1397" spans="1:12" x14ac:dyDescent="0.25">
      <c r="A1397" t="s">
        <v>32</v>
      </c>
      <c r="B1397" t="s">
        <v>32</v>
      </c>
      <c r="C1397" t="s">
        <v>33</v>
      </c>
      <c r="D1397" t="s">
        <v>17</v>
      </c>
      <c r="E1397" s="2">
        <v>45383</v>
      </c>
      <c r="F1397" s="3">
        <v>56460</v>
      </c>
      <c r="G1397" s="3">
        <v>35527</v>
      </c>
      <c r="H1397" s="3">
        <v>20933</v>
      </c>
      <c r="I1397" s="3">
        <v>330</v>
      </c>
      <c r="J1397" s="4">
        <v>348.36</v>
      </c>
      <c r="K1397" s="3">
        <v>36939</v>
      </c>
      <c r="L1397" s="3">
        <v>19521</v>
      </c>
    </row>
    <row r="1398" spans="1:12" x14ac:dyDescent="0.25">
      <c r="A1398" t="s">
        <v>32</v>
      </c>
      <c r="B1398" t="s">
        <v>32</v>
      </c>
      <c r="C1398" t="s">
        <v>33</v>
      </c>
      <c r="D1398" t="s">
        <v>17</v>
      </c>
      <c r="E1398" s="2">
        <v>45413</v>
      </c>
      <c r="F1398" s="3">
        <v>56721</v>
      </c>
      <c r="G1398" s="3">
        <v>34412</v>
      </c>
      <c r="H1398" s="3">
        <v>22309</v>
      </c>
      <c r="I1398" s="3">
        <v>340</v>
      </c>
      <c r="J1398" s="4">
        <v>341.91</v>
      </c>
      <c r="K1398" s="3">
        <v>37861</v>
      </c>
      <c r="L1398" s="3">
        <v>18860</v>
      </c>
    </row>
    <row r="1399" spans="1:12" x14ac:dyDescent="0.25">
      <c r="A1399" t="s">
        <v>32</v>
      </c>
      <c r="B1399" t="s">
        <v>32</v>
      </c>
      <c r="C1399" t="s">
        <v>33</v>
      </c>
      <c r="D1399" t="s">
        <v>17</v>
      </c>
      <c r="E1399" s="2">
        <v>45444</v>
      </c>
      <c r="F1399" s="3">
        <v>56542</v>
      </c>
      <c r="G1399" s="3">
        <v>35750</v>
      </c>
      <c r="H1399" s="3">
        <v>20792</v>
      </c>
      <c r="I1399" s="3">
        <v>354</v>
      </c>
      <c r="J1399" s="4">
        <v>357.7</v>
      </c>
      <c r="K1399" s="3">
        <v>37250</v>
      </c>
      <c r="L1399" s="3">
        <v>19292</v>
      </c>
    </row>
    <row r="1400" spans="1:12" x14ac:dyDescent="0.25">
      <c r="A1400" t="s">
        <v>32</v>
      </c>
      <c r="B1400" t="s">
        <v>32</v>
      </c>
      <c r="C1400" t="s">
        <v>33</v>
      </c>
      <c r="D1400" t="s">
        <v>17</v>
      </c>
      <c r="E1400" s="2">
        <v>45474</v>
      </c>
      <c r="F1400" s="3">
        <v>61462</v>
      </c>
      <c r="G1400" s="3">
        <v>38516</v>
      </c>
      <c r="H1400" s="3">
        <v>22946</v>
      </c>
      <c r="I1400" s="3">
        <v>367</v>
      </c>
      <c r="J1400" s="4">
        <v>355.03</v>
      </c>
      <c r="K1400" s="3">
        <v>39742</v>
      </c>
      <c r="L1400" s="3">
        <v>21720</v>
      </c>
    </row>
    <row r="1401" spans="1:12" x14ac:dyDescent="0.25">
      <c r="A1401" t="s">
        <v>32</v>
      </c>
      <c r="B1401" t="s">
        <v>32</v>
      </c>
      <c r="C1401" t="s">
        <v>33</v>
      </c>
      <c r="D1401" t="s">
        <v>17</v>
      </c>
      <c r="E1401" s="2">
        <v>45505</v>
      </c>
      <c r="F1401" s="3">
        <v>68967</v>
      </c>
      <c r="G1401" s="3">
        <v>42483</v>
      </c>
      <c r="H1401" s="3">
        <v>26484</v>
      </c>
      <c r="I1401" s="3">
        <v>417</v>
      </c>
      <c r="J1401" s="4">
        <v>359.7</v>
      </c>
      <c r="K1401" s="3">
        <v>45095</v>
      </c>
      <c r="L1401" s="3">
        <v>23872</v>
      </c>
    </row>
    <row r="1402" spans="1:12" x14ac:dyDescent="0.25">
      <c r="A1402" t="s">
        <v>32</v>
      </c>
      <c r="B1402" t="s">
        <v>32</v>
      </c>
      <c r="C1402" t="s">
        <v>33</v>
      </c>
      <c r="D1402" t="s">
        <v>17</v>
      </c>
      <c r="E1402" s="2">
        <v>45536</v>
      </c>
      <c r="F1402" s="3">
        <v>71041</v>
      </c>
      <c r="G1402" s="3">
        <v>43249</v>
      </c>
      <c r="H1402" s="3">
        <v>27792</v>
      </c>
      <c r="I1402" s="3">
        <v>430</v>
      </c>
      <c r="J1402" s="4">
        <v>339.42</v>
      </c>
      <c r="K1402" s="3">
        <v>46272</v>
      </c>
      <c r="L1402" s="3">
        <v>24769</v>
      </c>
    </row>
    <row r="1403" spans="1:12" x14ac:dyDescent="0.25">
      <c r="A1403" t="s">
        <v>32</v>
      </c>
      <c r="B1403" t="s">
        <v>32</v>
      </c>
      <c r="C1403" t="s">
        <v>33</v>
      </c>
      <c r="D1403" t="s">
        <v>17</v>
      </c>
      <c r="E1403" s="2">
        <v>45566</v>
      </c>
      <c r="F1403" s="3">
        <v>70945</v>
      </c>
      <c r="G1403" s="3">
        <v>43120</v>
      </c>
      <c r="H1403" s="3">
        <v>27825</v>
      </c>
      <c r="I1403" s="3">
        <v>421</v>
      </c>
      <c r="J1403" s="4">
        <v>342.06</v>
      </c>
      <c r="K1403" s="3">
        <v>46558</v>
      </c>
      <c r="L1403" s="3">
        <v>24387</v>
      </c>
    </row>
    <row r="1404" spans="1:12" x14ac:dyDescent="0.25">
      <c r="A1404" t="s">
        <v>32</v>
      </c>
      <c r="B1404" t="s">
        <v>32</v>
      </c>
      <c r="C1404" t="s">
        <v>33</v>
      </c>
      <c r="D1404" t="s">
        <v>17</v>
      </c>
      <c r="E1404" s="2">
        <v>45597</v>
      </c>
      <c r="F1404" s="3">
        <v>66006</v>
      </c>
      <c r="G1404" s="3">
        <v>40549</v>
      </c>
      <c r="H1404" s="3">
        <v>25457</v>
      </c>
      <c r="I1404" s="3">
        <v>381</v>
      </c>
      <c r="J1404" s="4">
        <v>340.06</v>
      </c>
      <c r="K1404" s="3">
        <v>42784</v>
      </c>
      <c r="L1404" s="3">
        <v>23222</v>
      </c>
    </row>
    <row r="1405" spans="1:12" x14ac:dyDescent="0.25">
      <c r="A1405" t="s">
        <v>32</v>
      </c>
      <c r="B1405" t="s">
        <v>32</v>
      </c>
      <c r="C1405" t="s">
        <v>33</v>
      </c>
      <c r="D1405" t="s">
        <v>17</v>
      </c>
      <c r="E1405" s="2">
        <v>45627</v>
      </c>
      <c r="F1405" s="3">
        <v>67603</v>
      </c>
      <c r="G1405" s="3">
        <v>42779</v>
      </c>
      <c r="H1405" s="3">
        <v>24824</v>
      </c>
      <c r="I1405" s="3">
        <v>406</v>
      </c>
      <c r="J1405" s="4">
        <v>354.3</v>
      </c>
      <c r="K1405" s="3">
        <v>45690</v>
      </c>
      <c r="L1405" s="3">
        <v>21913</v>
      </c>
    </row>
    <row r="1406" spans="1:12" x14ac:dyDescent="0.25">
      <c r="A1406" t="s">
        <v>32</v>
      </c>
      <c r="B1406" t="s">
        <v>32</v>
      </c>
      <c r="C1406" t="s">
        <v>33</v>
      </c>
      <c r="D1406" t="s">
        <v>17</v>
      </c>
      <c r="E1406" s="2">
        <v>45658</v>
      </c>
      <c r="F1406" s="3">
        <v>61965</v>
      </c>
      <c r="G1406" s="3">
        <v>38002</v>
      </c>
      <c r="H1406" s="3">
        <v>23963</v>
      </c>
      <c r="I1406" s="3">
        <v>378</v>
      </c>
      <c r="J1406" s="4">
        <v>356.37</v>
      </c>
      <c r="K1406" s="3">
        <v>41659</v>
      </c>
      <c r="L1406" s="3">
        <v>20306</v>
      </c>
    </row>
    <row r="1407" spans="1:12" x14ac:dyDescent="0.25">
      <c r="A1407" t="s">
        <v>32</v>
      </c>
      <c r="B1407" t="s">
        <v>32</v>
      </c>
      <c r="C1407" t="s">
        <v>33</v>
      </c>
      <c r="D1407" t="s">
        <v>17</v>
      </c>
      <c r="E1407" s="2">
        <v>45689</v>
      </c>
      <c r="F1407" s="3">
        <v>58850</v>
      </c>
      <c r="G1407" s="3">
        <v>35861</v>
      </c>
      <c r="H1407" s="3">
        <v>22989</v>
      </c>
      <c r="I1407" s="3">
        <v>370</v>
      </c>
      <c r="J1407" s="4">
        <v>356.94</v>
      </c>
      <c r="K1407" s="3">
        <v>38482</v>
      </c>
      <c r="L1407" s="3">
        <v>20368</v>
      </c>
    </row>
    <row r="1408" spans="1:12" x14ac:dyDescent="0.25">
      <c r="A1408" t="s">
        <v>32</v>
      </c>
      <c r="B1408" t="s">
        <v>32</v>
      </c>
      <c r="C1408" t="s">
        <v>33</v>
      </c>
      <c r="D1408" t="s">
        <v>17</v>
      </c>
      <c r="E1408" s="2">
        <v>45717</v>
      </c>
      <c r="F1408" s="3">
        <v>58543</v>
      </c>
      <c r="G1408" s="3">
        <v>36881</v>
      </c>
      <c r="H1408" s="3">
        <v>21662</v>
      </c>
      <c r="I1408" s="3">
        <v>368</v>
      </c>
      <c r="J1408" s="4">
        <v>353.74</v>
      </c>
      <c r="K1408" s="3">
        <v>38975</v>
      </c>
      <c r="L1408" s="3">
        <v>19568</v>
      </c>
    </row>
    <row r="1409" spans="1:12" x14ac:dyDescent="0.25">
      <c r="A1409" t="s">
        <v>32</v>
      </c>
      <c r="B1409" t="s">
        <v>32</v>
      </c>
      <c r="C1409" t="s">
        <v>33</v>
      </c>
      <c r="D1409" t="s">
        <v>17</v>
      </c>
      <c r="E1409" s="2">
        <v>45748</v>
      </c>
      <c r="F1409" s="3">
        <v>59328</v>
      </c>
      <c r="G1409" s="3">
        <v>35969</v>
      </c>
      <c r="H1409" s="3">
        <v>23359</v>
      </c>
      <c r="I1409" s="3">
        <v>365</v>
      </c>
      <c r="J1409" s="4">
        <v>341.04</v>
      </c>
      <c r="K1409" s="3">
        <v>40129</v>
      </c>
      <c r="L1409" s="3">
        <v>19199</v>
      </c>
    </row>
    <row r="1410" spans="1:12" x14ac:dyDescent="0.25">
      <c r="A1410" t="s">
        <v>32</v>
      </c>
      <c r="B1410" t="s">
        <v>32</v>
      </c>
      <c r="C1410" t="s">
        <v>33</v>
      </c>
      <c r="D1410" t="s">
        <v>17</v>
      </c>
      <c r="E1410" s="2">
        <v>45778</v>
      </c>
      <c r="F1410" s="3">
        <v>64319</v>
      </c>
      <c r="G1410" s="3">
        <v>39964</v>
      </c>
      <c r="H1410" s="3">
        <v>24355</v>
      </c>
      <c r="I1410" s="3">
        <v>408</v>
      </c>
      <c r="J1410" s="4">
        <v>344.26</v>
      </c>
      <c r="K1410" s="3">
        <v>41608</v>
      </c>
      <c r="L1410" s="3">
        <v>22711</v>
      </c>
    </row>
    <row r="1411" spans="1:12" x14ac:dyDescent="0.25">
      <c r="A1411" t="s">
        <v>32</v>
      </c>
      <c r="B1411" t="s">
        <v>32</v>
      </c>
      <c r="C1411" t="s">
        <v>33</v>
      </c>
      <c r="D1411" t="s">
        <v>17</v>
      </c>
      <c r="E1411" s="2">
        <v>45809</v>
      </c>
      <c r="F1411" s="3">
        <v>67258</v>
      </c>
      <c r="G1411" s="3">
        <v>40786</v>
      </c>
      <c r="H1411" s="3">
        <v>26472</v>
      </c>
      <c r="I1411" s="3">
        <v>405</v>
      </c>
      <c r="J1411" s="4">
        <v>340.79</v>
      </c>
      <c r="K1411" s="3">
        <v>45244</v>
      </c>
      <c r="L1411" s="3">
        <v>22014</v>
      </c>
    </row>
    <row r="1412" spans="1:12" x14ac:dyDescent="0.25">
      <c r="A1412" t="s">
        <v>32</v>
      </c>
      <c r="B1412" t="s">
        <v>32</v>
      </c>
      <c r="C1412" t="s">
        <v>33</v>
      </c>
      <c r="D1412" t="s">
        <v>17</v>
      </c>
      <c r="E1412" s="2">
        <v>45839</v>
      </c>
      <c r="F1412" s="3">
        <v>63734</v>
      </c>
      <c r="G1412" s="3">
        <v>39729</v>
      </c>
      <c r="H1412" s="3">
        <v>24005</v>
      </c>
      <c r="I1412" s="3">
        <v>400</v>
      </c>
      <c r="J1412" s="4">
        <v>357.64</v>
      </c>
      <c r="K1412" s="3">
        <v>42713</v>
      </c>
      <c r="L1412" s="3">
        <v>21021</v>
      </c>
    </row>
    <row r="1413" spans="1:12" x14ac:dyDescent="0.25">
      <c r="A1413" t="s">
        <v>32</v>
      </c>
      <c r="B1413" t="s">
        <v>32</v>
      </c>
      <c r="C1413" t="s">
        <v>33</v>
      </c>
      <c r="D1413" t="s">
        <v>17</v>
      </c>
      <c r="E1413" s="2">
        <v>45870</v>
      </c>
      <c r="F1413" s="3">
        <v>74950</v>
      </c>
      <c r="G1413" s="3">
        <v>47388</v>
      </c>
      <c r="H1413" s="3">
        <v>27562</v>
      </c>
      <c r="I1413" s="3">
        <v>436</v>
      </c>
      <c r="J1413" s="4">
        <v>351.71</v>
      </c>
      <c r="K1413" s="3">
        <v>50311</v>
      </c>
      <c r="L1413" s="3">
        <v>24639</v>
      </c>
    </row>
    <row r="1414" spans="1:12" x14ac:dyDescent="0.25">
      <c r="A1414" t="s">
        <v>32</v>
      </c>
      <c r="B1414" t="s">
        <v>32</v>
      </c>
      <c r="C1414" t="s">
        <v>33</v>
      </c>
      <c r="D1414" t="s">
        <v>17</v>
      </c>
      <c r="E1414" s="2">
        <v>45901</v>
      </c>
      <c r="F1414" s="3">
        <v>70401</v>
      </c>
      <c r="G1414" s="3">
        <v>42839</v>
      </c>
      <c r="H1414" s="3">
        <v>27562</v>
      </c>
      <c r="I1414" s="3">
        <v>416</v>
      </c>
      <c r="J1414" s="4">
        <v>339.75</v>
      </c>
      <c r="K1414" s="3">
        <v>47570</v>
      </c>
      <c r="L1414" s="3">
        <v>22831</v>
      </c>
    </row>
    <row r="1415" spans="1:12" x14ac:dyDescent="0.25">
      <c r="A1415" t="s">
        <v>32</v>
      </c>
      <c r="B1415" t="s">
        <v>32</v>
      </c>
      <c r="C1415" t="s">
        <v>33</v>
      </c>
      <c r="D1415" t="s">
        <v>17</v>
      </c>
      <c r="E1415" s="2">
        <v>45931</v>
      </c>
      <c r="F1415" s="3">
        <v>73166</v>
      </c>
      <c r="G1415" s="3">
        <v>45978</v>
      </c>
      <c r="H1415" s="3">
        <v>27188</v>
      </c>
      <c r="I1415" s="3">
        <v>460</v>
      </c>
      <c r="J1415" s="4">
        <v>351.36</v>
      </c>
      <c r="K1415" s="3">
        <v>47563</v>
      </c>
      <c r="L1415" s="3">
        <v>25603</v>
      </c>
    </row>
    <row r="1416" spans="1:12" x14ac:dyDescent="0.25">
      <c r="A1416" t="s">
        <v>32</v>
      </c>
      <c r="B1416" t="s">
        <v>32</v>
      </c>
      <c r="C1416" t="s">
        <v>33</v>
      </c>
      <c r="D1416" t="s">
        <v>17</v>
      </c>
      <c r="E1416" s="2">
        <v>45962</v>
      </c>
      <c r="F1416" s="3">
        <v>75913</v>
      </c>
      <c r="G1416" s="3">
        <v>47479</v>
      </c>
      <c r="H1416" s="3">
        <v>28434</v>
      </c>
      <c r="I1416" s="3">
        <v>463</v>
      </c>
      <c r="J1416" s="4">
        <v>350.11</v>
      </c>
      <c r="K1416" s="3">
        <v>49810</v>
      </c>
      <c r="L1416" s="3">
        <v>26103</v>
      </c>
    </row>
    <row r="1417" spans="1:12" x14ac:dyDescent="0.25">
      <c r="A1417" t="s">
        <v>32</v>
      </c>
      <c r="B1417" t="s">
        <v>32</v>
      </c>
      <c r="C1417" t="s">
        <v>33</v>
      </c>
      <c r="D1417" t="s">
        <v>17</v>
      </c>
      <c r="E1417" s="2">
        <v>45992</v>
      </c>
      <c r="F1417" s="3">
        <v>73911</v>
      </c>
      <c r="G1417" s="3">
        <v>45476</v>
      </c>
      <c r="H1417" s="3">
        <v>28435</v>
      </c>
      <c r="I1417" s="3">
        <v>466</v>
      </c>
      <c r="J1417" s="4">
        <v>344.3</v>
      </c>
      <c r="K1417" s="3">
        <v>49822</v>
      </c>
      <c r="L1417" s="3">
        <v>24089</v>
      </c>
    </row>
    <row r="1418" spans="1:12" x14ac:dyDescent="0.25">
      <c r="A1418" t="s">
        <v>32</v>
      </c>
      <c r="B1418" t="s">
        <v>32</v>
      </c>
      <c r="C1418" t="s">
        <v>33</v>
      </c>
      <c r="D1418" t="s">
        <v>18</v>
      </c>
      <c r="E1418" s="2">
        <v>45292</v>
      </c>
      <c r="F1418" s="3">
        <v>59756</v>
      </c>
      <c r="G1418" s="3">
        <v>37935</v>
      </c>
      <c r="H1418" s="3">
        <v>21821</v>
      </c>
      <c r="I1418" s="3">
        <v>2104</v>
      </c>
      <c r="J1418" s="4">
        <v>210.86</v>
      </c>
      <c r="K1418" s="3">
        <v>39065</v>
      </c>
      <c r="L1418" s="3">
        <v>20691</v>
      </c>
    </row>
    <row r="1419" spans="1:12" x14ac:dyDescent="0.25">
      <c r="A1419" t="s">
        <v>32</v>
      </c>
      <c r="B1419" t="s">
        <v>32</v>
      </c>
      <c r="C1419" t="s">
        <v>33</v>
      </c>
      <c r="D1419" t="s">
        <v>18</v>
      </c>
      <c r="E1419" s="2">
        <v>45323</v>
      </c>
      <c r="F1419" s="3">
        <v>58655</v>
      </c>
      <c r="G1419" s="3">
        <v>38374</v>
      </c>
      <c r="H1419" s="3">
        <v>20281</v>
      </c>
      <c r="I1419" s="3">
        <v>2068</v>
      </c>
      <c r="J1419" s="4">
        <v>211.31</v>
      </c>
      <c r="K1419" s="3">
        <v>38876</v>
      </c>
      <c r="L1419" s="3">
        <v>19779</v>
      </c>
    </row>
    <row r="1420" spans="1:12" x14ac:dyDescent="0.25">
      <c r="A1420" t="s">
        <v>32</v>
      </c>
      <c r="B1420" t="s">
        <v>32</v>
      </c>
      <c r="C1420" t="s">
        <v>33</v>
      </c>
      <c r="D1420" t="s">
        <v>18</v>
      </c>
      <c r="E1420" s="2">
        <v>45352</v>
      </c>
      <c r="F1420" s="3">
        <v>54942</v>
      </c>
      <c r="G1420" s="3">
        <v>34930</v>
      </c>
      <c r="H1420" s="3">
        <v>20012</v>
      </c>
      <c r="I1420" s="3">
        <v>1909</v>
      </c>
      <c r="J1420" s="4">
        <v>208.7</v>
      </c>
      <c r="K1420" s="3">
        <v>35741</v>
      </c>
      <c r="L1420" s="3">
        <v>19201</v>
      </c>
    </row>
    <row r="1421" spans="1:12" x14ac:dyDescent="0.25">
      <c r="A1421" t="s">
        <v>32</v>
      </c>
      <c r="B1421" t="s">
        <v>32</v>
      </c>
      <c r="C1421" t="s">
        <v>33</v>
      </c>
      <c r="D1421" t="s">
        <v>18</v>
      </c>
      <c r="E1421" s="2">
        <v>45383</v>
      </c>
      <c r="F1421" s="3">
        <v>57262</v>
      </c>
      <c r="G1421" s="3">
        <v>37574</v>
      </c>
      <c r="H1421" s="3">
        <v>19688</v>
      </c>
      <c r="I1421" s="3">
        <v>2089</v>
      </c>
      <c r="J1421" s="4">
        <v>207.1</v>
      </c>
      <c r="K1421" s="3">
        <v>37991</v>
      </c>
      <c r="L1421" s="3">
        <v>19271</v>
      </c>
    </row>
    <row r="1422" spans="1:12" x14ac:dyDescent="0.25">
      <c r="A1422" t="s">
        <v>32</v>
      </c>
      <c r="B1422" t="s">
        <v>32</v>
      </c>
      <c r="C1422" t="s">
        <v>33</v>
      </c>
      <c r="D1422" t="s">
        <v>18</v>
      </c>
      <c r="E1422" s="2">
        <v>45413</v>
      </c>
      <c r="F1422" s="3">
        <v>58116</v>
      </c>
      <c r="G1422" s="3">
        <v>37144</v>
      </c>
      <c r="H1422" s="3">
        <v>20972</v>
      </c>
      <c r="I1422" s="3">
        <v>2165</v>
      </c>
      <c r="J1422" s="4">
        <v>198.36</v>
      </c>
      <c r="K1422" s="3">
        <v>37730</v>
      </c>
      <c r="L1422" s="3">
        <v>20386</v>
      </c>
    </row>
    <row r="1423" spans="1:12" x14ac:dyDescent="0.25">
      <c r="A1423" t="s">
        <v>32</v>
      </c>
      <c r="B1423" t="s">
        <v>32</v>
      </c>
      <c r="C1423" t="s">
        <v>33</v>
      </c>
      <c r="D1423" t="s">
        <v>18</v>
      </c>
      <c r="E1423" s="2">
        <v>45444</v>
      </c>
      <c r="F1423" s="3">
        <v>61467</v>
      </c>
      <c r="G1423" s="3">
        <v>38931</v>
      </c>
      <c r="H1423" s="3">
        <v>22536</v>
      </c>
      <c r="I1423" s="3">
        <v>2242</v>
      </c>
      <c r="J1423" s="4">
        <v>213.42</v>
      </c>
      <c r="K1423" s="3">
        <v>41136</v>
      </c>
      <c r="L1423" s="3">
        <v>20331</v>
      </c>
    </row>
    <row r="1424" spans="1:12" x14ac:dyDescent="0.25">
      <c r="A1424" t="s">
        <v>32</v>
      </c>
      <c r="B1424" t="s">
        <v>32</v>
      </c>
      <c r="C1424" t="s">
        <v>33</v>
      </c>
      <c r="D1424" t="s">
        <v>18</v>
      </c>
      <c r="E1424" s="2">
        <v>45474</v>
      </c>
      <c r="F1424" s="3">
        <v>64751</v>
      </c>
      <c r="G1424" s="3">
        <v>40975</v>
      </c>
      <c r="H1424" s="3">
        <v>23776</v>
      </c>
      <c r="I1424" s="3">
        <v>2304</v>
      </c>
      <c r="J1424" s="4">
        <v>209.61</v>
      </c>
      <c r="K1424" s="3">
        <v>43442</v>
      </c>
      <c r="L1424" s="3">
        <v>21309</v>
      </c>
    </row>
    <row r="1425" spans="1:12" x14ac:dyDescent="0.25">
      <c r="A1425" t="s">
        <v>32</v>
      </c>
      <c r="B1425" t="s">
        <v>32</v>
      </c>
      <c r="C1425" t="s">
        <v>33</v>
      </c>
      <c r="D1425" t="s">
        <v>18</v>
      </c>
      <c r="E1425" s="2">
        <v>45505</v>
      </c>
      <c r="F1425" s="3">
        <v>64217</v>
      </c>
      <c r="G1425" s="3">
        <v>41352</v>
      </c>
      <c r="H1425" s="3">
        <v>22865</v>
      </c>
      <c r="I1425" s="3">
        <v>2257</v>
      </c>
      <c r="J1425" s="4">
        <v>214.68</v>
      </c>
      <c r="K1425" s="3">
        <v>41869</v>
      </c>
      <c r="L1425" s="3">
        <v>22348</v>
      </c>
    </row>
    <row r="1426" spans="1:12" x14ac:dyDescent="0.25">
      <c r="A1426" t="s">
        <v>32</v>
      </c>
      <c r="B1426" t="s">
        <v>32</v>
      </c>
      <c r="C1426" t="s">
        <v>33</v>
      </c>
      <c r="D1426" t="s">
        <v>18</v>
      </c>
      <c r="E1426" s="2">
        <v>45536</v>
      </c>
      <c r="F1426" s="3">
        <v>69718</v>
      </c>
      <c r="G1426" s="3">
        <v>45263</v>
      </c>
      <c r="H1426" s="3">
        <v>24455</v>
      </c>
      <c r="I1426" s="3">
        <v>2490</v>
      </c>
      <c r="J1426" s="4">
        <v>207.82</v>
      </c>
      <c r="K1426" s="3">
        <v>46989</v>
      </c>
      <c r="L1426" s="3">
        <v>22729</v>
      </c>
    </row>
    <row r="1427" spans="1:12" x14ac:dyDescent="0.25">
      <c r="A1427" t="s">
        <v>32</v>
      </c>
      <c r="B1427" t="s">
        <v>32</v>
      </c>
      <c r="C1427" t="s">
        <v>33</v>
      </c>
      <c r="D1427" t="s">
        <v>18</v>
      </c>
      <c r="E1427" s="2">
        <v>45566</v>
      </c>
      <c r="F1427" s="3">
        <v>66744</v>
      </c>
      <c r="G1427" s="3">
        <v>42208</v>
      </c>
      <c r="H1427" s="3">
        <v>24536</v>
      </c>
      <c r="I1427" s="3">
        <v>2400</v>
      </c>
      <c r="J1427" s="4">
        <v>203.74</v>
      </c>
      <c r="K1427" s="3">
        <v>44635</v>
      </c>
      <c r="L1427" s="3">
        <v>22109</v>
      </c>
    </row>
    <row r="1428" spans="1:12" x14ac:dyDescent="0.25">
      <c r="A1428" t="s">
        <v>32</v>
      </c>
      <c r="B1428" t="s">
        <v>32</v>
      </c>
      <c r="C1428" t="s">
        <v>33</v>
      </c>
      <c r="D1428" t="s">
        <v>18</v>
      </c>
      <c r="E1428" s="2">
        <v>45597</v>
      </c>
      <c r="F1428" s="3">
        <v>69038</v>
      </c>
      <c r="G1428" s="3">
        <v>43996</v>
      </c>
      <c r="H1428" s="3">
        <v>25042</v>
      </c>
      <c r="I1428" s="3">
        <v>2450</v>
      </c>
      <c r="J1428" s="4">
        <v>217.11</v>
      </c>
      <c r="K1428" s="3">
        <v>45653</v>
      </c>
      <c r="L1428" s="3">
        <v>23385</v>
      </c>
    </row>
    <row r="1429" spans="1:12" x14ac:dyDescent="0.25">
      <c r="A1429" t="s">
        <v>32</v>
      </c>
      <c r="B1429" t="s">
        <v>32</v>
      </c>
      <c r="C1429" t="s">
        <v>33</v>
      </c>
      <c r="D1429" t="s">
        <v>18</v>
      </c>
      <c r="E1429" s="2">
        <v>45627</v>
      </c>
      <c r="F1429" s="3">
        <v>66307</v>
      </c>
      <c r="G1429" s="3">
        <v>42617</v>
      </c>
      <c r="H1429" s="3">
        <v>23690</v>
      </c>
      <c r="I1429" s="3">
        <v>2380</v>
      </c>
      <c r="J1429" s="4">
        <v>205.01</v>
      </c>
      <c r="K1429" s="3">
        <v>44812</v>
      </c>
      <c r="L1429" s="3">
        <v>21495</v>
      </c>
    </row>
    <row r="1430" spans="1:12" x14ac:dyDescent="0.25">
      <c r="A1430" t="s">
        <v>32</v>
      </c>
      <c r="B1430" t="s">
        <v>32</v>
      </c>
      <c r="C1430" t="s">
        <v>33</v>
      </c>
      <c r="D1430" t="s">
        <v>18</v>
      </c>
      <c r="E1430" s="2">
        <v>45658</v>
      </c>
      <c r="F1430" s="3">
        <v>66829</v>
      </c>
      <c r="G1430" s="3">
        <v>43145</v>
      </c>
      <c r="H1430" s="3">
        <v>23684</v>
      </c>
      <c r="I1430" s="3">
        <v>2384</v>
      </c>
      <c r="J1430" s="4">
        <v>198.13</v>
      </c>
      <c r="K1430" s="3">
        <v>44333</v>
      </c>
      <c r="L1430" s="3">
        <v>22496</v>
      </c>
    </row>
    <row r="1431" spans="1:12" x14ac:dyDescent="0.25">
      <c r="A1431" t="s">
        <v>32</v>
      </c>
      <c r="B1431" t="s">
        <v>32</v>
      </c>
      <c r="C1431" t="s">
        <v>33</v>
      </c>
      <c r="D1431" t="s">
        <v>18</v>
      </c>
      <c r="E1431" s="2">
        <v>45689</v>
      </c>
      <c r="F1431" s="3">
        <v>64558</v>
      </c>
      <c r="G1431" s="3">
        <v>42297</v>
      </c>
      <c r="H1431" s="3">
        <v>22261</v>
      </c>
      <c r="I1431" s="3">
        <v>2233</v>
      </c>
      <c r="J1431" s="4">
        <v>215.32</v>
      </c>
      <c r="K1431" s="3">
        <v>42791</v>
      </c>
      <c r="L1431" s="3">
        <v>21767</v>
      </c>
    </row>
    <row r="1432" spans="1:12" x14ac:dyDescent="0.25">
      <c r="A1432" t="s">
        <v>32</v>
      </c>
      <c r="B1432" t="s">
        <v>32</v>
      </c>
      <c r="C1432" t="s">
        <v>33</v>
      </c>
      <c r="D1432" t="s">
        <v>18</v>
      </c>
      <c r="E1432" s="2">
        <v>45717</v>
      </c>
      <c r="F1432" s="3">
        <v>60565</v>
      </c>
      <c r="G1432" s="3">
        <v>38935</v>
      </c>
      <c r="H1432" s="3">
        <v>21630</v>
      </c>
      <c r="I1432" s="3">
        <v>2113</v>
      </c>
      <c r="J1432" s="4">
        <v>200.89</v>
      </c>
      <c r="K1432" s="3">
        <v>39490</v>
      </c>
      <c r="L1432" s="3">
        <v>21075</v>
      </c>
    </row>
    <row r="1433" spans="1:12" x14ac:dyDescent="0.25">
      <c r="A1433" t="s">
        <v>32</v>
      </c>
      <c r="B1433" t="s">
        <v>32</v>
      </c>
      <c r="C1433" t="s">
        <v>33</v>
      </c>
      <c r="D1433" t="s">
        <v>18</v>
      </c>
      <c r="E1433" s="2">
        <v>45748</v>
      </c>
      <c r="F1433" s="3">
        <v>61029</v>
      </c>
      <c r="G1433" s="3">
        <v>39050</v>
      </c>
      <c r="H1433" s="3">
        <v>21979</v>
      </c>
      <c r="I1433" s="3">
        <v>2204</v>
      </c>
      <c r="J1433" s="4">
        <v>207.92</v>
      </c>
      <c r="K1433" s="3">
        <v>41246</v>
      </c>
      <c r="L1433" s="3">
        <v>19783</v>
      </c>
    </row>
    <row r="1434" spans="1:12" x14ac:dyDescent="0.25">
      <c r="A1434" t="s">
        <v>32</v>
      </c>
      <c r="B1434" t="s">
        <v>32</v>
      </c>
      <c r="C1434" t="s">
        <v>33</v>
      </c>
      <c r="D1434" t="s">
        <v>18</v>
      </c>
      <c r="E1434" s="2">
        <v>45778</v>
      </c>
      <c r="F1434" s="3">
        <v>58754</v>
      </c>
      <c r="G1434" s="3">
        <v>37049</v>
      </c>
      <c r="H1434" s="3">
        <v>21705</v>
      </c>
      <c r="I1434" s="3">
        <v>2041</v>
      </c>
      <c r="J1434" s="4">
        <v>209.1</v>
      </c>
      <c r="K1434" s="3">
        <v>38132</v>
      </c>
      <c r="L1434" s="3">
        <v>20622</v>
      </c>
    </row>
    <row r="1435" spans="1:12" x14ac:dyDescent="0.25">
      <c r="A1435" t="s">
        <v>32</v>
      </c>
      <c r="B1435" t="s">
        <v>32</v>
      </c>
      <c r="C1435" t="s">
        <v>33</v>
      </c>
      <c r="D1435" t="s">
        <v>18</v>
      </c>
      <c r="E1435" s="2">
        <v>45809</v>
      </c>
      <c r="F1435" s="3">
        <v>62291</v>
      </c>
      <c r="G1435" s="3">
        <v>39885</v>
      </c>
      <c r="H1435" s="3">
        <v>22406</v>
      </c>
      <c r="I1435" s="3">
        <v>2337</v>
      </c>
      <c r="J1435" s="4">
        <v>212.09</v>
      </c>
      <c r="K1435" s="3">
        <v>41740</v>
      </c>
      <c r="L1435" s="3">
        <v>20551</v>
      </c>
    </row>
    <row r="1436" spans="1:12" x14ac:dyDescent="0.25">
      <c r="A1436" t="s">
        <v>32</v>
      </c>
      <c r="B1436" t="s">
        <v>32</v>
      </c>
      <c r="C1436" t="s">
        <v>33</v>
      </c>
      <c r="D1436" t="s">
        <v>18</v>
      </c>
      <c r="E1436" s="2">
        <v>45839</v>
      </c>
      <c r="F1436" s="3">
        <v>63601</v>
      </c>
      <c r="G1436" s="3">
        <v>40987</v>
      </c>
      <c r="H1436" s="3">
        <v>22614</v>
      </c>
      <c r="I1436" s="3">
        <v>2351</v>
      </c>
      <c r="J1436" s="4">
        <v>214.4</v>
      </c>
      <c r="K1436" s="3">
        <v>42054</v>
      </c>
      <c r="L1436" s="3">
        <v>21547</v>
      </c>
    </row>
    <row r="1437" spans="1:12" x14ac:dyDescent="0.25">
      <c r="A1437" t="s">
        <v>32</v>
      </c>
      <c r="B1437" t="s">
        <v>32</v>
      </c>
      <c r="C1437" t="s">
        <v>33</v>
      </c>
      <c r="D1437" t="s">
        <v>18</v>
      </c>
      <c r="E1437" s="2">
        <v>45870</v>
      </c>
      <c r="F1437" s="3">
        <v>73499</v>
      </c>
      <c r="G1437" s="3">
        <v>47481</v>
      </c>
      <c r="H1437" s="3">
        <v>26018</v>
      </c>
      <c r="I1437" s="3">
        <v>2714</v>
      </c>
      <c r="J1437" s="4">
        <v>200.48</v>
      </c>
      <c r="K1437" s="3">
        <v>49013</v>
      </c>
      <c r="L1437" s="3">
        <v>24486</v>
      </c>
    </row>
    <row r="1438" spans="1:12" x14ac:dyDescent="0.25">
      <c r="A1438" t="s">
        <v>32</v>
      </c>
      <c r="B1438" t="s">
        <v>32</v>
      </c>
      <c r="C1438" t="s">
        <v>33</v>
      </c>
      <c r="D1438" t="s">
        <v>18</v>
      </c>
      <c r="E1438" s="2">
        <v>45901</v>
      </c>
      <c r="F1438" s="3">
        <v>72398</v>
      </c>
      <c r="G1438" s="3">
        <v>45631</v>
      </c>
      <c r="H1438" s="3">
        <v>26767</v>
      </c>
      <c r="I1438" s="3">
        <v>2637</v>
      </c>
      <c r="J1438" s="4">
        <v>214.45</v>
      </c>
      <c r="K1438" s="3">
        <v>47053</v>
      </c>
      <c r="L1438" s="3">
        <v>25345</v>
      </c>
    </row>
    <row r="1439" spans="1:12" x14ac:dyDescent="0.25">
      <c r="A1439" t="s">
        <v>32</v>
      </c>
      <c r="B1439" t="s">
        <v>32</v>
      </c>
      <c r="C1439" t="s">
        <v>33</v>
      </c>
      <c r="D1439" t="s">
        <v>18</v>
      </c>
      <c r="E1439" s="2">
        <v>45931</v>
      </c>
      <c r="F1439" s="3">
        <v>77616</v>
      </c>
      <c r="G1439" s="3">
        <v>49985</v>
      </c>
      <c r="H1439" s="3">
        <v>27631</v>
      </c>
      <c r="I1439" s="3">
        <v>2894</v>
      </c>
      <c r="J1439" s="4">
        <v>207.25</v>
      </c>
      <c r="K1439" s="3">
        <v>50901</v>
      </c>
      <c r="L1439" s="3">
        <v>26715</v>
      </c>
    </row>
    <row r="1440" spans="1:12" x14ac:dyDescent="0.25">
      <c r="A1440" t="s">
        <v>32</v>
      </c>
      <c r="B1440" t="s">
        <v>32</v>
      </c>
      <c r="C1440" t="s">
        <v>33</v>
      </c>
      <c r="D1440" t="s">
        <v>18</v>
      </c>
      <c r="E1440" s="2">
        <v>45962</v>
      </c>
      <c r="F1440" s="3">
        <v>78348</v>
      </c>
      <c r="G1440" s="3">
        <v>50764</v>
      </c>
      <c r="H1440" s="3">
        <v>27584</v>
      </c>
      <c r="I1440" s="3">
        <v>2782</v>
      </c>
      <c r="J1440" s="4">
        <v>206.57</v>
      </c>
      <c r="K1440" s="3">
        <v>51117</v>
      </c>
      <c r="L1440" s="3">
        <v>27231</v>
      </c>
    </row>
    <row r="1441" spans="1:12" x14ac:dyDescent="0.25">
      <c r="A1441" t="s">
        <v>32</v>
      </c>
      <c r="B1441" t="s">
        <v>32</v>
      </c>
      <c r="C1441" t="s">
        <v>33</v>
      </c>
      <c r="D1441" t="s">
        <v>18</v>
      </c>
      <c r="E1441" s="2">
        <v>45992</v>
      </c>
      <c r="F1441" s="3">
        <v>70231</v>
      </c>
      <c r="G1441" s="3">
        <v>45868</v>
      </c>
      <c r="H1441" s="3">
        <v>24363</v>
      </c>
      <c r="I1441" s="3">
        <v>2627</v>
      </c>
      <c r="J1441" s="4">
        <v>202.36</v>
      </c>
      <c r="K1441" s="3">
        <v>46077</v>
      </c>
      <c r="L1441" s="3">
        <v>24154</v>
      </c>
    </row>
    <row r="1442" spans="1:12" x14ac:dyDescent="0.25">
      <c r="A1442" t="s">
        <v>32</v>
      </c>
      <c r="B1442" t="s">
        <v>32</v>
      </c>
      <c r="C1442" t="s">
        <v>33</v>
      </c>
      <c r="D1442" t="s">
        <v>19</v>
      </c>
      <c r="E1442" s="2">
        <v>45292</v>
      </c>
      <c r="F1442" s="3">
        <v>52358</v>
      </c>
      <c r="G1442" s="3">
        <v>30959</v>
      </c>
      <c r="H1442" s="3">
        <v>21399</v>
      </c>
      <c r="I1442" s="3">
        <v>2164</v>
      </c>
      <c r="J1442" s="4">
        <v>122.56</v>
      </c>
      <c r="K1442" s="3">
        <v>35293</v>
      </c>
      <c r="L1442" s="3">
        <v>17065</v>
      </c>
    </row>
    <row r="1443" spans="1:12" x14ac:dyDescent="0.25">
      <c r="A1443" t="s">
        <v>32</v>
      </c>
      <c r="B1443" t="s">
        <v>32</v>
      </c>
      <c r="C1443" t="s">
        <v>33</v>
      </c>
      <c r="D1443" t="s">
        <v>19</v>
      </c>
      <c r="E1443" s="2">
        <v>45323</v>
      </c>
      <c r="F1443" s="3">
        <v>53735</v>
      </c>
      <c r="G1443" s="3">
        <v>32900</v>
      </c>
      <c r="H1443" s="3">
        <v>20835</v>
      </c>
      <c r="I1443" s="3">
        <v>2210</v>
      </c>
      <c r="J1443" s="4">
        <v>120.75</v>
      </c>
      <c r="K1443" s="3">
        <v>35559</v>
      </c>
      <c r="L1443" s="3">
        <v>18176</v>
      </c>
    </row>
    <row r="1444" spans="1:12" x14ac:dyDescent="0.25">
      <c r="A1444" t="s">
        <v>32</v>
      </c>
      <c r="B1444" t="s">
        <v>32</v>
      </c>
      <c r="C1444" t="s">
        <v>33</v>
      </c>
      <c r="D1444" t="s">
        <v>19</v>
      </c>
      <c r="E1444" s="2">
        <v>45352</v>
      </c>
      <c r="F1444" s="3">
        <v>48433</v>
      </c>
      <c r="G1444" s="3">
        <v>29159</v>
      </c>
      <c r="H1444" s="3">
        <v>19274</v>
      </c>
      <c r="I1444" s="3">
        <v>2123</v>
      </c>
      <c r="J1444" s="4">
        <v>124.1</v>
      </c>
      <c r="K1444" s="3">
        <v>31179</v>
      </c>
      <c r="L1444" s="3">
        <v>17254</v>
      </c>
    </row>
    <row r="1445" spans="1:12" x14ac:dyDescent="0.25">
      <c r="A1445" t="s">
        <v>32</v>
      </c>
      <c r="B1445" t="s">
        <v>32</v>
      </c>
      <c r="C1445" t="s">
        <v>33</v>
      </c>
      <c r="D1445" t="s">
        <v>19</v>
      </c>
      <c r="E1445" s="2">
        <v>45383</v>
      </c>
      <c r="F1445" s="3">
        <v>47548</v>
      </c>
      <c r="G1445" s="3">
        <v>29065</v>
      </c>
      <c r="H1445" s="3">
        <v>18483</v>
      </c>
      <c r="I1445" s="3">
        <v>2013</v>
      </c>
      <c r="J1445" s="4">
        <v>117.55</v>
      </c>
      <c r="K1445" s="3">
        <v>32014</v>
      </c>
      <c r="L1445" s="3">
        <v>15534</v>
      </c>
    </row>
    <row r="1446" spans="1:12" x14ac:dyDescent="0.25">
      <c r="A1446" t="s">
        <v>32</v>
      </c>
      <c r="B1446" t="s">
        <v>32</v>
      </c>
      <c r="C1446" t="s">
        <v>33</v>
      </c>
      <c r="D1446" t="s">
        <v>19</v>
      </c>
      <c r="E1446" s="2">
        <v>45413</v>
      </c>
      <c r="F1446" s="3">
        <v>49614</v>
      </c>
      <c r="G1446" s="3">
        <v>29257</v>
      </c>
      <c r="H1446" s="3">
        <v>20357</v>
      </c>
      <c r="I1446" s="3">
        <v>2080</v>
      </c>
      <c r="J1446" s="4">
        <v>113.45</v>
      </c>
      <c r="K1446" s="3">
        <v>32799</v>
      </c>
      <c r="L1446" s="3">
        <v>16815</v>
      </c>
    </row>
    <row r="1447" spans="1:12" x14ac:dyDescent="0.25">
      <c r="A1447" t="s">
        <v>32</v>
      </c>
      <c r="B1447" t="s">
        <v>32</v>
      </c>
      <c r="C1447" t="s">
        <v>33</v>
      </c>
      <c r="D1447" t="s">
        <v>19</v>
      </c>
      <c r="E1447" s="2">
        <v>45444</v>
      </c>
      <c r="F1447" s="3">
        <v>54486</v>
      </c>
      <c r="G1447" s="3">
        <v>32163</v>
      </c>
      <c r="H1447" s="3">
        <v>22323</v>
      </c>
      <c r="I1447" s="3">
        <v>2213</v>
      </c>
      <c r="J1447" s="4">
        <v>116.68</v>
      </c>
      <c r="K1447" s="3">
        <v>35803</v>
      </c>
      <c r="L1447" s="3">
        <v>18683</v>
      </c>
    </row>
    <row r="1448" spans="1:12" x14ac:dyDescent="0.25">
      <c r="A1448" t="s">
        <v>32</v>
      </c>
      <c r="B1448" t="s">
        <v>32</v>
      </c>
      <c r="C1448" t="s">
        <v>33</v>
      </c>
      <c r="D1448" t="s">
        <v>19</v>
      </c>
      <c r="E1448" s="2">
        <v>45474</v>
      </c>
      <c r="F1448" s="3">
        <v>60048</v>
      </c>
      <c r="G1448" s="3">
        <v>35200</v>
      </c>
      <c r="H1448" s="3">
        <v>24848</v>
      </c>
      <c r="I1448" s="3">
        <v>2480</v>
      </c>
      <c r="J1448" s="4">
        <v>117.9</v>
      </c>
      <c r="K1448" s="3">
        <v>40328</v>
      </c>
      <c r="L1448" s="3">
        <v>19720</v>
      </c>
    </row>
    <row r="1449" spans="1:12" x14ac:dyDescent="0.25">
      <c r="A1449" t="s">
        <v>32</v>
      </c>
      <c r="B1449" t="s">
        <v>32</v>
      </c>
      <c r="C1449" t="s">
        <v>33</v>
      </c>
      <c r="D1449" t="s">
        <v>19</v>
      </c>
      <c r="E1449" s="2">
        <v>45505</v>
      </c>
      <c r="F1449" s="3">
        <v>57481</v>
      </c>
      <c r="G1449" s="3">
        <v>33951</v>
      </c>
      <c r="H1449" s="3">
        <v>23530</v>
      </c>
      <c r="I1449" s="3">
        <v>2501</v>
      </c>
      <c r="J1449" s="4">
        <v>121.16</v>
      </c>
      <c r="K1449" s="3">
        <v>37127</v>
      </c>
      <c r="L1449" s="3">
        <v>20354</v>
      </c>
    </row>
    <row r="1450" spans="1:12" x14ac:dyDescent="0.25">
      <c r="A1450" t="s">
        <v>32</v>
      </c>
      <c r="B1450" t="s">
        <v>32</v>
      </c>
      <c r="C1450" t="s">
        <v>33</v>
      </c>
      <c r="D1450" t="s">
        <v>19</v>
      </c>
      <c r="E1450" s="2">
        <v>45536</v>
      </c>
      <c r="F1450" s="3">
        <v>62053</v>
      </c>
      <c r="G1450" s="3">
        <v>38108</v>
      </c>
      <c r="H1450" s="3">
        <v>23945</v>
      </c>
      <c r="I1450" s="3">
        <v>2487</v>
      </c>
      <c r="J1450" s="4">
        <v>114.4</v>
      </c>
      <c r="K1450" s="3">
        <v>40735</v>
      </c>
      <c r="L1450" s="3">
        <v>21318</v>
      </c>
    </row>
    <row r="1451" spans="1:12" x14ac:dyDescent="0.25">
      <c r="A1451" t="s">
        <v>32</v>
      </c>
      <c r="B1451" t="s">
        <v>32</v>
      </c>
      <c r="C1451" t="s">
        <v>33</v>
      </c>
      <c r="D1451" t="s">
        <v>19</v>
      </c>
      <c r="E1451" s="2">
        <v>45566</v>
      </c>
      <c r="F1451" s="3">
        <v>61779</v>
      </c>
      <c r="G1451" s="3">
        <v>37870</v>
      </c>
      <c r="H1451" s="3">
        <v>23909</v>
      </c>
      <c r="I1451" s="3">
        <v>2530</v>
      </c>
      <c r="J1451" s="4">
        <v>120.66</v>
      </c>
      <c r="K1451" s="3">
        <v>41307</v>
      </c>
      <c r="L1451" s="3">
        <v>20472</v>
      </c>
    </row>
    <row r="1452" spans="1:12" x14ac:dyDescent="0.25">
      <c r="A1452" t="s">
        <v>32</v>
      </c>
      <c r="B1452" t="s">
        <v>32</v>
      </c>
      <c r="C1452" t="s">
        <v>33</v>
      </c>
      <c r="D1452" t="s">
        <v>19</v>
      </c>
      <c r="E1452" s="2">
        <v>45597</v>
      </c>
      <c r="F1452" s="3">
        <v>67849</v>
      </c>
      <c r="G1452" s="3">
        <v>41686</v>
      </c>
      <c r="H1452" s="3">
        <v>26163</v>
      </c>
      <c r="I1452" s="3">
        <v>2951</v>
      </c>
      <c r="J1452" s="4">
        <v>122.48</v>
      </c>
      <c r="K1452" s="3">
        <v>45453</v>
      </c>
      <c r="L1452" s="3">
        <v>22396</v>
      </c>
    </row>
    <row r="1453" spans="1:12" x14ac:dyDescent="0.25">
      <c r="A1453" t="s">
        <v>32</v>
      </c>
      <c r="B1453" t="s">
        <v>32</v>
      </c>
      <c r="C1453" t="s">
        <v>33</v>
      </c>
      <c r="D1453" t="s">
        <v>19</v>
      </c>
      <c r="E1453" s="2">
        <v>45627</v>
      </c>
      <c r="F1453" s="3">
        <v>60024</v>
      </c>
      <c r="G1453" s="3">
        <v>35338</v>
      </c>
      <c r="H1453" s="3">
        <v>24686</v>
      </c>
      <c r="I1453" s="3">
        <v>2520</v>
      </c>
      <c r="J1453" s="4">
        <v>114.78</v>
      </c>
      <c r="K1453" s="3">
        <v>39095</v>
      </c>
      <c r="L1453" s="3">
        <v>20929</v>
      </c>
    </row>
    <row r="1454" spans="1:12" x14ac:dyDescent="0.25">
      <c r="A1454" t="s">
        <v>32</v>
      </c>
      <c r="B1454" t="s">
        <v>32</v>
      </c>
      <c r="C1454" t="s">
        <v>33</v>
      </c>
      <c r="D1454" t="s">
        <v>19</v>
      </c>
      <c r="E1454" s="2">
        <v>45658</v>
      </c>
      <c r="F1454" s="3">
        <v>57324</v>
      </c>
      <c r="G1454" s="3">
        <v>34419</v>
      </c>
      <c r="H1454" s="3">
        <v>22905</v>
      </c>
      <c r="I1454" s="3">
        <v>2293</v>
      </c>
      <c r="J1454" s="4">
        <v>114.41</v>
      </c>
      <c r="K1454" s="3">
        <v>38654</v>
      </c>
      <c r="L1454" s="3">
        <v>18670</v>
      </c>
    </row>
    <row r="1455" spans="1:12" x14ac:dyDescent="0.25">
      <c r="A1455" t="s">
        <v>32</v>
      </c>
      <c r="B1455" t="s">
        <v>32</v>
      </c>
      <c r="C1455" t="s">
        <v>33</v>
      </c>
      <c r="D1455" t="s">
        <v>19</v>
      </c>
      <c r="E1455" s="2">
        <v>45689</v>
      </c>
      <c r="F1455" s="3">
        <v>59675</v>
      </c>
      <c r="G1455" s="3">
        <v>36084</v>
      </c>
      <c r="H1455" s="3">
        <v>23591</v>
      </c>
      <c r="I1455" s="3">
        <v>2452</v>
      </c>
      <c r="J1455" s="4">
        <v>113.6</v>
      </c>
      <c r="K1455" s="3">
        <v>40352</v>
      </c>
      <c r="L1455" s="3">
        <v>19323</v>
      </c>
    </row>
    <row r="1456" spans="1:12" x14ac:dyDescent="0.25">
      <c r="A1456" t="s">
        <v>32</v>
      </c>
      <c r="B1456" t="s">
        <v>32</v>
      </c>
      <c r="C1456" t="s">
        <v>33</v>
      </c>
      <c r="D1456" t="s">
        <v>19</v>
      </c>
      <c r="E1456" s="2">
        <v>45717</v>
      </c>
      <c r="F1456" s="3">
        <v>55414</v>
      </c>
      <c r="G1456" s="3">
        <v>32688</v>
      </c>
      <c r="H1456" s="3">
        <v>22726</v>
      </c>
      <c r="I1456" s="3">
        <v>2383</v>
      </c>
      <c r="J1456" s="4">
        <v>117.93</v>
      </c>
      <c r="K1456" s="3">
        <v>35915</v>
      </c>
      <c r="L1456" s="3">
        <v>19499</v>
      </c>
    </row>
    <row r="1457" spans="1:12" x14ac:dyDescent="0.25">
      <c r="A1457" t="s">
        <v>32</v>
      </c>
      <c r="B1457" t="s">
        <v>32</v>
      </c>
      <c r="C1457" t="s">
        <v>33</v>
      </c>
      <c r="D1457" t="s">
        <v>19</v>
      </c>
      <c r="E1457" s="2">
        <v>45748</v>
      </c>
      <c r="F1457" s="3">
        <v>57507</v>
      </c>
      <c r="G1457" s="3">
        <v>33910</v>
      </c>
      <c r="H1457" s="3">
        <v>23597</v>
      </c>
      <c r="I1457" s="3">
        <v>2461</v>
      </c>
      <c r="J1457" s="4">
        <v>113.8</v>
      </c>
      <c r="K1457" s="3">
        <v>38402</v>
      </c>
      <c r="L1457" s="3">
        <v>19105</v>
      </c>
    </row>
    <row r="1458" spans="1:12" x14ac:dyDescent="0.25">
      <c r="A1458" t="s">
        <v>32</v>
      </c>
      <c r="B1458" t="s">
        <v>32</v>
      </c>
      <c r="C1458" t="s">
        <v>33</v>
      </c>
      <c r="D1458" t="s">
        <v>19</v>
      </c>
      <c r="E1458" s="2">
        <v>45778</v>
      </c>
      <c r="F1458" s="3">
        <v>57339</v>
      </c>
      <c r="G1458" s="3">
        <v>34977</v>
      </c>
      <c r="H1458" s="3">
        <v>22362</v>
      </c>
      <c r="I1458" s="3">
        <v>2422</v>
      </c>
      <c r="J1458" s="4">
        <v>116.58</v>
      </c>
      <c r="K1458" s="3">
        <v>38682</v>
      </c>
      <c r="L1458" s="3">
        <v>18657</v>
      </c>
    </row>
    <row r="1459" spans="1:12" x14ac:dyDescent="0.25">
      <c r="A1459" t="s">
        <v>32</v>
      </c>
      <c r="B1459" t="s">
        <v>32</v>
      </c>
      <c r="C1459" t="s">
        <v>33</v>
      </c>
      <c r="D1459" t="s">
        <v>19</v>
      </c>
      <c r="E1459" s="2">
        <v>45809</v>
      </c>
      <c r="F1459" s="3">
        <v>59364</v>
      </c>
      <c r="G1459" s="3">
        <v>36313</v>
      </c>
      <c r="H1459" s="3">
        <v>23051</v>
      </c>
      <c r="I1459" s="3">
        <v>2572</v>
      </c>
      <c r="J1459" s="4">
        <v>116.37</v>
      </c>
      <c r="K1459" s="3">
        <v>39318</v>
      </c>
      <c r="L1459" s="3">
        <v>20046</v>
      </c>
    </row>
    <row r="1460" spans="1:12" x14ac:dyDescent="0.25">
      <c r="A1460" t="s">
        <v>32</v>
      </c>
      <c r="B1460" t="s">
        <v>32</v>
      </c>
      <c r="C1460" t="s">
        <v>33</v>
      </c>
      <c r="D1460" t="s">
        <v>19</v>
      </c>
      <c r="E1460" s="2">
        <v>45839</v>
      </c>
      <c r="F1460" s="3">
        <v>62824</v>
      </c>
      <c r="G1460" s="3">
        <v>38332</v>
      </c>
      <c r="H1460" s="3">
        <v>24492</v>
      </c>
      <c r="I1460" s="3">
        <v>2601</v>
      </c>
      <c r="J1460" s="4">
        <v>122.9</v>
      </c>
      <c r="K1460" s="3">
        <v>40880</v>
      </c>
      <c r="L1460" s="3">
        <v>21944</v>
      </c>
    </row>
    <row r="1461" spans="1:12" x14ac:dyDescent="0.25">
      <c r="A1461" t="s">
        <v>32</v>
      </c>
      <c r="B1461" t="s">
        <v>32</v>
      </c>
      <c r="C1461" t="s">
        <v>33</v>
      </c>
      <c r="D1461" t="s">
        <v>19</v>
      </c>
      <c r="E1461" s="2">
        <v>45870</v>
      </c>
      <c r="F1461" s="3">
        <v>68048</v>
      </c>
      <c r="G1461" s="3">
        <v>41243</v>
      </c>
      <c r="H1461" s="3">
        <v>26805</v>
      </c>
      <c r="I1461" s="3">
        <v>2891</v>
      </c>
      <c r="J1461" s="4">
        <v>122.01</v>
      </c>
      <c r="K1461" s="3">
        <v>45059</v>
      </c>
      <c r="L1461" s="3">
        <v>22989</v>
      </c>
    </row>
    <row r="1462" spans="1:12" x14ac:dyDescent="0.25">
      <c r="A1462" t="s">
        <v>32</v>
      </c>
      <c r="B1462" t="s">
        <v>32</v>
      </c>
      <c r="C1462" t="s">
        <v>33</v>
      </c>
      <c r="D1462" t="s">
        <v>19</v>
      </c>
      <c r="E1462" s="2">
        <v>45901</v>
      </c>
      <c r="F1462" s="3">
        <v>68341</v>
      </c>
      <c r="G1462" s="3">
        <v>41604</v>
      </c>
      <c r="H1462" s="3">
        <v>26737</v>
      </c>
      <c r="I1462" s="3">
        <v>2994</v>
      </c>
      <c r="J1462" s="4">
        <v>118.44</v>
      </c>
      <c r="K1462" s="3">
        <v>44838</v>
      </c>
      <c r="L1462" s="3">
        <v>23503</v>
      </c>
    </row>
    <row r="1463" spans="1:12" x14ac:dyDescent="0.25">
      <c r="A1463" t="s">
        <v>32</v>
      </c>
      <c r="B1463" t="s">
        <v>32</v>
      </c>
      <c r="C1463" t="s">
        <v>33</v>
      </c>
      <c r="D1463" t="s">
        <v>19</v>
      </c>
      <c r="E1463" s="2">
        <v>45931</v>
      </c>
      <c r="F1463" s="3">
        <v>75173</v>
      </c>
      <c r="G1463" s="3">
        <v>44828</v>
      </c>
      <c r="H1463" s="3">
        <v>30345</v>
      </c>
      <c r="I1463" s="3">
        <v>3094</v>
      </c>
      <c r="J1463" s="4">
        <v>115.03</v>
      </c>
      <c r="K1463" s="3">
        <v>50809</v>
      </c>
      <c r="L1463" s="3">
        <v>24364</v>
      </c>
    </row>
    <row r="1464" spans="1:12" x14ac:dyDescent="0.25">
      <c r="A1464" t="s">
        <v>32</v>
      </c>
      <c r="B1464" t="s">
        <v>32</v>
      </c>
      <c r="C1464" t="s">
        <v>33</v>
      </c>
      <c r="D1464" t="s">
        <v>19</v>
      </c>
      <c r="E1464" s="2">
        <v>45962</v>
      </c>
      <c r="F1464" s="3">
        <v>70976</v>
      </c>
      <c r="G1464" s="3">
        <v>43080</v>
      </c>
      <c r="H1464" s="3">
        <v>27896</v>
      </c>
      <c r="I1464" s="3">
        <v>3098</v>
      </c>
      <c r="J1464" s="4">
        <v>113</v>
      </c>
      <c r="K1464" s="3">
        <v>45687</v>
      </c>
      <c r="L1464" s="3">
        <v>25289</v>
      </c>
    </row>
    <row r="1465" spans="1:12" x14ac:dyDescent="0.25">
      <c r="A1465" t="s">
        <v>32</v>
      </c>
      <c r="B1465" t="s">
        <v>32</v>
      </c>
      <c r="C1465" t="s">
        <v>33</v>
      </c>
      <c r="D1465" t="s">
        <v>19</v>
      </c>
      <c r="E1465" s="2">
        <v>45992</v>
      </c>
      <c r="F1465" s="3">
        <v>71443</v>
      </c>
      <c r="G1465" s="3">
        <v>42829</v>
      </c>
      <c r="H1465" s="3">
        <v>28614</v>
      </c>
      <c r="I1465" s="3">
        <v>2932</v>
      </c>
      <c r="J1465" s="4">
        <v>122.79</v>
      </c>
      <c r="K1465" s="3">
        <v>46153</v>
      </c>
      <c r="L1465" s="3">
        <v>25290</v>
      </c>
    </row>
    <row r="1466" spans="1:12" x14ac:dyDescent="0.25">
      <c r="A1466" t="s">
        <v>32</v>
      </c>
      <c r="B1466" t="s">
        <v>32</v>
      </c>
      <c r="C1466" t="s">
        <v>33</v>
      </c>
      <c r="D1466" t="s">
        <v>20</v>
      </c>
      <c r="E1466" s="2">
        <v>45292</v>
      </c>
      <c r="F1466" s="3">
        <v>66146</v>
      </c>
      <c r="G1466" s="3">
        <v>46932</v>
      </c>
      <c r="H1466" s="3">
        <v>19214</v>
      </c>
      <c r="I1466" s="3">
        <v>1503</v>
      </c>
      <c r="J1466" s="4">
        <v>380.03</v>
      </c>
      <c r="K1466" s="3">
        <v>42647</v>
      </c>
      <c r="L1466" s="3">
        <v>23499</v>
      </c>
    </row>
    <row r="1467" spans="1:12" x14ac:dyDescent="0.25">
      <c r="A1467" t="s">
        <v>32</v>
      </c>
      <c r="B1467" t="s">
        <v>32</v>
      </c>
      <c r="C1467" t="s">
        <v>33</v>
      </c>
      <c r="D1467" t="s">
        <v>20</v>
      </c>
      <c r="E1467" s="2">
        <v>45323</v>
      </c>
      <c r="F1467" s="3">
        <v>66146</v>
      </c>
      <c r="G1467" s="3">
        <v>47962</v>
      </c>
      <c r="H1467" s="3">
        <v>18184</v>
      </c>
      <c r="I1467" s="3">
        <v>1621</v>
      </c>
      <c r="J1467" s="4">
        <v>384.03</v>
      </c>
      <c r="K1467" s="3">
        <v>43134</v>
      </c>
      <c r="L1467" s="3">
        <v>23012</v>
      </c>
    </row>
    <row r="1468" spans="1:12" x14ac:dyDescent="0.25">
      <c r="A1468" t="s">
        <v>32</v>
      </c>
      <c r="B1468" t="s">
        <v>32</v>
      </c>
      <c r="C1468" t="s">
        <v>33</v>
      </c>
      <c r="D1468" t="s">
        <v>20</v>
      </c>
      <c r="E1468" s="2">
        <v>45352</v>
      </c>
      <c r="F1468" s="3">
        <v>61120</v>
      </c>
      <c r="G1468" s="3">
        <v>42855</v>
      </c>
      <c r="H1468" s="3">
        <v>18265</v>
      </c>
      <c r="I1468" s="3">
        <v>1479</v>
      </c>
      <c r="J1468" s="4">
        <v>363.17</v>
      </c>
      <c r="K1468" s="3">
        <v>40383</v>
      </c>
      <c r="L1468" s="3">
        <v>20737</v>
      </c>
    </row>
    <row r="1469" spans="1:12" x14ac:dyDescent="0.25">
      <c r="A1469" t="s">
        <v>32</v>
      </c>
      <c r="B1469" t="s">
        <v>32</v>
      </c>
      <c r="C1469" t="s">
        <v>33</v>
      </c>
      <c r="D1469" t="s">
        <v>20</v>
      </c>
      <c r="E1469" s="2">
        <v>45383</v>
      </c>
      <c r="F1469" s="3">
        <v>57800</v>
      </c>
      <c r="G1469" s="3">
        <v>41044</v>
      </c>
      <c r="H1469" s="3">
        <v>16756</v>
      </c>
      <c r="I1469" s="3">
        <v>1376</v>
      </c>
      <c r="J1469" s="4">
        <v>377.38</v>
      </c>
      <c r="K1469" s="3">
        <v>37795</v>
      </c>
      <c r="L1469" s="3">
        <v>20005</v>
      </c>
    </row>
    <row r="1470" spans="1:12" x14ac:dyDescent="0.25">
      <c r="A1470" t="s">
        <v>32</v>
      </c>
      <c r="B1470" t="s">
        <v>32</v>
      </c>
      <c r="C1470" t="s">
        <v>33</v>
      </c>
      <c r="D1470" t="s">
        <v>20</v>
      </c>
      <c r="E1470" s="2">
        <v>45413</v>
      </c>
      <c r="F1470" s="3">
        <v>58721</v>
      </c>
      <c r="G1470" s="3">
        <v>41344</v>
      </c>
      <c r="H1470" s="3">
        <v>17377</v>
      </c>
      <c r="I1470" s="3">
        <v>1416</v>
      </c>
      <c r="J1470" s="4">
        <v>363.03</v>
      </c>
      <c r="K1470" s="3">
        <v>38001</v>
      </c>
      <c r="L1470" s="3">
        <v>20720</v>
      </c>
    </row>
    <row r="1471" spans="1:12" x14ac:dyDescent="0.25">
      <c r="A1471" t="s">
        <v>32</v>
      </c>
      <c r="B1471" t="s">
        <v>32</v>
      </c>
      <c r="C1471" t="s">
        <v>33</v>
      </c>
      <c r="D1471" t="s">
        <v>20</v>
      </c>
      <c r="E1471" s="2">
        <v>45444</v>
      </c>
      <c r="F1471" s="3">
        <v>65102</v>
      </c>
      <c r="G1471" s="3">
        <v>46905</v>
      </c>
      <c r="H1471" s="3">
        <v>18197</v>
      </c>
      <c r="I1471" s="3">
        <v>1604</v>
      </c>
      <c r="J1471" s="4">
        <v>387.94</v>
      </c>
      <c r="K1471" s="3">
        <v>43328</v>
      </c>
      <c r="L1471" s="3">
        <v>21774</v>
      </c>
    </row>
    <row r="1472" spans="1:12" x14ac:dyDescent="0.25">
      <c r="A1472" t="s">
        <v>32</v>
      </c>
      <c r="B1472" t="s">
        <v>32</v>
      </c>
      <c r="C1472" t="s">
        <v>33</v>
      </c>
      <c r="D1472" t="s">
        <v>20</v>
      </c>
      <c r="E1472" s="2">
        <v>45474</v>
      </c>
      <c r="F1472" s="3">
        <v>69313</v>
      </c>
      <c r="G1472" s="3">
        <v>49687</v>
      </c>
      <c r="H1472" s="3">
        <v>19626</v>
      </c>
      <c r="I1472" s="3">
        <v>1627</v>
      </c>
      <c r="J1472" s="4">
        <v>372.12</v>
      </c>
      <c r="K1472" s="3">
        <v>46739</v>
      </c>
      <c r="L1472" s="3">
        <v>22574</v>
      </c>
    </row>
    <row r="1473" spans="1:12" x14ac:dyDescent="0.25">
      <c r="A1473" t="s">
        <v>32</v>
      </c>
      <c r="B1473" t="s">
        <v>32</v>
      </c>
      <c r="C1473" t="s">
        <v>33</v>
      </c>
      <c r="D1473" t="s">
        <v>20</v>
      </c>
      <c r="E1473" s="2">
        <v>45505</v>
      </c>
      <c r="F1473" s="3">
        <v>68717</v>
      </c>
      <c r="G1473" s="3">
        <v>48262</v>
      </c>
      <c r="H1473" s="3">
        <v>20455</v>
      </c>
      <c r="I1473" s="3">
        <v>1688</v>
      </c>
      <c r="J1473" s="4">
        <v>370</v>
      </c>
      <c r="K1473" s="3">
        <v>44649</v>
      </c>
      <c r="L1473" s="3">
        <v>24068</v>
      </c>
    </row>
    <row r="1474" spans="1:12" x14ac:dyDescent="0.25">
      <c r="A1474" t="s">
        <v>32</v>
      </c>
      <c r="B1474" t="s">
        <v>32</v>
      </c>
      <c r="C1474" t="s">
        <v>33</v>
      </c>
      <c r="D1474" t="s">
        <v>20</v>
      </c>
      <c r="E1474" s="2">
        <v>45536</v>
      </c>
      <c r="F1474" s="3">
        <v>75417</v>
      </c>
      <c r="G1474" s="3">
        <v>52657</v>
      </c>
      <c r="H1474" s="3">
        <v>22760</v>
      </c>
      <c r="I1474" s="3">
        <v>1778</v>
      </c>
      <c r="J1474" s="4">
        <v>376.03</v>
      </c>
      <c r="K1474" s="3">
        <v>49362</v>
      </c>
      <c r="L1474" s="3">
        <v>26055</v>
      </c>
    </row>
    <row r="1475" spans="1:12" x14ac:dyDescent="0.25">
      <c r="A1475" t="s">
        <v>32</v>
      </c>
      <c r="B1475" t="s">
        <v>32</v>
      </c>
      <c r="C1475" t="s">
        <v>33</v>
      </c>
      <c r="D1475" t="s">
        <v>20</v>
      </c>
      <c r="E1475" s="2">
        <v>45566</v>
      </c>
      <c r="F1475" s="3">
        <v>77821</v>
      </c>
      <c r="G1475" s="3">
        <v>54398</v>
      </c>
      <c r="H1475" s="3">
        <v>23423</v>
      </c>
      <c r="I1475" s="3">
        <v>1827</v>
      </c>
      <c r="J1475" s="4">
        <v>385.82</v>
      </c>
      <c r="K1475" s="3">
        <v>50123</v>
      </c>
      <c r="L1475" s="3">
        <v>27698</v>
      </c>
    </row>
    <row r="1476" spans="1:12" x14ac:dyDescent="0.25">
      <c r="A1476" t="s">
        <v>32</v>
      </c>
      <c r="B1476" t="s">
        <v>32</v>
      </c>
      <c r="C1476" t="s">
        <v>33</v>
      </c>
      <c r="D1476" t="s">
        <v>20</v>
      </c>
      <c r="E1476" s="2">
        <v>45597</v>
      </c>
      <c r="F1476" s="3">
        <v>78339</v>
      </c>
      <c r="G1476" s="3">
        <v>55216</v>
      </c>
      <c r="H1476" s="3">
        <v>23123</v>
      </c>
      <c r="I1476" s="3">
        <v>1889</v>
      </c>
      <c r="J1476" s="4">
        <v>378.31</v>
      </c>
      <c r="K1476" s="3">
        <v>51772</v>
      </c>
      <c r="L1476" s="3">
        <v>26567</v>
      </c>
    </row>
    <row r="1477" spans="1:12" x14ac:dyDescent="0.25">
      <c r="A1477" t="s">
        <v>32</v>
      </c>
      <c r="B1477" t="s">
        <v>32</v>
      </c>
      <c r="C1477" t="s">
        <v>33</v>
      </c>
      <c r="D1477" t="s">
        <v>20</v>
      </c>
      <c r="E1477" s="2">
        <v>45627</v>
      </c>
      <c r="F1477" s="3">
        <v>70636</v>
      </c>
      <c r="G1477" s="3">
        <v>49198</v>
      </c>
      <c r="H1477" s="3">
        <v>21438</v>
      </c>
      <c r="I1477" s="3">
        <v>1642</v>
      </c>
      <c r="J1477" s="4">
        <v>369.14</v>
      </c>
      <c r="K1477" s="3">
        <v>46292</v>
      </c>
      <c r="L1477" s="3">
        <v>24344</v>
      </c>
    </row>
    <row r="1478" spans="1:12" x14ac:dyDescent="0.25">
      <c r="A1478" t="s">
        <v>32</v>
      </c>
      <c r="B1478" t="s">
        <v>32</v>
      </c>
      <c r="C1478" t="s">
        <v>33</v>
      </c>
      <c r="D1478" t="s">
        <v>20</v>
      </c>
      <c r="E1478" s="2">
        <v>45658</v>
      </c>
      <c r="F1478" s="3">
        <v>65858</v>
      </c>
      <c r="G1478" s="3">
        <v>46490</v>
      </c>
      <c r="H1478" s="3">
        <v>19368</v>
      </c>
      <c r="I1478" s="3">
        <v>1650</v>
      </c>
      <c r="J1478" s="4">
        <v>393.24</v>
      </c>
      <c r="K1478" s="3">
        <v>43777</v>
      </c>
      <c r="L1478" s="3">
        <v>22081</v>
      </c>
    </row>
    <row r="1479" spans="1:12" x14ac:dyDescent="0.25">
      <c r="A1479" t="s">
        <v>32</v>
      </c>
      <c r="B1479" t="s">
        <v>32</v>
      </c>
      <c r="C1479" t="s">
        <v>33</v>
      </c>
      <c r="D1479" t="s">
        <v>20</v>
      </c>
      <c r="E1479" s="2">
        <v>45689</v>
      </c>
      <c r="F1479" s="3">
        <v>67728</v>
      </c>
      <c r="G1479" s="3">
        <v>47704</v>
      </c>
      <c r="H1479" s="3">
        <v>20024</v>
      </c>
      <c r="I1479" s="3">
        <v>1683</v>
      </c>
      <c r="J1479" s="4">
        <v>371.85</v>
      </c>
      <c r="K1479" s="3">
        <v>44858</v>
      </c>
      <c r="L1479" s="3">
        <v>22870</v>
      </c>
    </row>
    <row r="1480" spans="1:12" x14ac:dyDescent="0.25">
      <c r="A1480" t="s">
        <v>32</v>
      </c>
      <c r="B1480" t="s">
        <v>32</v>
      </c>
      <c r="C1480" t="s">
        <v>33</v>
      </c>
      <c r="D1480" t="s">
        <v>20</v>
      </c>
      <c r="E1480" s="2">
        <v>45717</v>
      </c>
      <c r="F1480" s="3">
        <v>64007</v>
      </c>
      <c r="G1480" s="3">
        <v>44785</v>
      </c>
      <c r="H1480" s="3">
        <v>19222</v>
      </c>
      <c r="I1480" s="3">
        <v>1514</v>
      </c>
      <c r="J1480" s="4">
        <v>363.56</v>
      </c>
      <c r="K1480" s="3">
        <v>42549</v>
      </c>
      <c r="L1480" s="3">
        <v>21458</v>
      </c>
    </row>
    <row r="1481" spans="1:12" x14ac:dyDescent="0.25">
      <c r="A1481" t="s">
        <v>32</v>
      </c>
      <c r="B1481" t="s">
        <v>32</v>
      </c>
      <c r="C1481" t="s">
        <v>33</v>
      </c>
      <c r="D1481" t="s">
        <v>20</v>
      </c>
      <c r="E1481" s="2">
        <v>45748</v>
      </c>
      <c r="F1481" s="3">
        <v>64440</v>
      </c>
      <c r="G1481" s="3">
        <v>45293</v>
      </c>
      <c r="H1481" s="3">
        <v>19147</v>
      </c>
      <c r="I1481" s="3">
        <v>1571</v>
      </c>
      <c r="J1481" s="4">
        <v>371.26</v>
      </c>
      <c r="K1481" s="3">
        <v>42795</v>
      </c>
      <c r="L1481" s="3">
        <v>21645</v>
      </c>
    </row>
    <row r="1482" spans="1:12" x14ac:dyDescent="0.25">
      <c r="A1482" t="s">
        <v>32</v>
      </c>
      <c r="B1482" t="s">
        <v>32</v>
      </c>
      <c r="C1482" t="s">
        <v>33</v>
      </c>
      <c r="D1482" t="s">
        <v>20</v>
      </c>
      <c r="E1482" s="2">
        <v>45778</v>
      </c>
      <c r="F1482" s="3">
        <v>61236</v>
      </c>
      <c r="G1482" s="3">
        <v>43819</v>
      </c>
      <c r="H1482" s="3">
        <v>17417</v>
      </c>
      <c r="I1482" s="3">
        <v>1474</v>
      </c>
      <c r="J1482" s="4">
        <v>393.89</v>
      </c>
      <c r="K1482" s="3">
        <v>41156</v>
      </c>
      <c r="L1482" s="3">
        <v>20080</v>
      </c>
    </row>
    <row r="1483" spans="1:12" x14ac:dyDescent="0.25">
      <c r="A1483" t="s">
        <v>32</v>
      </c>
      <c r="B1483" t="s">
        <v>32</v>
      </c>
      <c r="C1483" t="s">
        <v>33</v>
      </c>
      <c r="D1483" t="s">
        <v>20</v>
      </c>
      <c r="E1483" s="2">
        <v>45809</v>
      </c>
      <c r="F1483" s="3">
        <v>66700</v>
      </c>
      <c r="G1483" s="3">
        <v>46615</v>
      </c>
      <c r="H1483" s="3">
        <v>20085</v>
      </c>
      <c r="I1483" s="3">
        <v>1516</v>
      </c>
      <c r="J1483" s="4">
        <v>362.79</v>
      </c>
      <c r="K1483" s="3">
        <v>44872</v>
      </c>
      <c r="L1483" s="3">
        <v>21828</v>
      </c>
    </row>
    <row r="1484" spans="1:12" x14ac:dyDescent="0.25">
      <c r="A1484" t="s">
        <v>32</v>
      </c>
      <c r="B1484" t="s">
        <v>32</v>
      </c>
      <c r="C1484" t="s">
        <v>33</v>
      </c>
      <c r="D1484" t="s">
        <v>20</v>
      </c>
      <c r="E1484" s="2">
        <v>45839</v>
      </c>
      <c r="F1484" s="3">
        <v>65626</v>
      </c>
      <c r="G1484" s="3">
        <v>47280</v>
      </c>
      <c r="H1484" s="3">
        <v>18346</v>
      </c>
      <c r="I1484" s="3">
        <v>1489</v>
      </c>
      <c r="J1484" s="4">
        <v>358.25</v>
      </c>
      <c r="K1484" s="3">
        <v>42691</v>
      </c>
      <c r="L1484" s="3">
        <v>22935</v>
      </c>
    </row>
    <row r="1485" spans="1:12" x14ac:dyDescent="0.25">
      <c r="A1485" t="s">
        <v>32</v>
      </c>
      <c r="B1485" t="s">
        <v>32</v>
      </c>
      <c r="C1485" t="s">
        <v>33</v>
      </c>
      <c r="D1485" t="s">
        <v>20</v>
      </c>
      <c r="E1485" s="2">
        <v>45870</v>
      </c>
      <c r="F1485" s="3">
        <v>74906</v>
      </c>
      <c r="G1485" s="3">
        <v>52360</v>
      </c>
      <c r="H1485" s="3">
        <v>22546</v>
      </c>
      <c r="I1485" s="3">
        <v>1704</v>
      </c>
      <c r="J1485" s="4">
        <v>394.49</v>
      </c>
      <c r="K1485" s="3">
        <v>50086</v>
      </c>
      <c r="L1485" s="3">
        <v>24820</v>
      </c>
    </row>
    <row r="1486" spans="1:12" x14ac:dyDescent="0.25">
      <c r="A1486" t="s">
        <v>32</v>
      </c>
      <c r="B1486" t="s">
        <v>32</v>
      </c>
      <c r="C1486" t="s">
        <v>33</v>
      </c>
      <c r="D1486" t="s">
        <v>20</v>
      </c>
      <c r="E1486" s="2">
        <v>45901</v>
      </c>
      <c r="F1486" s="3">
        <v>78807</v>
      </c>
      <c r="G1486" s="3">
        <v>56351</v>
      </c>
      <c r="H1486" s="3">
        <v>22456</v>
      </c>
      <c r="I1486" s="3">
        <v>1953</v>
      </c>
      <c r="J1486" s="4">
        <v>385.94</v>
      </c>
      <c r="K1486" s="3">
        <v>52039</v>
      </c>
      <c r="L1486" s="3">
        <v>26768</v>
      </c>
    </row>
    <row r="1487" spans="1:12" x14ac:dyDescent="0.25">
      <c r="A1487" t="s">
        <v>32</v>
      </c>
      <c r="B1487" t="s">
        <v>32</v>
      </c>
      <c r="C1487" t="s">
        <v>33</v>
      </c>
      <c r="D1487" t="s">
        <v>20</v>
      </c>
      <c r="E1487" s="2">
        <v>45931</v>
      </c>
      <c r="F1487" s="3">
        <v>79368</v>
      </c>
      <c r="G1487" s="3">
        <v>57303</v>
      </c>
      <c r="H1487" s="3">
        <v>22065</v>
      </c>
      <c r="I1487" s="3">
        <v>1843</v>
      </c>
      <c r="J1487" s="4">
        <v>364.28</v>
      </c>
      <c r="K1487" s="3">
        <v>52133</v>
      </c>
      <c r="L1487" s="3">
        <v>27235</v>
      </c>
    </row>
    <row r="1488" spans="1:12" x14ac:dyDescent="0.25">
      <c r="A1488" t="s">
        <v>32</v>
      </c>
      <c r="B1488" t="s">
        <v>32</v>
      </c>
      <c r="C1488" t="s">
        <v>33</v>
      </c>
      <c r="D1488" t="s">
        <v>20</v>
      </c>
      <c r="E1488" s="2">
        <v>45962</v>
      </c>
      <c r="F1488" s="3">
        <v>72820</v>
      </c>
      <c r="G1488" s="3">
        <v>52389</v>
      </c>
      <c r="H1488" s="3">
        <v>20431</v>
      </c>
      <c r="I1488" s="3">
        <v>1697</v>
      </c>
      <c r="J1488" s="4">
        <v>373.87</v>
      </c>
      <c r="K1488" s="3">
        <v>48221</v>
      </c>
      <c r="L1488" s="3">
        <v>24599</v>
      </c>
    </row>
    <row r="1489" spans="1:12" x14ac:dyDescent="0.25">
      <c r="A1489" t="s">
        <v>32</v>
      </c>
      <c r="B1489" t="s">
        <v>32</v>
      </c>
      <c r="C1489" t="s">
        <v>33</v>
      </c>
      <c r="D1489" t="s">
        <v>20</v>
      </c>
      <c r="E1489" s="2">
        <v>45992</v>
      </c>
      <c r="F1489" s="3">
        <v>73838</v>
      </c>
      <c r="G1489" s="3">
        <v>51418</v>
      </c>
      <c r="H1489" s="3">
        <v>22420</v>
      </c>
      <c r="I1489" s="3">
        <v>1680</v>
      </c>
      <c r="J1489" s="4">
        <v>377.5</v>
      </c>
      <c r="K1489" s="3">
        <v>49587</v>
      </c>
      <c r="L1489" s="3">
        <v>24251</v>
      </c>
    </row>
    <row r="1490" spans="1:12" x14ac:dyDescent="0.25">
      <c r="A1490" t="s">
        <v>32</v>
      </c>
      <c r="B1490" t="s">
        <v>32</v>
      </c>
      <c r="C1490" t="s">
        <v>33</v>
      </c>
      <c r="D1490" t="s">
        <v>21</v>
      </c>
      <c r="E1490" s="2">
        <v>45292</v>
      </c>
      <c r="F1490" s="3">
        <v>37260</v>
      </c>
      <c r="G1490" s="3">
        <v>21160</v>
      </c>
      <c r="H1490" s="3">
        <v>16100</v>
      </c>
      <c r="I1490" s="3">
        <v>456</v>
      </c>
      <c r="J1490" s="4">
        <v>151.55000000000001</v>
      </c>
      <c r="K1490" s="3">
        <v>24234</v>
      </c>
      <c r="L1490" s="3">
        <v>13026</v>
      </c>
    </row>
    <row r="1491" spans="1:12" x14ac:dyDescent="0.25">
      <c r="A1491" t="s">
        <v>32</v>
      </c>
      <c r="B1491" t="s">
        <v>32</v>
      </c>
      <c r="C1491" t="s">
        <v>33</v>
      </c>
      <c r="D1491" t="s">
        <v>21</v>
      </c>
      <c r="E1491" s="2">
        <v>45323</v>
      </c>
      <c r="F1491" s="3">
        <v>38349</v>
      </c>
      <c r="G1491" s="3">
        <v>22199</v>
      </c>
      <c r="H1491" s="3">
        <v>16150</v>
      </c>
      <c r="I1491" s="3">
        <v>447</v>
      </c>
      <c r="J1491" s="4">
        <v>156.82</v>
      </c>
      <c r="K1491" s="3">
        <v>25566</v>
      </c>
      <c r="L1491" s="3">
        <v>12783</v>
      </c>
    </row>
    <row r="1492" spans="1:12" x14ac:dyDescent="0.25">
      <c r="A1492" t="s">
        <v>32</v>
      </c>
      <c r="B1492" t="s">
        <v>32</v>
      </c>
      <c r="C1492" t="s">
        <v>33</v>
      </c>
      <c r="D1492" t="s">
        <v>21</v>
      </c>
      <c r="E1492" s="2">
        <v>45352</v>
      </c>
      <c r="F1492" s="3">
        <v>36807</v>
      </c>
      <c r="G1492" s="3">
        <v>20575</v>
      </c>
      <c r="H1492" s="3">
        <v>16232</v>
      </c>
      <c r="I1492" s="3">
        <v>455</v>
      </c>
      <c r="J1492" s="4">
        <v>158.18</v>
      </c>
      <c r="K1492" s="3">
        <v>24690</v>
      </c>
      <c r="L1492" s="3">
        <v>12117</v>
      </c>
    </row>
    <row r="1493" spans="1:12" x14ac:dyDescent="0.25">
      <c r="A1493" t="s">
        <v>32</v>
      </c>
      <c r="B1493" t="s">
        <v>32</v>
      </c>
      <c r="C1493" t="s">
        <v>33</v>
      </c>
      <c r="D1493" t="s">
        <v>21</v>
      </c>
      <c r="E1493" s="2">
        <v>45383</v>
      </c>
      <c r="F1493" s="3">
        <v>36840</v>
      </c>
      <c r="G1493" s="3">
        <v>20515</v>
      </c>
      <c r="H1493" s="3">
        <v>16325</v>
      </c>
      <c r="I1493" s="3">
        <v>428</v>
      </c>
      <c r="J1493" s="4">
        <v>162.44</v>
      </c>
      <c r="K1493" s="3">
        <v>24589</v>
      </c>
      <c r="L1493" s="3">
        <v>12251</v>
      </c>
    </row>
    <row r="1494" spans="1:12" x14ac:dyDescent="0.25">
      <c r="A1494" t="s">
        <v>32</v>
      </c>
      <c r="B1494" t="s">
        <v>32</v>
      </c>
      <c r="C1494" t="s">
        <v>33</v>
      </c>
      <c r="D1494" t="s">
        <v>21</v>
      </c>
      <c r="E1494" s="2">
        <v>45413</v>
      </c>
      <c r="F1494" s="3">
        <v>34828</v>
      </c>
      <c r="G1494" s="3">
        <v>20130</v>
      </c>
      <c r="H1494" s="3">
        <v>14698</v>
      </c>
      <c r="I1494" s="3">
        <v>396</v>
      </c>
      <c r="J1494" s="4">
        <v>155.63999999999999</v>
      </c>
      <c r="K1494" s="3">
        <v>23284</v>
      </c>
      <c r="L1494" s="3">
        <v>11544</v>
      </c>
    </row>
    <row r="1495" spans="1:12" x14ac:dyDescent="0.25">
      <c r="A1495" t="s">
        <v>32</v>
      </c>
      <c r="B1495" t="s">
        <v>32</v>
      </c>
      <c r="C1495" t="s">
        <v>33</v>
      </c>
      <c r="D1495" t="s">
        <v>21</v>
      </c>
      <c r="E1495" s="2">
        <v>45444</v>
      </c>
      <c r="F1495" s="3">
        <v>35991</v>
      </c>
      <c r="G1495" s="3">
        <v>20436</v>
      </c>
      <c r="H1495" s="3">
        <v>15555</v>
      </c>
      <c r="I1495" s="3">
        <v>417</v>
      </c>
      <c r="J1495" s="4">
        <v>162.49</v>
      </c>
      <c r="K1495" s="3">
        <v>23431</v>
      </c>
      <c r="L1495" s="3">
        <v>12560</v>
      </c>
    </row>
    <row r="1496" spans="1:12" x14ac:dyDescent="0.25">
      <c r="A1496" t="s">
        <v>32</v>
      </c>
      <c r="B1496" t="s">
        <v>32</v>
      </c>
      <c r="C1496" t="s">
        <v>33</v>
      </c>
      <c r="D1496" t="s">
        <v>21</v>
      </c>
      <c r="E1496" s="2">
        <v>45474</v>
      </c>
      <c r="F1496" s="3">
        <v>39152</v>
      </c>
      <c r="G1496" s="3">
        <v>21953</v>
      </c>
      <c r="H1496" s="3">
        <v>17199</v>
      </c>
      <c r="I1496" s="3">
        <v>466</v>
      </c>
      <c r="J1496" s="4">
        <v>155.66</v>
      </c>
      <c r="K1496" s="3">
        <v>25966</v>
      </c>
      <c r="L1496" s="3">
        <v>13186</v>
      </c>
    </row>
    <row r="1497" spans="1:12" x14ac:dyDescent="0.25">
      <c r="A1497" t="s">
        <v>32</v>
      </c>
      <c r="B1497" t="s">
        <v>32</v>
      </c>
      <c r="C1497" t="s">
        <v>33</v>
      </c>
      <c r="D1497" t="s">
        <v>21</v>
      </c>
      <c r="E1497" s="2">
        <v>45505</v>
      </c>
      <c r="F1497" s="3">
        <v>44187</v>
      </c>
      <c r="G1497" s="3">
        <v>24998</v>
      </c>
      <c r="H1497" s="3">
        <v>19189</v>
      </c>
      <c r="I1497" s="3">
        <v>515</v>
      </c>
      <c r="J1497" s="4">
        <v>158.43</v>
      </c>
      <c r="K1497" s="3">
        <v>29590</v>
      </c>
      <c r="L1497" s="3">
        <v>14597</v>
      </c>
    </row>
    <row r="1498" spans="1:12" x14ac:dyDescent="0.25">
      <c r="A1498" t="s">
        <v>32</v>
      </c>
      <c r="B1498" t="s">
        <v>32</v>
      </c>
      <c r="C1498" t="s">
        <v>33</v>
      </c>
      <c r="D1498" t="s">
        <v>21</v>
      </c>
      <c r="E1498" s="2">
        <v>45536</v>
      </c>
      <c r="F1498" s="3">
        <v>46406</v>
      </c>
      <c r="G1498" s="3">
        <v>26203</v>
      </c>
      <c r="H1498" s="3">
        <v>20203</v>
      </c>
      <c r="I1498" s="3">
        <v>558</v>
      </c>
      <c r="J1498" s="4">
        <v>164.16</v>
      </c>
      <c r="K1498" s="3">
        <v>30283</v>
      </c>
      <c r="L1498" s="3">
        <v>16123</v>
      </c>
    </row>
    <row r="1499" spans="1:12" x14ac:dyDescent="0.25">
      <c r="A1499" t="s">
        <v>32</v>
      </c>
      <c r="B1499" t="s">
        <v>32</v>
      </c>
      <c r="C1499" t="s">
        <v>33</v>
      </c>
      <c r="D1499" t="s">
        <v>21</v>
      </c>
      <c r="E1499" s="2">
        <v>45566</v>
      </c>
      <c r="F1499" s="3">
        <v>46675</v>
      </c>
      <c r="G1499" s="3">
        <v>26598</v>
      </c>
      <c r="H1499" s="3">
        <v>20077</v>
      </c>
      <c r="I1499" s="3">
        <v>530</v>
      </c>
      <c r="J1499" s="4">
        <v>162.08000000000001</v>
      </c>
      <c r="K1499" s="3">
        <v>30736</v>
      </c>
      <c r="L1499" s="3">
        <v>15939</v>
      </c>
    </row>
    <row r="1500" spans="1:12" x14ac:dyDescent="0.25">
      <c r="A1500" t="s">
        <v>32</v>
      </c>
      <c r="B1500" t="s">
        <v>32</v>
      </c>
      <c r="C1500" t="s">
        <v>33</v>
      </c>
      <c r="D1500" t="s">
        <v>21</v>
      </c>
      <c r="E1500" s="2">
        <v>45597</v>
      </c>
      <c r="F1500" s="3">
        <v>43898</v>
      </c>
      <c r="G1500" s="3">
        <v>25327</v>
      </c>
      <c r="H1500" s="3">
        <v>18571</v>
      </c>
      <c r="I1500" s="3">
        <v>505</v>
      </c>
      <c r="J1500" s="4">
        <v>150.81</v>
      </c>
      <c r="K1500" s="3">
        <v>28936</v>
      </c>
      <c r="L1500" s="3">
        <v>14962</v>
      </c>
    </row>
    <row r="1501" spans="1:12" x14ac:dyDescent="0.25">
      <c r="A1501" t="s">
        <v>32</v>
      </c>
      <c r="B1501" t="s">
        <v>32</v>
      </c>
      <c r="C1501" t="s">
        <v>33</v>
      </c>
      <c r="D1501" t="s">
        <v>21</v>
      </c>
      <c r="E1501" s="2">
        <v>45627</v>
      </c>
      <c r="F1501" s="3">
        <v>42000</v>
      </c>
      <c r="G1501" s="3">
        <v>23991</v>
      </c>
      <c r="H1501" s="3">
        <v>18009</v>
      </c>
      <c r="I1501" s="3">
        <v>499</v>
      </c>
      <c r="J1501" s="4">
        <v>156.02000000000001</v>
      </c>
      <c r="K1501" s="3">
        <v>28055</v>
      </c>
      <c r="L1501" s="3">
        <v>13945</v>
      </c>
    </row>
    <row r="1502" spans="1:12" x14ac:dyDescent="0.25">
      <c r="A1502" t="s">
        <v>32</v>
      </c>
      <c r="B1502" t="s">
        <v>32</v>
      </c>
      <c r="C1502" t="s">
        <v>33</v>
      </c>
      <c r="D1502" t="s">
        <v>21</v>
      </c>
      <c r="E1502" s="2">
        <v>45658</v>
      </c>
      <c r="F1502" s="3">
        <v>40513</v>
      </c>
      <c r="G1502" s="3">
        <v>23312</v>
      </c>
      <c r="H1502" s="3">
        <v>17201</v>
      </c>
      <c r="I1502" s="3">
        <v>458</v>
      </c>
      <c r="J1502" s="4">
        <v>157.47999999999999</v>
      </c>
      <c r="K1502" s="3">
        <v>27192</v>
      </c>
      <c r="L1502" s="3">
        <v>13321</v>
      </c>
    </row>
    <row r="1503" spans="1:12" x14ac:dyDescent="0.25">
      <c r="A1503" t="s">
        <v>32</v>
      </c>
      <c r="B1503" t="s">
        <v>32</v>
      </c>
      <c r="C1503" t="s">
        <v>33</v>
      </c>
      <c r="D1503" t="s">
        <v>21</v>
      </c>
      <c r="E1503" s="2">
        <v>45689</v>
      </c>
      <c r="F1503" s="3">
        <v>38758</v>
      </c>
      <c r="G1503" s="3">
        <v>22438</v>
      </c>
      <c r="H1503" s="3">
        <v>16320</v>
      </c>
      <c r="I1503" s="3">
        <v>464</v>
      </c>
      <c r="J1503" s="4">
        <v>153.93</v>
      </c>
      <c r="K1503" s="3">
        <v>25818</v>
      </c>
      <c r="L1503" s="3">
        <v>12940</v>
      </c>
    </row>
    <row r="1504" spans="1:12" x14ac:dyDescent="0.25">
      <c r="A1504" t="s">
        <v>32</v>
      </c>
      <c r="B1504" t="s">
        <v>32</v>
      </c>
      <c r="C1504" t="s">
        <v>33</v>
      </c>
      <c r="D1504" t="s">
        <v>21</v>
      </c>
      <c r="E1504" s="2">
        <v>45717</v>
      </c>
      <c r="F1504" s="3">
        <v>38387</v>
      </c>
      <c r="G1504" s="3">
        <v>21856</v>
      </c>
      <c r="H1504" s="3">
        <v>16531</v>
      </c>
      <c r="I1504" s="3">
        <v>467</v>
      </c>
      <c r="J1504" s="4">
        <v>163.49</v>
      </c>
      <c r="K1504" s="3">
        <v>25564</v>
      </c>
      <c r="L1504" s="3">
        <v>12823</v>
      </c>
    </row>
    <row r="1505" spans="1:12" x14ac:dyDescent="0.25">
      <c r="A1505" t="s">
        <v>32</v>
      </c>
      <c r="B1505" t="s">
        <v>32</v>
      </c>
      <c r="C1505" t="s">
        <v>33</v>
      </c>
      <c r="D1505" t="s">
        <v>21</v>
      </c>
      <c r="E1505" s="2">
        <v>45748</v>
      </c>
      <c r="F1505" s="3">
        <v>42024</v>
      </c>
      <c r="G1505" s="3">
        <v>23839</v>
      </c>
      <c r="H1505" s="3">
        <v>18185</v>
      </c>
      <c r="I1505" s="3">
        <v>490</v>
      </c>
      <c r="J1505" s="4">
        <v>152.79</v>
      </c>
      <c r="K1505" s="3">
        <v>27687</v>
      </c>
      <c r="L1505" s="3">
        <v>14337</v>
      </c>
    </row>
    <row r="1506" spans="1:12" x14ac:dyDescent="0.25">
      <c r="A1506" t="s">
        <v>32</v>
      </c>
      <c r="B1506" t="s">
        <v>32</v>
      </c>
      <c r="C1506" t="s">
        <v>33</v>
      </c>
      <c r="D1506" t="s">
        <v>21</v>
      </c>
      <c r="E1506" s="2">
        <v>45778</v>
      </c>
      <c r="F1506" s="3">
        <v>39397</v>
      </c>
      <c r="G1506" s="3">
        <v>22806</v>
      </c>
      <c r="H1506" s="3">
        <v>16591</v>
      </c>
      <c r="I1506" s="3">
        <v>478</v>
      </c>
      <c r="J1506" s="4">
        <v>163.19</v>
      </c>
      <c r="K1506" s="3">
        <v>25956</v>
      </c>
      <c r="L1506" s="3">
        <v>13441</v>
      </c>
    </row>
    <row r="1507" spans="1:12" x14ac:dyDescent="0.25">
      <c r="A1507" t="s">
        <v>32</v>
      </c>
      <c r="B1507" t="s">
        <v>32</v>
      </c>
      <c r="C1507" t="s">
        <v>33</v>
      </c>
      <c r="D1507" t="s">
        <v>21</v>
      </c>
      <c r="E1507" s="2">
        <v>45809</v>
      </c>
      <c r="F1507" s="3">
        <v>43923</v>
      </c>
      <c r="G1507" s="3">
        <v>24864</v>
      </c>
      <c r="H1507" s="3">
        <v>19059</v>
      </c>
      <c r="I1507" s="3">
        <v>499</v>
      </c>
      <c r="J1507" s="4">
        <v>162.44</v>
      </c>
      <c r="K1507" s="3">
        <v>28953</v>
      </c>
      <c r="L1507" s="3">
        <v>14970</v>
      </c>
    </row>
    <row r="1508" spans="1:12" x14ac:dyDescent="0.25">
      <c r="A1508" t="s">
        <v>32</v>
      </c>
      <c r="B1508" t="s">
        <v>32</v>
      </c>
      <c r="C1508" t="s">
        <v>33</v>
      </c>
      <c r="D1508" t="s">
        <v>21</v>
      </c>
      <c r="E1508" s="2">
        <v>45839</v>
      </c>
      <c r="F1508" s="3">
        <v>44346</v>
      </c>
      <c r="G1508" s="3">
        <v>25889</v>
      </c>
      <c r="H1508" s="3">
        <v>18457</v>
      </c>
      <c r="I1508" s="3">
        <v>504</v>
      </c>
      <c r="J1508" s="4">
        <v>156.91999999999999</v>
      </c>
      <c r="K1508" s="3">
        <v>29500</v>
      </c>
      <c r="L1508" s="3">
        <v>14846</v>
      </c>
    </row>
    <row r="1509" spans="1:12" x14ac:dyDescent="0.25">
      <c r="A1509" t="s">
        <v>32</v>
      </c>
      <c r="B1509" t="s">
        <v>32</v>
      </c>
      <c r="C1509" t="s">
        <v>33</v>
      </c>
      <c r="D1509" t="s">
        <v>21</v>
      </c>
      <c r="E1509" s="2">
        <v>45870</v>
      </c>
      <c r="F1509" s="3">
        <v>46888</v>
      </c>
      <c r="G1509" s="3">
        <v>26269</v>
      </c>
      <c r="H1509" s="3">
        <v>20619</v>
      </c>
      <c r="I1509" s="3">
        <v>560</v>
      </c>
      <c r="J1509" s="4">
        <v>152.18</v>
      </c>
      <c r="K1509" s="3">
        <v>31318</v>
      </c>
      <c r="L1509" s="3">
        <v>15570</v>
      </c>
    </row>
    <row r="1510" spans="1:12" x14ac:dyDescent="0.25">
      <c r="A1510" t="s">
        <v>32</v>
      </c>
      <c r="B1510" t="s">
        <v>32</v>
      </c>
      <c r="C1510" t="s">
        <v>33</v>
      </c>
      <c r="D1510" t="s">
        <v>21</v>
      </c>
      <c r="E1510" s="2">
        <v>45901</v>
      </c>
      <c r="F1510" s="3">
        <v>51438</v>
      </c>
      <c r="G1510" s="3">
        <v>29546</v>
      </c>
      <c r="H1510" s="3">
        <v>21892</v>
      </c>
      <c r="I1510" s="3">
        <v>635</v>
      </c>
      <c r="J1510" s="4">
        <v>157.63999999999999</v>
      </c>
      <c r="K1510" s="3">
        <v>33573</v>
      </c>
      <c r="L1510" s="3">
        <v>17865</v>
      </c>
    </row>
    <row r="1511" spans="1:12" x14ac:dyDescent="0.25">
      <c r="A1511" t="s">
        <v>32</v>
      </c>
      <c r="B1511" t="s">
        <v>32</v>
      </c>
      <c r="C1511" t="s">
        <v>33</v>
      </c>
      <c r="D1511" t="s">
        <v>21</v>
      </c>
      <c r="E1511" s="2">
        <v>45931</v>
      </c>
      <c r="F1511" s="3">
        <v>52129</v>
      </c>
      <c r="G1511" s="3">
        <v>28995</v>
      </c>
      <c r="H1511" s="3">
        <v>23134</v>
      </c>
      <c r="I1511" s="3">
        <v>605</v>
      </c>
      <c r="J1511" s="4">
        <v>156.81</v>
      </c>
      <c r="K1511" s="3">
        <v>34054</v>
      </c>
      <c r="L1511" s="3">
        <v>18075</v>
      </c>
    </row>
    <row r="1512" spans="1:12" x14ac:dyDescent="0.25">
      <c r="A1512" t="s">
        <v>32</v>
      </c>
      <c r="B1512" t="s">
        <v>32</v>
      </c>
      <c r="C1512" t="s">
        <v>33</v>
      </c>
      <c r="D1512" t="s">
        <v>21</v>
      </c>
      <c r="E1512" s="2">
        <v>45962</v>
      </c>
      <c r="F1512" s="3">
        <v>49116</v>
      </c>
      <c r="G1512" s="3">
        <v>28333</v>
      </c>
      <c r="H1512" s="3">
        <v>20783</v>
      </c>
      <c r="I1512" s="3">
        <v>556</v>
      </c>
      <c r="J1512" s="4">
        <v>150.99</v>
      </c>
      <c r="K1512" s="3">
        <v>33183</v>
      </c>
      <c r="L1512" s="3">
        <v>15933</v>
      </c>
    </row>
    <row r="1513" spans="1:12" x14ac:dyDescent="0.25">
      <c r="A1513" t="s">
        <v>32</v>
      </c>
      <c r="B1513" t="s">
        <v>32</v>
      </c>
      <c r="C1513" t="s">
        <v>33</v>
      </c>
      <c r="D1513" t="s">
        <v>21</v>
      </c>
      <c r="E1513" s="2">
        <v>45992</v>
      </c>
      <c r="F1513" s="3">
        <v>50682</v>
      </c>
      <c r="G1513" s="3">
        <v>29151</v>
      </c>
      <c r="H1513" s="3">
        <v>21531</v>
      </c>
      <c r="I1513" s="3">
        <v>582</v>
      </c>
      <c r="J1513" s="4">
        <v>159.38</v>
      </c>
      <c r="K1513" s="3">
        <v>33895</v>
      </c>
      <c r="L1513" s="3">
        <v>16787</v>
      </c>
    </row>
    <row r="1514" spans="1:12" x14ac:dyDescent="0.25">
      <c r="A1514" t="s">
        <v>32</v>
      </c>
      <c r="B1514" t="s">
        <v>32</v>
      </c>
      <c r="C1514" t="s">
        <v>33</v>
      </c>
      <c r="D1514" t="s">
        <v>22</v>
      </c>
      <c r="E1514" s="2">
        <v>45292</v>
      </c>
      <c r="F1514" s="3">
        <v>39371</v>
      </c>
      <c r="G1514" s="3">
        <v>21309</v>
      </c>
      <c r="H1514" s="3">
        <v>18062</v>
      </c>
      <c r="I1514" s="3">
        <v>4203</v>
      </c>
      <c r="J1514" s="4">
        <v>73.63</v>
      </c>
      <c r="K1514" s="3">
        <v>26234</v>
      </c>
      <c r="L1514" s="3">
        <v>13137</v>
      </c>
    </row>
    <row r="1515" spans="1:12" x14ac:dyDescent="0.25">
      <c r="A1515" t="s">
        <v>32</v>
      </c>
      <c r="B1515" t="s">
        <v>32</v>
      </c>
      <c r="C1515" t="s">
        <v>33</v>
      </c>
      <c r="D1515" t="s">
        <v>22</v>
      </c>
      <c r="E1515" s="2">
        <v>45323</v>
      </c>
      <c r="F1515" s="3">
        <v>34882</v>
      </c>
      <c r="G1515" s="3">
        <v>18509</v>
      </c>
      <c r="H1515" s="3">
        <v>16373</v>
      </c>
      <c r="I1515" s="3">
        <v>3972</v>
      </c>
      <c r="J1515" s="4">
        <v>71.28</v>
      </c>
      <c r="K1515" s="3">
        <v>23454</v>
      </c>
      <c r="L1515" s="3">
        <v>11428</v>
      </c>
    </row>
    <row r="1516" spans="1:12" x14ac:dyDescent="0.25">
      <c r="A1516" t="s">
        <v>32</v>
      </c>
      <c r="B1516" t="s">
        <v>32</v>
      </c>
      <c r="C1516" t="s">
        <v>33</v>
      </c>
      <c r="D1516" t="s">
        <v>22</v>
      </c>
      <c r="E1516" s="2">
        <v>45352</v>
      </c>
      <c r="F1516" s="3">
        <v>33142</v>
      </c>
      <c r="G1516" s="3">
        <v>18000</v>
      </c>
      <c r="H1516" s="3">
        <v>15142</v>
      </c>
      <c r="I1516" s="3">
        <v>3793</v>
      </c>
      <c r="J1516" s="4">
        <v>70.95</v>
      </c>
      <c r="K1516" s="3">
        <v>21402</v>
      </c>
      <c r="L1516" s="3">
        <v>11740</v>
      </c>
    </row>
    <row r="1517" spans="1:12" x14ac:dyDescent="0.25">
      <c r="A1517" t="s">
        <v>32</v>
      </c>
      <c r="B1517" t="s">
        <v>32</v>
      </c>
      <c r="C1517" t="s">
        <v>33</v>
      </c>
      <c r="D1517" t="s">
        <v>22</v>
      </c>
      <c r="E1517" s="2">
        <v>45383</v>
      </c>
      <c r="F1517" s="3">
        <v>34410</v>
      </c>
      <c r="G1517" s="3">
        <v>18686</v>
      </c>
      <c r="H1517" s="3">
        <v>15724</v>
      </c>
      <c r="I1517" s="3">
        <v>3912</v>
      </c>
      <c r="J1517" s="4">
        <v>77.33</v>
      </c>
      <c r="K1517" s="3">
        <v>22634</v>
      </c>
      <c r="L1517" s="3">
        <v>11776</v>
      </c>
    </row>
    <row r="1518" spans="1:12" x14ac:dyDescent="0.25">
      <c r="A1518" t="s">
        <v>32</v>
      </c>
      <c r="B1518" t="s">
        <v>32</v>
      </c>
      <c r="C1518" t="s">
        <v>33</v>
      </c>
      <c r="D1518" t="s">
        <v>22</v>
      </c>
      <c r="E1518" s="2">
        <v>45413</v>
      </c>
      <c r="F1518" s="3">
        <v>35256</v>
      </c>
      <c r="G1518" s="3">
        <v>19538</v>
      </c>
      <c r="H1518" s="3">
        <v>15718</v>
      </c>
      <c r="I1518" s="3">
        <v>3992</v>
      </c>
      <c r="J1518" s="4">
        <v>71.72</v>
      </c>
      <c r="K1518" s="3">
        <v>23857</v>
      </c>
      <c r="L1518" s="3">
        <v>11399</v>
      </c>
    </row>
    <row r="1519" spans="1:12" x14ac:dyDescent="0.25">
      <c r="A1519" t="s">
        <v>32</v>
      </c>
      <c r="B1519" t="s">
        <v>32</v>
      </c>
      <c r="C1519" t="s">
        <v>33</v>
      </c>
      <c r="D1519" t="s">
        <v>22</v>
      </c>
      <c r="E1519" s="2">
        <v>45444</v>
      </c>
      <c r="F1519" s="3">
        <v>36833</v>
      </c>
      <c r="G1519" s="3">
        <v>20406</v>
      </c>
      <c r="H1519" s="3">
        <v>16427</v>
      </c>
      <c r="I1519" s="3">
        <v>4097</v>
      </c>
      <c r="J1519" s="4">
        <v>77.3</v>
      </c>
      <c r="K1519" s="3">
        <v>23786</v>
      </c>
      <c r="L1519" s="3">
        <v>13047</v>
      </c>
    </row>
    <row r="1520" spans="1:12" x14ac:dyDescent="0.25">
      <c r="A1520" t="s">
        <v>32</v>
      </c>
      <c r="B1520" t="s">
        <v>32</v>
      </c>
      <c r="C1520" t="s">
        <v>33</v>
      </c>
      <c r="D1520" t="s">
        <v>22</v>
      </c>
      <c r="E1520" s="2">
        <v>45474</v>
      </c>
      <c r="F1520" s="3">
        <v>40551</v>
      </c>
      <c r="G1520" s="3">
        <v>21422</v>
      </c>
      <c r="H1520" s="3">
        <v>19129</v>
      </c>
      <c r="I1520" s="3">
        <v>4671</v>
      </c>
      <c r="J1520" s="4">
        <v>76.599999999999994</v>
      </c>
      <c r="K1520" s="3">
        <v>26889</v>
      </c>
      <c r="L1520" s="3">
        <v>13662</v>
      </c>
    </row>
    <row r="1521" spans="1:12" x14ac:dyDescent="0.25">
      <c r="A1521" t="s">
        <v>32</v>
      </c>
      <c r="B1521" t="s">
        <v>32</v>
      </c>
      <c r="C1521" t="s">
        <v>33</v>
      </c>
      <c r="D1521" t="s">
        <v>22</v>
      </c>
      <c r="E1521" s="2">
        <v>45505</v>
      </c>
      <c r="F1521" s="3">
        <v>39572</v>
      </c>
      <c r="G1521" s="3">
        <v>21158</v>
      </c>
      <c r="H1521" s="3">
        <v>18414</v>
      </c>
      <c r="I1521" s="3">
        <v>4213</v>
      </c>
      <c r="J1521" s="4">
        <v>77.58</v>
      </c>
      <c r="K1521" s="3">
        <v>25824</v>
      </c>
      <c r="L1521" s="3">
        <v>13748</v>
      </c>
    </row>
    <row r="1522" spans="1:12" x14ac:dyDescent="0.25">
      <c r="A1522" t="s">
        <v>32</v>
      </c>
      <c r="B1522" t="s">
        <v>32</v>
      </c>
      <c r="C1522" t="s">
        <v>33</v>
      </c>
      <c r="D1522" t="s">
        <v>22</v>
      </c>
      <c r="E1522" s="2">
        <v>45536</v>
      </c>
      <c r="F1522" s="3">
        <v>40476</v>
      </c>
      <c r="G1522" s="3">
        <v>21763</v>
      </c>
      <c r="H1522" s="3">
        <v>18713</v>
      </c>
      <c r="I1522" s="3">
        <v>4301</v>
      </c>
      <c r="J1522" s="4">
        <v>73.61</v>
      </c>
      <c r="K1522" s="3">
        <v>27304</v>
      </c>
      <c r="L1522" s="3">
        <v>13172</v>
      </c>
    </row>
    <row r="1523" spans="1:12" x14ac:dyDescent="0.25">
      <c r="A1523" t="s">
        <v>32</v>
      </c>
      <c r="B1523" t="s">
        <v>32</v>
      </c>
      <c r="C1523" t="s">
        <v>33</v>
      </c>
      <c r="D1523" t="s">
        <v>22</v>
      </c>
      <c r="E1523" s="2">
        <v>45566</v>
      </c>
      <c r="F1523" s="3">
        <v>44744</v>
      </c>
      <c r="G1523" s="3">
        <v>24583</v>
      </c>
      <c r="H1523" s="3">
        <v>20161</v>
      </c>
      <c r="I1523" s="3">
        <v>4842</v>
      </c>
      <c r="J1523" s="4">
        <v>77.16</v>
      </c>
      <c r="K1523" s="3">
        <v>28874</v>
      </c>
      <c r="L1523" s="3">
        <v>15870</v>
      </c>
    </row>
    <row r="1524" spans="1:12" x14ac:dyDescent="0.25">
      <c r="A1524" t="s">
        <v>32</v>
      </c>
      <c r="B1524" t="s">
        <v>32</v>
      </c>
      <c r="C1524" t="s">
        <v>33</v>
      </c>
      <c r="D1524" t="s">
        <v>22</v>
      </c>
      <c r="E1524" s="2">
        <v>45597</v>
      </c>
      <c r="F1524" s="3">
        <v>41321</v>
      </c>
      <c r="G1524" s="3">
        <v>22627</v>
      </c>
      <c r="H1524" s="3">
        <v>18694</v>
      </c>
      <c r="I1524" s="3">
        <v>4614</v>
      </c>
      <c r="J1524" s="4">
        <v>72.98</v>
      </c>
      <c r="K1524" s="3">
        <v>27072</v>
      </c>
      <c r="L1524" s="3">
        <v>14249</v>
      </c>
    </row>
    <row r="1525" spans="1:12" x14ac:dyDescent="0.25">
      <c r="A1525" t="s">
        <v>32</v>
      </c>
      <c r="B1525" t="s">
        <v>32</v>
      </c>
      <c r="C1525" t="s">
        <v>33</v>
      </c>
      <c r="D1525" t="s">
        <v>22</v>
      </c>
      <c r="E1525" s="2">
        <v>45627</v>
      </c>
      <c r="F1525" s="3">
        <v>39567</v>
      </c>
      <c r="G1525" s="3">
        <v>21058</v>
      </c>
      <c r="H1525" s="3">
        <v>18509</v>
      </c>
      <c r="I1525" s="3">
        <v>4332</v>
      </c>
      <c r="J1525" s="4">
        <v>70.81</v>
      </c>
      <c r="K1525" s="3">
        <v>26526</v>
      </c>
      <c r="L1525" s="3">
        <v>13041</v>
      </c>
    </row>
    <row r="1526" spans="1:12" x14ac:dyDescent="0.25">
      <c r="A1526" t="s">
        <v>32</v>
      </c>
      <c r="B1526" t="s">
        <v>32</v>
      </c>
      <c r="C1526" t="s">
        <v>33</v>
      </c>
      <c r="D1526" t="s">
        <v>22</v>
      </c>
      <c r="E1526" s="2">
        <v>45658</v>
      </c>
      <c r="F1526" s="3">
        <v>38852</v>
      </c>
      <c r="G1526" s="3">
        <v>21598</v>
      </c>
      <c r="H1526" s="3">
        <v>17254</v>
      </c>
      <c r="I1526" s="3">
        <v>4330</v>
      </c>
      <c r="J1526" s="4">
        <v>71.33</v>
      </c>
      <c r="K1526" s="3">
        <v>25020</v>
      </c>
      <c r="L1526" s="3">
        <v>13832</v>
      </c>
    </row>
    <row r="1527" spans="1:12" x14ac:dyDescent="0.25">
      <c r="A1527" t="s">
        <v>32</v>
      </c>
      <c r="B1527" t="s">
        <v>32</v>
      </c>
      <c r="C1527" t="s">
        <v>33</v>
      </c>
      <c r="D1527" t="s">
        <v>22</v>
      </c>
      <c r="E1527" s="2">
        <v>45689</v>
      </c>
      <c r="F1527" s="3">
        <v>37539</v>
      </c>
      <c r="G1527" s="3">
        <v>20229</v>
      </c>
      <c r="H1527" s="3">
        <v>17310</v>
      </c>
      <c r="I1527" s="3">
        <v>4014</v>
      </c>
      <c r="J1527" s="4">
        <v>70.86</v>
      </c>
      <c r="K1527" s="3">
        <v>24187</v>
      </c>
      <c r="L1527" s="3">
        <v>13352</v>
      </c>
    </row>
    <row r="1528" spans="1:12" x14ac:dyDescent="0.25">
      <c r="A1528" t="s">
        <v>32</v>
      </c>
      <c r="B1528" t="s">
        <v>32</v>
      </c>
      <c r="C1528" t="s">
        <v>33</v>
      </c>
      <c r="D1528" t="s">
        <v>22</v>
      </c>
      <c r="E1528" s="2">
        <v>45717</v>
      </c>
      <c r="F1528" s="3">
        <v>37873</v>
      </c>
      <c r="G1528" s="3">
        <v>20234</v>
      </c>
      <c r="H1528" s="3">
        <v>17639</v>
      </c>
      <c r="I1528" s="3">
        <v>4424</v>
      </c>
      <c r="J1528" s="4">
        <v>76.25</v>
      </c>
      <c r="K1528" s="3">
        <v>24503</v>
      </c>
      <c r="L1528" s="3">
        <v>13370</v>
      </c>
    </row>
    <row r="1529" spans="1:12" x14ac:dyDescent="0.25">
      <c r="A1529" t="s">
        <v>32</v>
      </c>
      <c r="B1529" t="s">
        <v>32</v>
      </c>
      <c r="C1529" t="s">
        <v>33</v>
      </c>
      <c r="D1529" t="s">
        <v>22</v>
      </c>
      <c r="E1529" s="2">
        <v>45748</v>
      </c>
      <c r="F1529" s="3">
        <v>37990</v>
      </c>
      <c r="G1529" s="3">
        <v>20294</v>
      </c>
      <c r="H1529" s="3">
        <v>17696</v>
      </c>
      <c r="I1529" s="3">
        <v>4401</v>
      </c>
      <c r="J1529" s="4">
        <v>73.31</v>
      </c>
      <c r="K1529" s="3">
        <v>24983</v>
      </c>
      <c r="L1529" s="3">
        <v>13007</v>
      </c>
    </row>
    <row r="1530" spans="1:12" x14ac:dyDescent="0.25">
      <c r="A1530" t="s">
        <v>32</v>
      </c>
      <c r="B1530" t="s">
        <v>32</v>
      </c>
      <c r="C1530" t="s">
        <v>33</v>
      </c>
      <c r="D1530" t="s">
        <v>22</v>
      </c>
      <c r="E1530" s="2">
        <v>45778</v>
      </c>
      <c r="F1530" s="3">
        <v>36740</v>
      </c>
      <c r="G1530" s="3">
        <v>19875</v>
      </c>
      <c r="H1530" s="3">
        <v>16865</v>
      </c>
      <c r="I1530" s="3">
        <v>4266</v>
      </c>
      <c r="J1530" s="4">
        <v>71.599999999999994</v>
      </c>
      <c r="K1530" s="3">
        <v>24169</v>
      </c>
      <c r="L1530" s="3">
        <v>12571</v>
      </c>
    </row>
    <row r="1531" spans="1:12" x14ac:dyDescent="0.25">
      <c r="A1531" t="s">
        <v>32</v>
      </c>
      <c r="B1531" t="s">
        <v>32</v>
      </c>
      <c r="C1531" t="s">
        <v>33</v>
      </c>
      <c r="D1531" t="s">
        <v>22</v>
      </c>
      <c r="E1531" s="2">
        <v>45809</v>
      </c>
      <c r="F1531" s="3">
        <v>39282</v>
      </c>
      <c r="G1531" s="3">
        <v>20993</v>
      </c>
      <c r="H1531" s="3">
        <v>18289</v>
      </c>
      <c r="I1531" s="3">
        <v>4213</v>
      </c>
      <c r="J1531" s="4">
        <v>71.33</v>
      </c>
      <c r="K1531" s="3">
        <v>25989</v>
      </c>
      <c r="L1531" s="3">
        <v>13293</v>
      </c>
    </row>
    <row r="1532" spans="1:12" x14ac:dyDescent="0.25">
      <c r="A1532" t="s">
        <v>32</v>
      </c>
      <c r="B1532" t="s">
        <v>32</v>
      </c>
      <c r="C1532" t="s">
        <v>33</v>
      </c>
      <c r="D1532" t="s">
        <v>22</v>
      </c>
      <c r="E1532" s="2">
        <v>45839</v>
      </c>
      <c r="F1532" s="3">
        <v>39595</v>
      </c>
      <c r="G1532" s="3">
        <v>21689</v>
      </c>
      <c r="H1532" s="3">
        <v>17906</v>
      </c>
      <c r="I1532" s="3">
        <v>4402</v>
      </c>
      <c r="J1532" s="4">
        <v>72.12</v>
      </c>
      <c r="K1532" s="3">
        <v>25692</v>
      </c>
      <c r="L1532" s="3">
        <v>13903</v>
      </c>
    </row>
    <row r="1533" spans="1:12" x14ac:dyDescent="0.25">
      <c r="A1533" t="s">
        <v>32</v>
      </c>
      <c r="B1533" t="s">
        <v>32</v>
      </c>
      <c r="C1533" t="s">
        <v>33</v>
      </c>
      <c r="D1533" t="s">
        <v>22</v>
      </c>
      <c r="E1533" s="2">
        <v>45870</v>
      </c>
      <c r="F1533" s="3">
        <v>44982</v>
      </c>
      <c r="G1533" s="3">
        <v>24524</v>
      </c>
      <c r="H1533" s="3">
        <v>20458</v>
      </c>
      <c r="I1533" s="3">
        <v>4857</v>
      </c>
      <c r="J1533" s="4">
        <v>76.58</v>
      </c>
      <c r="K1533" s="3">
        <v>29902</v>
      </c>
      <c r="L1533" s="3">
        <v>15080</v>
      </c>
    </row>
    <row r="1534" spans="1:12" x14ac:dyDescent="0.25">
      <c r="A1534" t="s">
        <v>32</v>
      </c>
      <c r="B1534" t="s">
        <v>32</v>
      </c>
      <c r="C1534" t="s">
        <v>33</v>
      </c>
      <c r="D1534" t="s">
        <v>22</v>
      </c>
      <c r="E1534" s="2">
        <v>45901</v>
      </c>
      <c r="F1534" s="3">
        <v>45303</v>
      </c>
      <c r="G1534" s="3">
        <v>24282</v>
      </c>
      <c r="H1534" s="3">
        <v>21021</v>
      </c>
      <c r="I1534" s="3">
        <v>4824</v>
      </c>
      <c r="J1534" s="4">
        <v>72.180000000000007</v>
      </c>
      <c r="K1534" s="3">
        <v>29431</v>
      </c>
      <c r="L1534" s="3">
        <v>15872</v>
      </c>
    </row>
    <row r="1535" spans="1:12" x14ac:dyDescent="0.25">
      <c r="A1535" t="s">
        <v>32</v>
      </c>
      <c r="B1535" t="s">
        <v>32</v>
      </c>
      <c r="C1535" t="s">
        <v>33</v>
      </c>
      <c r="D1535" t="s">
        <v>22</v>
      </c>
      <c r="E1535" s="2">
        <v>45931</v>
      </c>
      <c r="F1535" s="3">
        <v>47737</v>
      </c>
      <c r="G1535" s="3">
        <v>25619</v>
      </c>
      <c r="H1535" s="3">
        <v>22118</v>
      </c>
      <c r="I1535" s="3">
        <v>5373</v>
      </c>
      <c r="J1535" s="4">
        <v>74.83</v>
      </c>
      <c r="K1535" s="3">
        <v>32256</v>
      </c>
      <c r="L1535" s="3">
        <v>15481</v>
      </c>
    </row>
    <row r="1536" spans="1:12" x14ac:dyDescent="0.25">
      <c r="A1536" t="s">
        <v>32</v>
      </c>
      <c r="B1536" t="s">
        <v>32</v>
      </c>
      <c r="C1536" t="s">
        <v>33</v>
      </c>
      <c r="D1536" t="s">
        <v>22</v>
      </c>
      <c r="E1536" s="2">
        <v>45962</v>
      </c>
      <c r="F1536" s="3">
        <v>45072</v>
      </c>
      <c r="G1536" s="3">
        <v>23730</v>
      </c>
      <c r="H1536" s="3">
        <v>21342</v>
      </c>
      <c r="I1536" s="3">
        <v>5040</v>
      </c>
      <c r="J1536" s="4">
        <v>74.97</v>
      </c>
      <c r="K1536" s="3">
        <v>29778</v>
      </c>
      <c r="L1536" s="3">
        <v>15294</v>
      </c>
    </row>
    <row r="1537" spans="1:12" x14ac:dyDescent="0.25">
      <c r="A1537" t="s">
        <v>32</v>
      </c>
      <c r="B1537" t="s">
        <v>32</v>
      </c>
      <c r="C1537" t="s">
        <v>33</v>
      </c>
      <c r="D1537" t="s">
        <v>22</v>
      </c>
      <c r="E1537" s="2">
        <v>45992</v>
      </c>
      <c r="F1537" s="3">
        <v>42746</v>
      </c>
      <c r="G1537" s="3">
        <v>23764</v>
      </c>
      <c r="H1537" s="3">
        <v>18982</v>
      </c>
      <c r="I1537" s="3">
        <v>4694</v>
      </c>
      <c r="J1537" s="4">
        <v>73.56</v>
      </c>
      <c r="K1537" s="3">
        <v>28228</v>
      </c>
      <c r="L1537" s="3">
        <v>14518</v>
      </c>
    </row>
  </sheetData>
  <autoFilter ref="A1:L1" xr:uid="{329816EA-E4FB-4A3D-91E6-84439906343A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798F-9B5B-4F99-8B68-D26A9F3F32E0}">
  <sheetPr>
    <tabColor rgb="FF808080"/>
  </sheetPr>
  <dimension ref="A1:F9"/>
  <sheetViews>
    <sheetView workbookViewId="0"/>
  </sheetViews>
  <sheetFormatPr defaultRowHeight="15" x14ac:dyDescent="0.25"/>
  <cols>
    <col min="1" max="2" width="15.28515625" bestFit="1" customWidth="1"/>
    <col min="3" max="3" width="13.140625" bestFit="1" customWidth="1"/>
    <col min="4" max="4" width="19.5703125" bestFit="1" customWidth="1"/>
    <col min="5" max="5" width="17.7109375" bestFit="1" customWidth="1"/>
    <col min="6" max="6" width="11.7109375" bestFit="1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34</v>
      </c>
      <c r="E1" s="5" t="s">
        <v>35</v>
      </c>
      <c r="F1" s="5" t="s">
        <v>36</v>
      </c>
    </row>
    <row r="2" spans="1:6" x14ac:dyDescent="0.25">
      <c r="A2" t="s">
        <v>12</v>
      </c>
      <c r="B2" t="s">
        <v>13</v>
      </c>
      <c r="C2" t="s">
        <v>14</v>
      </c>
      <c r="D2" s="3">
        <v>26200</v>
      </c>
      <c r="E2" s="3">
        <v>28296</v>
      </c>
      <c r="F2" s="1">
        <v>39886</v>
      </c>
    </row>
    <row r="3" spans="1:6" x14ac:dyDescent="0.25">
      <c r="A3" t="s">
        <v>23</v>
      </c>
      <c r="B3" t="s">
        <v>13</v>
      </c>
      <c r="C3" t="s">
        <v>14</v>
      </c>
      <c r="D3" s="3">
        <v>16064</v>
      </c>
      <c r="E3" s="3">
        <v>17349</v>
      </c>
      <c r="F3" s="1">
        <v>42588</v>
      </c>
    </row>
    <row r="4" spans="1:6" x14ac:dyDescent="0.25">
      <c r="A4" t="s">
        <v>24</v>
      </c>
      <c r="B4" t="s">
        <v>24</v>
      </c>
      <c r="C4" t="s">
        <v>25</v>
      </c>
      <c r="D4" s="3">
        <v>21085</v>
      </c>
      <c r="E4" s="3">
        <v>22772</v>
      </c>
      <c r="F4" s="1">
        <v>40684</v>
      </c>
    </row>
    <row r="5" spans="1:6" x14ac:dyDescent="0.25">
      <c r="A5" t="s">
        <v>26</v>
      </c>
      <c r="B5" t="s">
        <v>26</v>
      </c>
      <c r="C5" t="s">
        <v>25</v>
      </c>
      <c r="D5" s="3">
        <v>13820</v>
      </c>
      <c r="E5" s="3">
        <v>14926</v>
      </c>
      <c r="F5" s="1">
        <v>43376</v>
      </c>
    </row>
    <row r="6" spans="1:6" x14ac:dyDescent="0.25">
      <c r="A6" t="s">
        <v>27</v>
      </c>
      <c r="B6" t="s">
        <v>27</v>
      </c>
      <c r="C6" t="s">
        <v>28</v>
      </c>
      <c r="D6" s="3">
        <v>14532</v>
      </c>
      <c r="E6" s="3">
        <v>15695</v>
      </c>
      <c r="F6" s="1">
        <v>41678</v>
      </c>
    </row>
    <row r="7" spans="1:6" x14ac:dyDescent="0.25">
      <c r="A7" t="s">
        <v>29</v>
      </c>
      <c r="B7" t="s">
        <v>29</v>
      </c>
      <c r="C7" t="s">
        <v>28</v>
      </c>
      <c r="D7" s="3">
        <v>10918</v>
      </c>
      <c r="E7" s="3">
        <v>11791</v>
      </c>
      <c r="F7" s="1">
        <v>44149</v>
      </c>
    </row>
    <row r="8" spans="1:6" x14ac:dyDescent="0.25">
      <c r="A8" t="s">
        <v>30</v>
      </c>
      <c r="B8" t="s">
        <v>30</v>
      </c>
      <c r="C8" t="s">
        <v>31</v>
      </c>
      <c r="D8" s="3">
        <v>17656</v>
      </c>
      <c r="E8" s="3">
        <v>19068</v>
      </c>
      <c r="F8" s="1">
        <v>41482</v>
      </c>
    </row>
    <row r="9" spans="1:6" x14ac:dyDescent="0.25">
      <c r="A9" t="s">
        <v>32</v>
      </c>
      <c r="B9" t="s">
        <v>32</v>
      </c>
      <c r="C9" t="s">
        <v>33</v>
      </c>
      <c r="D9" s="3">
        <v>9435</v>
      </c>
      <c r="E9" s="3">
        <v>10190</v>
      </c>
      <c r="F9" s="1">
        <v>44660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496A-165C-49F9-B96E-F2B453134234}">
  <sheetPr>
    <tabColor rgb="FF808080"/>
  </sheetPr>
  <dimension ref="A1:D10"/>
  <sheetViews>
    <sheetView workbookViewId="0"/>
  </sheetViews>
  <sheetFormatPr defaultRowHeight="15" x14ac:dyDescent="0.25"/>
  <cols>
    <col min="1" max="1" width="33.42578125" bestFit="1" customWidth="1"/>
    <col min="2" max="3" width="10.7109375" bestFit="1" customWidth="1"/>
    <col min="4" max="4" width="20" bestFit="1" customWidth="1"/>
  </cols>
  <sheetData>
    <row r="1" spans="1:4" x14ac:dyDescent="0.25">
      <c r="A1" s="5" t="s">
        <v>37</v>
      </c>
      <c r="B1" s="5" t="s">
        <v>38</v>
      </c>
      <c r="C1" s="5" t="s">
        <v>39</v>
      </c>
      <c r="D1" s="5" t="s">
        <v>40</v>
      </c>
    </row>
    <row r="2" spans="1:4" x14ac:dyDescent="0.25">
      <c r="A2" t="s">
        <v>41</v>
      </c>
      <c r="B2" s="1">
        <v>46083</v>
      </c>
      <c r="C2" s="1">
        <v>46108</v>
      </c>
      <c r="D2" t="s">
        <v>42</v>
      </c>
    </row>
    <row r="3" spans="1:4" x14ac:dyDescent="0.25">
      <c r="A3" t="s">
        <v>43</v>
      </c>
      <c r="B3" s="1">
        <v>46097</v>
      </c>
      <c r="C3" s="1">
        <v>46136</v>
      </c>
      <c r="D3" t="s">
        <v>42</v>
      </c>
    </row>
    <row r="4" spans="1:4" x14ac:dyDescent="0.25">
      <c r="A4" t="s">
        <v>44</v>
      </c>
      <c r="B4" s="1">
        <v>46118</v>
      </c>
      <c r="C4" s="1">
        <v>46157</v>
      </c>
      <c r="D4" t="s">
        <v>42</v>
      </c>
    </row>
    <row r="5" spans="1:4" x14ac:dyDescent="0.25">
      <c r="A5" t="s">
        <v>45</v>
      </c>
      <c r="B5" s="1">
        <v>46160</v>
      </c>
      <c r="C5" s="1"/>
      <c r="D5" t="s">
        <v>42</v>
      </c>
    </row>
    <row r="6" spans="1:4" x14ac:dyDescent="0.25">
      <c r="A6" t="s">
        <v>46</v>
      </c>
      <c r="B6" s="1">
        <v>46027</v>
      </c>
      <c r="C6" s="1">
        <v>46108</v>
      </c>
      <c r="D6" t="s">
        <v>47</v>
      </c>
    </row>
    <row r="7" spans="1:4" x14ac:dyDescent="0.25">
      <c r="A7" t="s">
        <v>48</v>
      </c>
      <c r="B7" s="1">
        <v>46118</v>
      </c>
      <c r="C7" s="1">
        <v>46374</v>
      </c>
      <c r="D7" t="s">
        <v>47</v>
      </c>
    </row>
    <row r="8" spans="1:4" x14ac:dyDescent="0.25">
      <c r="A8" t="s">
        <v>49</v>
      </c>
      <c r="B8" s="1">
        <v>46391</v>
      </c>
      <c r="C8" s="1">
        <v>46507</v>
      </c>
      <c r="D8" t="s">
        <v>47</v>
      </c>
    </row>
    <row r="9" spans="1:4" x14ac:dyDescent="0.25">
      <c r="A9" t="s">
        <v>50</v>
      </c>
      <c r="B9" s="1">
        <v>46510</v>
      </c>
      <c r="C9" s="1">
        <v>46549</v>
      </c>
      <c r="D9" t="s">
        <v>47</v>
      </c>
    </row>
    <row r="10" spans="1:4" x14ac:dyDescent="0.25">
      <c r="A10" t="s">
        <v>36</v>
      </c>
      <c r="B10" s="1">
        <v>46553</v>
      </c>
      <c r="C10" s="1"/>
      <c r="D10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6F05-7588-4568-BB1F-11416B706A4B}">
  <sheetPr>
    <tabColor rgb="FF1F6B9F"/>
  </sheetPr>
  <dimension ref="A1:C14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3" x14ac:dyDescent="0.25">
      <c r="A1" s="6" t="s">
        <v>51</v>
      </c>
    </row>
    <row r="2" spans="1:3" ht="17.25" x14ac:dyDescent="0.3">
      <c r="A2" s="7" t="s">
        <v>52</v>
      </c>
    </row>
    <row r="3" spans="1:3" x14ac:dyDescent="0.25">
      <c r="A3" s="8" t="s">
        <v>53</v>
      </c>
    </row>
    <row r="4" spans="1:3" x14ac:dyDescent="0.25">
      <c r="A4" s="9" t="s">
        <v>54</v>
      </c>
    </row>
    <row r="6" spans="1:3" x14ac:dyDescent="0.25">
      <c r="A6" s="5" t="s">
        <v>3</v>
      </c>
      <c r="B6" s="10" t="s">
        <v>55</v>
      </c>
      <c r="C6" s="10" t="s">
        <v>56</v>
      </c>
    </row>
    <row r="7" spans="1:3" x14ac:dyDescent="0.25">
      <c r="A7" t="s">
        <v>15</v>
      </c>
      <c r="B7" s="3">
        <f>ROUND(SUMIFS(Dados!$K:$K,Dados!$D:$D,$A7,Dados!$E:$E,"&gt;="&amp;DATE(2025,1,1),Dados!$E:$E,"&lt;"&amp;DATE(2026,1,1))/1000,0)</f>
        <v>29255</v>
      </c>
      <c r="C7" s="3">
        <f>ROUND(SUMIFS(Dados!$F:$F,Dados!$D:$D,$A7,Dados!$E:$E,"&gt;="&amp;DATE(2025,1,1),Dados!$E:$E,"&lt;"&amp;DATE(2026,1,1))/1000,0)-$B7</f>
        <v>14069</v>
      </c>
    </row>
    <row r="8" spans="1:3" x14ac:dyDescent="0.25">
      <c r="A8" t="s">
        <v>16</v>
      </c>
      <c r="B8" s="3">
        <f>ROUND(SUMIFS(Dados!$K:$K,Dados!$D:$D,$A8,Dados!$E:$E,"&gt;="&amp;DATE(2025,1,1),Dados!$E:$E,"&lt;"&amp;DATE(2026,1,1))/1000,0)</f>
        <v>15725</v>
      </c>
      <c r="C8" s="3">
        <f>ROUND(SUMIFS(Dados!$F:$F,Dados!$D:$D,$A8,Dados!$E:$E,"&gt;="&amp;DATE(2025,1,1),Dados!$E:$E,"&lt;"&amp;DATE(2026,1,1))/1000,0)-$B8</f>
        <v>8045</v>
      </c>
    </row>
    <row r="9" spans="1:3" x14ac:dyDescent="0.25">
      <c r="A9" t="s">
        <v>17</v>
      </c>
      <c r="B9" s="3">
        <f>ROUND(SUMIFS(Dados!$K:$K,Dados!$D:$D,$A9,Dados!$E:$E,"&gt;="&amp;DATE(2025,1,1),Dados!$E:$E,"&lt;"&amp;DATE(2026,1,1))/1000,0)</f>
        <v>10401</v>
      </c>
      <c r="C9" s="3">
        <f>ROUND(SUMIFS(Dados!$F:$F,Dados!$D:$D,$A9,Dados!$E:$E,"&gt;="&amp;DATE(2025,1,1),Dados!$E:$E,"&lt;"&amp;DATE(2026,1,1))/1000,0)-$B9</f>
        <v>5301</v>
      </c>
    </row>
    <row r="10" spans="1:3" x14ac:dyDescent="0.25">
      <c r="A10" t="s">
        <v>18</v>
      </c>
      <c r="B10" s="3">
        <f>ROUND(SUMIFS(Dados!$K:$K,Dados!$D:$D,$A10,Dados!$E:$E,"&gt;="&amp;DATE(2025,1,1),Dados!$E:$E,"&lt;"&amp;DATE(2026,1,1))/1000,0)</f>
        <v>8241</v>
      </c>
      <c r="C10" s="3">
        <f>ROUND(SUMIFS(Dados!$F:$F,Dados!$D:$D,$A10,Dados!$E:$E,"&gt;="&amp;DATE(2025,1,1),Dados!$E:$E,"&lt;"&amp;DATE(2026,1,1))/1000,0)-$B10</f>
        <v>4076</v>
      </c>
    </row>
    <row r="11" spans="1:3" x14ac:dyDescent="0.25">
      <c r="A11" t="s">
        <v>19</v>
      </c>
      <c r="B11" s="3">
        <f>ROUND(SUMIFS(Dados!$K:$K,Dados!$D:$D,$A11,Dados!$E:$E,"&gt;="&amp;DATE(2025,1,1),Dados!$E:$E,"&lt;"&amp;DATE(2026,1,1))/1000,0)</f>
        <v>7705</v>
      </c>
      <c r="C11" s="3">
        <f>ROUND(SUMIFS(Dados!$F:$F,Dados!$D:$D,$A11,Dados!$E:$E,"&gt;="&amp;DATE(2025,1,1),Dados!$E:$E,"&lt;"&amp;DATE(2026,1,1))/1000,0)-$B11</f>
        <v>3844</v>
      </c>
    </row>
    <row r="12" spans="1:3" x14ac:dyDescent="0.25">
      <c r="A12" t="s">
        <v>20</v>
      </c>
      <c r="B12" s="3">
        <f>ROUND(SUMIFS(Dados!$K:$K,Dados!$D:$D,$A12,Dados!$E:$E,"&gt;="&amp;DATE(2025,1,1),Dados!$E:$E,"&lt;"&amp;DATE(2026,1,1))/1000,0)</f>
        <v>6234</v>
      </c>
      <c r="C12" s="3">
        <f>ROUND(SUMIFS(Dados!$F:$F,Dados!$D:$D,$A12,Dados!$E:$E,"&gt;="&amp;DATE(2025,1,1),Dados!$E:$E,"&lt;"&amp;DATE(2026,1,1))/1000,0)-$B12</f>
        <v>3016</v>
      </c>
    </row>
    <row r="13" spans="1:3" x14ac:dyDescent="0.25">
      <c r="A13" t="s">
        <v>21</v>
      </c>
      <c r="B13" s="3">
        <f>ROUND(SUMIFS(Dados!$K:$K,Dados!$D:$D,$A13,Dados!$E:$E,"&gt;="&amp;DATE(2025,1,1),Dados!$E:$E,"&lt;"&amp;DATE(2026,1,1))/1000,0)</f>
        <v>5530</v>
      </c>
      <c r="C13" s="3">
        <f>ROUND(SUMIFS(Dados!$F:$F,Dados!$D:$D,$A13,Dados!$E:$E,"&gt;="&amp;DATE(2025,1,1),Dados!$E:$E,"&lt;"&amp;DATE(2026,1,1))/1000,0)-$B13</f>
        <v>2780</v>
      </c>
    </row>
    <row r="14" spans="1:3" x14ac:dyDescent="0.25">
      <c r="A14" t="s">
        <v>22</v>
      </c>
      <c r="B14" s="3">
        <f>ROUND(SUMIFS(Dados!$K:$K,Dados!$D:$D,$A14,Dados!$E:$E,"&gt;="&amp;DATE(2025,1,1),Dados!$E:$E,"&lt;"&amp;DATE(2026,1,1))/1000,0)</f>
        <v>3696</v>
      </c>
      <c r="C14" s="3">
        <f>ROUND(SUMIFS(Dados!$F:$F,Dados!$D:$D,$A14,Dados!$E:$E,"&gt;="&amp;DATE(2025,1,1),Dados!$E:$E,"&lt;"&amp;DATE(2026,1,1))/1000,0)-$B14</f>
        <v>1792</v>
      </c>
    </row>
  </sheetData>
  <hyperlinks>
    <hyperlink ref="A1" location="'Indice'!A1" tooltip="Voltar ao índice" display="« Voltar ao índice" xr:uid="{77636F24-EC69-497B-8C5D-525A730FA6A7}"/>
  </hyperlink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94DC-216A-4B10-96D2-6C473A119EEE}">
  <sheetPr>
    <tabColor rgb="FF1F6B9F"/>
  </sheetPr>
  <dimension ref="A1:C14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3" x14ac:dyDescent="0.25">
      <c r="A1" s="6" t="s">
        <v>51</v>
      </c>
    </row>
    <row r="2" spans="1:3" ht="17.25" x14ac:dyDescent="0.3">
      <c r="A2" s="7" t="s">
        <v>66</v>
      </c>
    </row>
    <row r="3" spans="1:3" x14ac:dyDescent="0.25">
      <c r="A3" s="8" t="s">
        <v>67</v>
      </c>
    </row>
    <row r="4" spans="1:3" x14ac:dyDescent="0.25">
      <c r="A4" s="9" t="s">
        <v>68</v>
      </c>
    </row>
    <row r="6" spans="1:3" x14ac:dyDescent="0.25">
      <c r="A6" s="5" t="s">
        <v>0</v>
      </c>
      <c r="B6" s="10">
        <v>2024</v>
      </c>
      <c r="C6" s="10">
        <v>2025</v>
      </c>
    </row>
    <row r="7" spans="1:3" x14ac:dyDescent="0.25">
      <c r="A7" t="s">
        <v>12</v>
      </c>
      <c r="B7" s="13">
        <v>23.3</v>
      </c>
      <c r="C7" s="13">
        <v>26.2</v>
      </c>
    </row>
    <row r="8" spans="1:3" x14ac:dyDescent="0.25">
      <c r="A8" t="s">
        <v>24</v>
      </c>
      <c r="B8" s="13">
        <v>18.5</v>
      </c>
      <c r="C8" s="13">
        <v>21.1</v>
      </c>
    </row>
    <row r="9" spans="1:3" x14ac:dyDescent="0.25">
      <c r="A9" t="s">
        <v>30</v>
      </c>
      <c r="B9" s="13">
        <v>16.2</v>
      </c>
      <c r="C9" s="13">
        <v>17.7</v>
      </c>
    </row>
    <row r="10" spans="1:3" x14ac:dyDescent="0.25">
      <c r="A10" t="s">
        <v>23</v>
      </c>
      <c r="B10" s="13">
        <v>14.8</v>
      </c>
      <c r="C10" s="13">
        <v>16.100000000000001</v>
      </c>
    </row>
    <row r="11" spans="1:3" x14ac:dyDescent="0.25">
      <c r="A11" t="s">
        <v>27</v>
      </c>
      <c r="B11" s="13">
        <v>13.4</v>
      </c>
      <c r="C11" s="13">
        <v>14.5</v>
      </c>
    </row>
    <row r="12" spans="1:3" x14ac:dyDescent="0.25">
      <c r="A12" t="s">
        <v>26</v>
      </c>
      <c r="B12" s="13">
        <v>12.1</v>
      </c>
      <c r="C12" s="13">
        <v>13.8</v>
      </c>
    </row>
    <row r="13" spans="1:3" x14ac:dyDescent="0.25">
      <c r="A13" t="s">
        <v>29</v>
      </c>
      <c r="B13" s="13">
        <v>10.199999999999999</v>
      </c>
      <c r="C13" s="13">
        <v>10.9</v>
      </c>
    </row>
    <row r="14" spans="1:3" x14ac:dyDescent="0.25">
      <c r="A14" t="s">
        <v>32</v>
      </c>
      <c r="B14" s="13">
        <v>8.6999999999999993</v>
      </c>
      <c r="C14" s="13">
        <v>9.4</v>
      </c>
    </row>
  </sheetData>
  <hyperlinks>
    <hyperlink ref="A1" location="'Indice'!A1" tooltip="Voltar ao índice" display="« Voltar ao índice" xr:uid="{9BE7DAB0-BA2D-4964-ADD1-100357770642}"/>
  </hyperlink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D598-4D6E-43B4-B3DE-D24701D50C04}">
  <sheetPr>
    <tabColor rgb="FF1F6B9F"/>
  </sheetPr>
  <dimension ref="A1:C11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3" x14ac:dyDescent="0.25">
      <c r="A1" s="6" t="s">
        <v>51</v>
      </c>
    </row>
    <row r="2" spans="1:3" ht="17.25" x14ac:dyDescent="0.3">
      <c r="A2" s="7" t="s">
        <v>72</v>
      </c>
    </row>
    <row r="3" spans="1:3" x14ac:dyDescent="0.25">
      <c r="A3" s="8" t="s">
        <v>73</v>
      </c>
    </row>
    <row r="4" spans="1:3" x14ac:dyDescent="0.25">
      <c r="A4" s="9" t="s">
        <v>74</v>
      </c>
    </row>
    <row r="6" spans="1:3" x14ac:dyDescent="0.25">
      <c r="A6" s="5" t="s">
        <v>2</v>
      </c>
      <c r="B6" s="10" t="s">
        <v>55</v>
      </c>
      <c r="C6" s="10" t="s">
        <v>56</v>
      </c>
    </row>
    <row r="7" spans="1:3" x14ac:dyDescent="0.25">
      <c r="A7" t="s">
        <v>14</v>
      </c>
      <c r="B7" s="3">
        <v>25677</v>
      </c>
      <c r="C7" s="3">
        <v>16587</v>
      </c>
    </row>
    <row r="8" spans="1:3" x14ac:dyDescent="0.25">
      <c r="A8" t="s">
        <v>25</v>
      </c>
      <c r="B8" s="3">
        <v>23420</v>
      </c>
      <c r="C8" s="3">
        <v>11485</v>
      </c>
    </row>
    <row r="9" spans="1:3" x14ac:dyDescent="0.25">
      <c r="A9" t="s">
        <v>28</v>
      </c>
      <c r="B9" s="3">
        <v>19285</v>
      </c>
      <c r="C9" s="3">
        <v>6165</v>
      </c>
    </row>
    <row r="10" spans="1:3" x14ac:dyDescent="0.25">
      <c r="A10" t="s">
        <v>31</v>
      </c>
      <c r="B10" s="3">
        <v>12171</v>
      </c>
      <c r="C10" s="3">
        <v>5485</v>
      </c>
    </row>
    <row r="11" spans="1:3" x14ac:dyDescent="0.25">
      <c r="A11" t="s">
        <v>33</v>
      </c>
      <c r="B11" s="3">
        <v>6236</v>
      </c>
      <c r="C11" s="3">
        <v>3199</v>
      </c>
    </row>
  </sheetData>
  <hyperlinks>
    <hyperlink ref="A1" location="'Indice'!A1" tooltip="Voltar ao índice" display="« Voltar ao índice" xr:uid="{1ABA12DE-7EDF-48B4-BCC8-36D987592642}"/>
  </hyperlink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0CB2-A933-4471-948D-8A5D1EBAA0A9}">
  <sheetPr>
    <tabColor rgb="FF1F6B9F"/>
  </sheetPr>
  <dimension ref="A1:C18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3" x14ac:dyDescent="0.25">
      <c r="A1" s="6" t="s">
        <v>51</v>
      </c>
    </row>
    <row r="2" spans="1:3" ht="17.25" x14ac:dyDescent="0.3">
      <c r="A2" s="7" t="s">
        <v>81</v>
      </c>
    </row>
    <row r="3" spans="1:3" x14ac:dyDescent="0.25">
      <c r="A3" s="8" t="s">
        <v>82</v>
      </c>
    </row>
    <row r="4" spans="1:3" x14ac:dyDescent="0.25">
      <c r="A4" s="9" t="s">
        <v>83</v>
      </c>
    </row>
    <row r="6" spans="1:3" x14ac:dyDescent="0.25">
      <c r="A6" s="5" t="s">
        <v>4</v>
      </c>
      <c r="B6" s="10" t="s">
        <v>84</v>
      </c>
      <c r="C6" s="10" t="s">
        <v>85</v>
      </c>
    </row>
    <row r="7" spans="1:3" x14ac:dyDescent="0.25">
      <c r="A7" s="16">
        <v>45658</v>
      </c>
      <c r="B7" s="3">
        <v>2072</v>
      </c>
      <c r="C7" s="3">
        <v>1420</v>
      </c>
    </row>
    <row r="8" spans="1:3" x14ac:dyDescent="0.25">
      <c r="A8" s="16">
        <v>45689</v>
      </c>
      <c r="B8" s="3">
        <v>1976</v>
      </c>
      <c r="C8" s="3">
        <v>1365</v>
      </c>
    </row>
    <row r="9" spans="1:3" x14ac:dyDescent="0.25">
      <c r="A9" s="16">
        <v>45717</v>
      </c>
      <c r="B9" s="3">
        <v>1903</v>
      </c>
      <c r="C9" s="3">
        <v>1308</v>
      </c>
    </row>
    <row r="10" spans="1:3" x14ac:dyDescent="0.25">
      <c r="A10" s="16">
        <v>45748</v>
      </c>
      <c r="B10" s="3">
        <v>1890</v>
      </c>
      <c r="C10" s="3">
        <v>1295</v>
      </c>
    </row>
    <row r="11" spans="1:3" x14ac:dyDescent="0.25">
      <c r="A11" s="16">
        <v>45778</v>
      </c>
      <c r="B11" s="3">
        <v>1950</v>
      </c>
      <c r="C11" s="3">
        <v>1347</v>
      </c>
    </row>
    <row r="12" spans="1:3" x14ac:dyDescent="0.25">
      <c r="A12" s="16">
        <v>45809</v>
      </c>
      <c r="B12" s="3">
        <v>2094</v>
      </c>
      <c r="C12" s="3">
        <v>1442</v>
      </c>
    </row>
    <row r="13" spans="1:3" x14ac:dyDescent="0.25">
      <c r="A13" s="16">
        <v>45839</v>
      </c>
      <c r="B13" s="3">
        <v>2248</v>
      </c>
      <c r="C13" s="3">
        <v>1546</v>
      </c>
    </row>
    <row r="14" spans="1:3" x14ac:dyDescent="0.25">
      <c r="A14" s="16">
        <v>45870</v>
      </c>
      <c r="B14" s="3">
        <v>2332</v>
      </c>
      <c r="C14" s="3">
        <v>1615</v>
      </c>
    </row>
    <row r="15" spans="1:3" x14ac:dyDescent="0.25">
      <c r="A15" s="16">
        <v>45901</v>
      </c>
      <c r="B15" s="3">
        <v>2372</v>
      </c>
      <c r="C15" s="3">
        <v>1620</v>
      </c>
    </row>
    <row r="16" spans="1:3" x14ac:dyDescent="0.25">
      <c r="A16" s="16">
        <v>45931</v>
      </c>
      <c r="B16" s="3">
        <v>2444</v>
      </c>
      <c r="C16" s="3">
        <v>1674</v>
      </c>
    </row>
    <row r="17" spans="1:3" x14ac:dyDescent="0.25">
      <c r="A17" s="16">
        <v>45962</v>
      </c>
      <c r="B17" s="3">
        <v>2467</v>
      </c>
      <c r="C17" s="3">
        <v>1692</v>
      </c>
    </row>
    <row r="18" spans="1:3" x14ac:dyDescent="0.25">
      <c r="A18" s="16">
        <v>45992</v>
      </c>
      <c r="B18" s="3">
        <v>2450</v>
      </c>
      <c r="C18" s="3">
        <v>1689</v>
      </c>
    </row>
  </sheetData>
  <hyperlinks>
    <hyperlink ref="A1" location="'Indice'!A1" tooltip="Voltar ao índice" display="« Voltar ao índice" xr:uid="{AB1BBE6E-06FC-41E3-A313-00DF34C975CE}"/>
  </hyperlink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C0DD-B359-49D6-B9D7-A1EA8E02BF70}">
  <sheetPr>
    <tabColor rgb="FF1F6B9F"/>
  </sheetPr>
  <dimension ref="A1:B13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2" x14ac:dyDescent="0.25">
      <c r="A1" s="6" t="s">
        <v>51</v>
      </c>
    </row>
    <row r="2" spans="1:2" ht="17.25" x14ac:dyDescent="0.3">
      <c r="A2" s="7" t="s">
        <v>89</v>
      </c>
    </row>
    <row r="3" spans="1:2" x14ac:dyDescent="0.25">
      <c r="A3" s="8" t="s">
        <v>90</v>
      </c>
    </row>
    <row r="4" spans="1:2" x14ac:dyDescent="0.25">
      <c r="A4" s="9" t="s">
        <v>91</v>
      </c>
    </row>
    <row r="6" spans="1:2" x14ac:dyDescent="0.25">
      <c r="A6" s="5" t="s">
        <v>92</v>
      </c>
      <c r="B6" s="10" t="s">
        <v>93</v>
      </c>
    </row>
    <row r="7" spans="1:2" x14ac:dyDescent="0.25">
      <c r="A7" t="s">
        <v>94</v>
      </c>
      <c r="B7" s="3">
        <v>129710</v>
      </c>
    </row>
    <row r="8" spans="1:2" x14ac:dyDescent="0.25">
      <c r="A8" t="s">
        <v>95</v>
      </c>
      <c r="B8" s="3">
        <v>-88293</v>
      </c>
    </row>
    <row r="9" spans="1:2" x14ac:dyDescent="0.25">
      <c r="A9" t="s">
        <v>96</v>
      </c>
      <c r="B9" s="3">
        <v>-27239</v>
      </c>
    </row>
    <row r="10" spans="1:2" x14ac:dyDescent="0.25">
      <c r="A10" t="s">
        <v>97</v>
      </c>
      <c r="B10" s="3" t="s">
        <v>98</v>
      </c>
    </row>
    <row r="11" spans="1:2" x14ac:dyDescent="0.25">
      <c r="A11" t="s">
        <v>99</v>
      </c>
      <c r="B11" s="3">
        <v>-3243</v>
      </c>
    </row>
    <row r="12" spans="1:2" x14ac:dyDescent="0.25">
      <c r="A12" t="s">
        <v>100</v>
      </c>
      <c r="B12" s="3">
        <v>-3718</v>
      </c>
    </row>
    <row r="13" spans="1:2" x14ac:dyDescent="0.25">
      <c r="A13" t="s">
        <v>101</v>
      </c>
      <c r="B13" s="3" t="s">
        <v>98</v>
      </c>
    </row>
  </sheetData>
  <hyperlinks>
    <hyperlink ref="A1" location="'Indice'!A1" tooltip="Voltar ao índice" display="« Voltar ao índice" xr:uid="{046D2B0F-E156-4110-A84D-70632CCA0853}"/>
  </hyperlink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112C-880E-44B3-A6F3-DE15AAE4801D}">
  <sheetPr>
    <tabColor rgb="FF1F6B9F"/>
  </sheetPr>
  <dimension ref="A1:C11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3" x14ac:dyDescent="0.25">
      <c r="A1" s="6" t="s">
        <v>51</v>
      </c>
    </row>
    <row r="2" spans="1:3" ht="17.25" x14ac:dyDescent="0.3">
      <c r="A2" s="7" t="s">
        <v>123</v>
      </c>
    </row>
    <row r="3" spans="1:3" x14ac:dyDescent="0.25">
      <c r="A3" s="8" t="s">
        <v>124</v>
      </c>
    </row>
    <row r="4" spans="1:3" x14ac:dyDescent="0.25">
      <c r="A4" s="9" t="s">
        <v>125</v>
      </c>
    </row>
    <row r="6" spans="1:3" x14ac:dyDescent="0.25">
      <c r="A6" s="5" t="s">
        <v>2</v>
      </c>
      <c r="B6" s="10" t="s">
        <v>55</v>
      </c>
      <c r="C6" s="10" t="s">
        <v>56</v>
      </c>
    </row>
    <row r="7" spans="1:3" x14ac:dyDescent="0.25">
      <c r="A7" t="s">
        <v>14</v>
      </c>
      <c r="B7" s="3">
        <v>25677</v>
      </c>
      <c r="C7" s="3">
        <v>16587</v>
      </c>
    </row>
    <row r="8" spans="1:3" x14ac:dyDescent="0.25">
      <c r="A8" t="s">
        <v>25</v>
      </c>
      <c r="B8" s="3">
        <v>23420</v>
      </c>
      <c r="C8" s="3">
        <v>11485</v>
      </c>
    </row>
    <row r="9" spans="1:3" x14ac:dyDescent="0.25">
      <c r="A9" t="s">
        <v>28</v>
      </c>
      <c r="B9" s="3">
        <v>19285</v>
      </c>
      <c r="C9" s="3">
        <v>6165</v>
      </c>
    </row>
    <row r="10" spans="1:3" x14ac:dyDescent="0.25">
      <c r="A10" t="s">
        <v>31</v>
      </c>
      <c r="B10" s="3">
        <v>12171</v>
      </c>
      <c r="C10" s="3">
        <v>5485</v>
      </c>
    </row>
    <row r="11" spans="1:3" x14ac:dyDescent="0.25">
      <c r="A11" t="s">
        <v>33</v>
      </c>
      <c r="B11" s="3">
        <v>6236</v>
      </c>
      <c r="C11" s="3">
        <v>3199</v>
      </c>
    </row>
  </sheetData>
  <hyperlinks>
    <hyperlink ref="A1" location="'Indice'!A1" tooltip="Voltar ao índice" display="« Voltar ao índice" xr:uid="{E21AF042-E25B-4E3F-8C49-7F844BFF2095}"/>
  </hyperlink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E381-73DD-4AA5-93B1-532EB4CE1C2F}">
  <sheetPr>
    <tabColor rgb="FF1F6B9F"/>
  </sheetPr>
  <dimension ref="A1:C14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3" x14ac:dyDescent="0.25">
      <c r="A1" s="6" t="s">
        <v>51</v>
      </c>
    </row>
    <row r="2" spans="1:3" ht="17.25" x14ac:dyDescent="0.3">
      <c r="A2" s="7" t="s">
        <v>128</v>
      </c>
    </row>
    <row r="3" spans="1:3" x14ac:dyDescent="0.25">
      <c r="A3" s="8" t="s">
        <v>129</v>
      </c>
    </row>
    <row r="4" spans="1:3" x14ac:dyDescent="0.25">
      <c r="A4" s="9" t="s">
        <v>130</v>
      </c>
    </row>
    <row r="6" spans="1:3" x14ac:dyDescent="0.25">
      <c r="A6" s="5" t="s">
        <v>0</v>
      </c>
      <c r="B6" s="10">
        <v>2024</v>
      </c>
      <c r="C6" s="10">
        <v>2025</v>
      </c>
    </row>
    <row r="7" spans="1:3" x14ac:dyDescent="0.25">
      <c r="A7" t="s">
        <v>12</v>
      </c>
      <c r="B7" s="3">
        <v>23323828</v>
      </c>
      <c r="C7" s="3">
        <v>26200229</v>
      </c>
    </row>
    <row r="8" spans="1:3" x14ac:dyDescent="0.25">
      <c r="A8" t="s">
        <v>24</v>
      </c>
      <c r="B8" s="3">
        <v>18479885</v>
      </c>
      <c r="C8" s="3">
        <v>21085258</v>
      </c>
    </row>
    <row r="9" spans="1:3" x14ac:dyDescent="0.25">
      <c r="A9" t="s">
        <v>30</v>
      </c>
      <c r="B9" s="3">
        <v>16236776</v>
      </c>
      <c r="C9" s="3">
        <v>17656275</v>
      </c>
    </row>
    <row r="10" spans="1:3" x14ac:dyDescent="0.25">
      <c r="A10" t="s">
        <v>23</v>
      </c>
      <c r="B10" s="3">
        <v>14773252</v>
      </c>
      <c r="C10" s="3">
        <v>16064115</v>
      </c>
    </row>
    <row r="11" spans="1:3" x14ac:dyDescent="0.25">
      <c r="A11" t="s">
        <v>27</v>
      </c>
      <c r="B11" s="3">
        <v>13402182</v>
      </c>
      <c r="C11" s="3">
        <v>14531945</v>
      </c>
    </row>
    <row r="12" spans="1:3" x14ac:dyDescent="0.25">
      <c r="A12" t="s">
        <v>26</v>
      </c>
      <c r="B12" s="3">
        <v>12087322</v>
      </c>
      <c r="C12" s="3">
        <v>13819600</v>
      </c>
    </row>
    <row r="13" spans="1:3" x14ac:dyDescent="0.25">
      <c r="A13" t="s">
        <v>29</v>
      </c>
      <c r="B13" s="3">
        <v>10205303</v>
      </c>
      <c r="C13" s="3">
        <v>10917761</v>
      </c>
    </row>
    <row r="14" spans="1:3" x14ac:dyDescent="0.25">
      <c r="A14" t="s">
        <v>32</v>
      </c>
      <c r="B14" s="3">
        <v>8715402</v>
      </c>
      <c r="C14" s="3">
        <v>9435053</v>
      </c>
    </row>
  </sheetData>
  <hyperlinks>
    <hyperlink ref="A1" location="'Indice'!A1" tooltip="Voltar ao índice" display="« Voltar ao índice" xr:uid="{E7B3D225-397C-4CD0-BCA2-957340189428}"/>
  </hyperlink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BBB0-6792-48A5-B7B4-B07BB370AE3D}">
  <sheetPr>
    <tabColor rgb="FF1F6B9F"/>
  </sheetPr>
  <dimension ref="A1:C14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3" x14ac:dyDescent="0.25">
      <c r="A1" s="6" t="s">
        <v>51</v>
      </c>
    </row>
    <row r="2" spans="1:3" ht="17.25" x14ac:dyDescent="0.3">
      <c r="A2" s="7" t="s">
        <v>134</v>
      </c>
    </row>
    <row r="3" spans="1:3" x14ac:dyDescent="0.25">
      <c r="A3" s="8" t="s">
        <v>135</v>
      </c>
    </row>
    <row r="4" spans="1:3" x14ac:dyDescent="0.25">
      <c r="A4" s="9" t="s">
        <v>136</v>
      </c>
    </row>
    <row r="6" spans="1:3" x14ac:dyDescent="0.25">
      <c r="A6" s="5" t="s">
        <v>0</v>
      </c>
      <c r="B6" s="10" t="s">
        <v>55</v>
      </c>
      <c r="C6" s="10" t="s">
        <v>56</v>
      </c>
    </row>
    <row r="7" spans="1:3" x14ac:dyDescent="0.25">
      <c r="A7" t="s">
        <v>12</v>
      </c>
      <c r="B7" s="3">
        <v>14929</v>
      </c>
      <c r="C7" s="3">
        <v>11271</v>
      </c>
    </row>
    <row r="8" spans="1:3" x14ac:dyDescent="0.25">
      <c r="A8" t="s">
        <v>24</v>
      </c>
      <c r="B8" s="3">
        <v>16058</v>
      </c>
      <c r="C8" s="3">
        <v>5027</v>
      </c>
    </row>
    <row r="9" spans="1:3" x14ac:dyDescent="0.25">
      <c r="A9" t="s">
        <v>30</v>
      </c>
      <c r="B9" s="3">
        <v>12171</v>
      </c>
      <c r="C9" s="3">
        <v>5485</v>
      </c>
    </row>
    <row r="10" spans="1:3" x14ac:dyDescent="0.25">
      <c r="A10" t="s">
        <v>23</v>
      </c>
      <c r="B10" s="3">
        <v>10747</v>
      </c>
      <c r="C10" s="3">
        <v>5317</v>
      </c>
    </row>
    <row r="11" spans="1:3" x14ac:dyDescent="0.25">
      <c r="A11" t="s">
        <v>27</v>
      </c>
      <c r="B11" s="3">
        <v>11461</v>
      </c>
      <c r="C11" s="3">
        <v>3071</v>
      </c>
    </row>
    <row r="12" spans="1:3" x14ac:dyDescent="0.25">
      <c r="A12" t="s">
        <v>26</v>
      </c>
      <c r="B12" s="3">
        <v>7362</v>
      </c>
      <c r="C12" s="3">
        <v>6458</v>
      </c>
    </row>
    <row r="13" spans="1:3" x14ac:dyDescent="0.25">
      <c r="A13" t="s">
        <v>29</v>
      </c>
      <c r="B13" s="3">
        <v>7824</v>
      </c>
      <c r="C13" s="3">
        <v>3094</v>
      </c>
    </row>
    <row r="14" spans="1:3" x14ac:dyDescent="0.25">
      <c r="A14" t="s">
        <v>32</v>
      </c>
      <c r="B14" s="3">
        <v>6236</v>
      </c>
      <c r="C14" s="3">
        <v>3199</v>
      </c>
    </row>
  </sheetData>
  <hyperlinks>
    <hyperlink ref="A1" location="'Indice'!A1" tooltip="Voltar ao índice" display="« Voltar ao índice" xr:uid="{88B9E11C-E818-46BF-BEDB-9B36836326B4}"/>
  </hyperlink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8A2D-CB4E-4F9B-AFBF-A477536E31C0}">
  <sheetPr>
    <tabColor rgb="FF1F6B9F"/>
  </sheetPr>
  <dimension ref="A1:B13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2" x14ac:dyDescent="0.25">
      <c r="A1" s="6" t="s">
        <v>51</v>
      </c>
    </row>
    <row r="2" spans="1:2" ht="17.25" x14ac:dyDescent="0.3">
      <c r="A2" s="7" t="s">
        <v>140</v>
      </c>
    </row>
    <row r="3" spans="1:2" x14ac:dyDescent="0.25">
      <c r="A3" s="8" t="s">
        <v>141</v>
      </c>
    </row>
    <row r="4" spans="1:2" x14ac:dyDescent="0.25">
      <c r="A4" s="9" t="s">
        <v>142</v>
      </c>
    </row>
    <row r="6" spans="1:2" x14ac:dyDescent="0.25">
      <c r="A6" s="5" t="s">
        <v>92</v>
      </c>
      <c r="B6" s="10" t="s">
        <v>93</v>
      </c>
    </row>
    <row r="7" spans="1:2" x14ac:dyDescent="0.25">
      <c r="A7" t="s">
        <v>94</v>
      </c>
      <c r="B7" s="3">
        <v>129710</v>
      </c>
    </row>
    <row r="8" spans="1:2" x14ac:dyDescent="0.25">
      <c r="A8" t="s">
        <v>95</v>
      </c>
      <c r="B8" s="3">
        <v>-88293</v>
      </c>
    </row>
    <row r="9" spans="1:2" x14ac:dyDescent="0.25">
      <c r="A9" t="s">
        <v>96</v>
      </c>
      <c r="B9" s="3">
        <v>-27239</v>
      </c>
    </row>
    <row r="10" spans="1:2" x14ac:dyDescent="0.25">
      <c r="A10" t="s">
        <v>97</v>
      </c>
      <c r="B10" s="3" t="s">
        <v>98</v>
      </c>
    </row>
    <row r="11" spans="1:2" x14ac:dyDescent="0.25">
      <c r="A11" t="s">
        <v>99</v>
      </c>
      <c r="B11" s="3">
        <v>-3243</v>
      </c>
    </row>
    <row r="12" spans="1:2" x14ac:dyDescent="0.25">
      <c r="A12" t="s">
        <v>100</v>
      </c>
      <c r="B12" s="3">
        <v>-3718</v>
      </c>
    </row>
    <row r="13" spans="1:2" x14ac:dyDescent="0.25">
      <c r="A13" t="s">
        <v>101</v>
      </c>
      <c r="B13" s="3" t="s">
        <v>98</v>
      </c>
    </row>
  </sheetData>
  <hyperlinks>
    <hyperlink ref="A1" location="'Indice'!A1" tooltip="Voltar ao índice" display="« Voltar ao índice" xr:uid="{52318B8C-1429-412D-B53B-9427ECE90355}"/>
  </hyperlink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8F36-8919-4E87-8C3B-DACA7E2C9942}">
  <sheetPr>
    <tabColor rgb="FF1F6B9F"/>
  </sheetPr>
  <dimension ref="A1:D14"/>
  <sheetViews>
    <sheetView workbookViewId="0"/>
  </sheetViews>
  <sheetFormatPr defaultRowHeight="15" x14ac:dyDescent="0.25"/>
  <cols>
    <col min="1" max="1" width="24.7109375" customWidth="1"/>
    <col min="2" max="3" width="13.7109375" customWidth="1"/>
    <col min="4" max="4" width="20" bestFit="1" customWidth="1"/>
  </cols>
  <sheetData>
    <row r="1" spans="1:4" x14ac:dyDescent="0.25">
      <c r="A1" s="6" t="s">
        <v>51</v>
      </c>
    </row>
    <row r="2" spans="1:4" ht="17.25" x14ac:dyDescent="0.3">
      <c r="A2" s="7" t="s">
        <v>145</v>
      </c>
    </row>
    <row r="3" spans="1:4" x14ac:dyDescent="0.25">
      <c r="A3" s="8" t="s">
        <v>146</v>
      </c>
    </row>
    <row r="4" spans="1:4" x14ac:dyDescent="0.25">
      <c r="A4" s="9" t="s">
        <v>147</v>
      </c>
    </row>
    <row r="6" spans="1:4" x14ac:dyDescent="0.25">
      <c r="A6" s="5" t="s">
        <v>148</v>
      </c>
      <c r="B6" s="10" t="s">
        <v>17</v>
      </c>
      <c r="C6" s="10" t="s">
        <v>16</v>
      </c>
      <c r="D6" s="10" t="s">
        <v>15</v>
      </c>
    </row>
    <row r="7" spans="1:4" x14ac:dyDescent="0.25">
      <c r="A7" t="s">
        <v>149</v>
      </c>
      <c r="B7" s="3">
        <v>3224</v>
      </c>
      <c r="C7" s="3">
        <v>4499</v>
      </c>
      <c r="D7" s="3">
        <v>9316</v>
      </c>
    </row>
    <row r="8" spans="1:4" x14ac:dyDescent="0.25">
      <c r="A8" t="s">
        <v>150</v>
      </c>
      <c r="B8" s="3">
        <v>3217</v>
      </c>
      <c r="C8" s="3">
        <v>4526</v>
      </c>
      <c r="D8" s="3">
        <v>9211</v>
      </c>
    </row>
    <row r="9" spans="1:4" x14ac:dyDescent="0.25">
      <c r="A9" t="s">
        <v>151</v>
      </c>
      <c r="B9" s="3">
        <v>3746</v>
      </c>
      <c r="C9" s="3">
        <v>5356</v>
      </c>
      <c r="D9" s="3">
        <v>10495</v>
      </c>
    </row>
    <row r="10" spans="1:4" x14ac:dyDescent="0.25">
      <c r="A10" t="s">
        <v>152</v>
      </c>
      <c r="B10" s="3">
        <v>3943</v>
      </c>
      <c r="C10" s="3">
        <v>5792</v>
      </c>
      <c r="D10" s="3">
        <v>11163</v>
      </c>
    </row>
    <row r="11" spans="1:4" x14ac:dyDescent="0.25">
      <c r="A11" t="s">
        <v>153</v>
      </c>
      <c r="B11" s="3">
        <v>3588</v>
      </c>
      <c r="C11" s="3">
        <v>5306</v>
      </c>
      <c r="D11" s="3">
        <v>9955</v>
      </c>
    </row>
    <row r="12" spans="1:4" x14ac:dyDescent="0.25">
      <c r="A12" t="s">
        <v>154</v>
      </c>
      <c r="B12" s="3">
        <v>3538</v>
      </c>
      <c r="C12" s="3">
        <v>5367</v>
      </c>
      <c r="D12" s="3">
        <v>10054</v>
      </c>
    </row>
    <row r="13" spans="1:4" x14ac:dyDescent="0.25">
      <c r="A13" t="s">
        <v>155</v>
      </c>
      <c r="B13" s="3">
        <v>4162</v>
      </c>
      <c r="C13" s="3">
        <v>6298</v>
      </c>
      <c r="D13" s="3">
        <v>11350</v>
      </c>
    </row>
    <row r="14" spans="1:4" x14ac:dyDescent="0.25">
      <c r="A14" t="s">
        <v>156</v>
      </c>
      <c r="B14" s="3">
        <v>4415</v>
      </c>
      <c r="C14" s="3">
        <v>6800</v>
      </c>
      <c r="D14" s="3">
        <v>11965</v>
      </c>
    </row>
  </sheetData>
  <hyperlinks>
    <hyperlink ref="A1" location="'Indice'!A1" tooltip="Voltar ao índice" display="« Voltar ao índice" xr:uid="{FF49CF41-1518-4F55-80DD-74FFFF288B9C}"/>
  </hyperlink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3260-B321-470F-9E63-DB5EB68890D8}">
  <sheetPr>
    <tabColor rgb="FF1F6B9F"/>
  </sheetPr>
  <dimension ref="A1:D14"/>
  <sheetViews>
    <sheetView workbookViewId="0"/>
  </sheetViews>
  <sheetFormatPr defaultRowHeight="15" x14ac:dyDescent="0.25"/>
  <cols>
    <col min="1" max="1" width="24.7109375" customWidth="1"/>
    <col min="2" max="3" width="13.7109375" customWidth="1"/>
    <col min="4" max="4" width="20" bestFit="1" customWidth="1"/>
  </cols>
  <sheetData>
    <row r="1" spans="1:4" x14ac:dyDescent="0.25">
      <c r="A1" s="6" t="s">
        <v>51</v>
      </c>
    </row>
    <row r="2" spans="1:4" ht="17.25" x14ac:dyDescent="0.3">
      <c r="A2" s="7" t="s">
        <v>166</v>
      </c>
    </row>
    <row r="3" spans="1:4" x14ac:dyDescent="0.25">
      <c r="A3" s="8" t="s">
        <v>167</v>
      </c>
    </row>
    <row r="4" spans="1:4" x14ac:dyDescent="0.25">
      <c r="A4" s="9" t="s">
        <v>168</v>
      </c>
    </row>
    <row r="6" spans="1:4" x14ac:dyDescent="0.25">
      <c r="A6" s="5" t="s">
        <v>148</v>
      </c>
      <c r="B6" s="10" t="s">
        <v>17</v>
      </c>
      <c r="C6" s="10" t="s">
        <v>16</v>
      </c>
      <c r="D6" s="10" t="s">
        <v>15</v>
      </c>
    </row>
    <row r="7" spans="1:4" x14ac:dyDescent="0.25">
      <c r="A7" t="s">
        <v>149</v>
      </c>
      <c r="B7" s="3">
        <v>3224</v>
      </c>
      <c r="C7" s="3">
        <v>4499</v>
      </c>
      <c r="D7" s="3">
        <v>9316</v>
      </c>
    </row>
    <row r="8" spans="1:4" x14ac:dyDescent="0.25">
      <c r="A8" t="s">
        <v>150</v>
      </c>
      <c r="B8" s="3">
        <v>3217</v>
      </c>
      <c r="C8" s="3">
        <v>4526</v>
      </c>
      <c r="D8" s="3">
        <v>9211</v>
      </c>
    </row>
    <row r="9" spans="1:4" x14ac:dyDescent="0.25">
      <c r="A9" t="s">
        <v>151</v>
      </c>
      <c r="B9" s="3">
        <v>3746</v>
      </c>
      <c r="C9" s="3">
        <v>5356</v>
      </c>
      <c r="D9" s="3">
        <v>10495</v>
      </c>
    </row>
    <row r="10" spans="1:4" x14ac:dyDescent="0.25">
      <c r="A10" t="s">
        <v>152</v>
      </c>
      <c r="B10" s="3">
        <v>3943</v>
      </c>
      <c r="C10" s="3">
        <v>5792</v>
      </c>
      <c r="D10" s="3">
        <v>11163</v>
      </c>
    </row>
    <row r="11" spans="1:4" x14ac:dyDescent="0.25">
      <c r="A11" t="s">
        <v>153</v>
      </c>
      <c r="B11" s="3">
        <v>3588</v>
      </c>
      <c r="C11" s="3">
        <v>5306</v>
      </c>
      <c r="D11" s="3">
        <v>9955</v>
      </c>
    </row>
    <row r="12" spans="1:4" x14ac:dyDescent="0.25">
      <c r="A12" t="s">
        <v>154</v>
      </c>
      <c r="B12" s="3">
        <v>3538</v>
      </c>
      <c r="C12" s="3">
        <v>5367</v>
      </c>
      <c r="D12" s="3">
        <v>10054</v>
      </c>
    </row>
    <row r="13" spans="1:4" x14ac:dyDescent="0.25">
      <c r="A13" t="s">
        <v>155</v>
      </c>
      <c r="B13" s="3">
        <v>4162</v>
      </c>
      <c r="C13" s="3">
        <v>6298</v>
      </c>
      <c r="D13" s="3">
        <v>11350</v>
      </c>
    </row>
    <row r="14" spans="1:4" x14ac:dyDescent="0.25">
      <c r="A14" t="s">
        <v>156</v>
      </c>
      <c r="B14" s="3">
        <v>4415</v>
      </c>
      <c r="C14" s="3">
        <v>6800</v>
      </c>
      <c r="D14" s="3">
        <v>11965</v>
      </c>
    </row>
  </sheetData>
  <hyperlinks>
    <hyperlink ref="A1" location="'Indice'!A1" tooltip="Voltar ao índice" display="« Voltar ao índice" xr:uid="{EAE376ED-929C-40BB-9F2C-ACE6CA4DE4BB}"/>
  </hyperlink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CC10-9F92-4AFC-994A-64436492A745}">
  <sheetPr>
    <tabColor rgb="FF1F6B9F"/>
  </sheetPr>
  <dimension ref="A1:D18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4" x14ac:dyDescent="0.25">
      <c r="A1" s="6" t="s">
        <v>51</v>
      </c>
    </row>
    <row r="2" spans="1:4" ht="17.25" x14ac:dyDescent="0.3">
      <c r="A2" s="7" t="s">
        <v>172</v>
      </c>
    </row>
    <row r="3" spans="1:4" x14ac:dyDescent="0.25">
      <c r="A3" s="8" t="s">
        <v>173</v>
      </c>
    </row>
    <row r="4" spans="1:4" x14ac:dyDescent="0.25">
      <c r="A4" s="9" t="s">
        <v>174</v>
      </c>
    </row>
    <row r="6" spans="1:4" x14ac:dyDescent="0.25">
      <c r="A6" s="5" t="s">
        <v>4</v>
      </c>
      <c r="B6" s="10" t="s">
        <v>55</v>
      </c>
      <c r="C6" s="10" t="s">
        <v>56</v>
      </c>
      <c r="D6" s="10" t="s">
        <v>175</v>
      </c>
    </row>
    <row r="7" spans="1:4" x14ac:dyDescent="0.25">
      <c r="A7" s="16">
        <v>45658</v>
      </c>
      <c r="B7" s="3">
        <v>1171</v>
      </c>
      <c r="C7" s="3">
        <v>901</v>
      </c>
      <c r="D7" s="19">
        <v>0.315</v>
      </c>
    </row>
    <row r="8" spans="1:4" x14ac:dyDescent="0.25">
      <c r="A8" s="16">
        <v>45689</v>
      </c>
      <c r="B8" s="3">
        <v>1142</v>
      </c>
      <c r="C8" s="3">
        <v>834</v>
      </c>
      <c r="D8" s="19">
        <v>0.309</v>
      </c>
    </row>
    <row r="9" spans="1:4" x14ac:dyDescent="0.25">
      <c r="A9" s="16">
        <v>45717</v>
      </c>
      <c r="B9" s="3">
        <v>1080</v>
      </c>
      <c r="C9" s="3">
        <v>823</v>
      </c>
      <c r="D9" s="19">
        <v>0.313</v>
      </c>
    </row>
    <row r="10" spans="1:4" x14ac:dyDescent="0.25">
      <c r="A10" s="16">
        <v>45748</v>
      </c>
      <c r="B10" s="3">
        <v>1083</v>
      </c>
      <c r="C10" s="3">
        <v>807</v>
      </c>
      <c r="D10" s="19">
        <v>0.315</v>
      </c>
    </row>
    <row r="11" spans="1:4" x14ac:dyDescent="0.25">
      <c r="A11" s="16">
        <v>45778</v>
      </c>
      <c r="B11" s="3">
        <v>1105</v>
      </c>
      <c r="C11" s="3">
        <v>845</v>
      </c>
      <c r="D11" s="19">
        <v>0.309</v>
      </c>
    </row>
    <row r="12" spans="1:4" x14ac:dyDescent="0.25">
      <c r="A12" s="16">
        <v>45809</v>
      </c>
      <c r="B12" s="3">
        <v>1184</v>
      </c>
      <c r="C12" s="3">
        <v>910</v>
      </c>
      <c r="D12" s="19">
        <v>0.312</v>
      </c>
    </row>
    <row r="13" spans="1:4" x14ac:dyDescent="0.25">
      <c r="A13" s="16">
        <v>45839</v>
      </c>
      <c r="B13" s="3">
        <v>1278</v>
      </c>
      <c r="C13" s="3">
        <v>970</v>
      </c>
      <c r="D13" s="19">
        <v>0.312</v>
      </c>
    </row>
    <row r="14" spans="1:4" x14ac:dyDescent="0.25">
      <c r="A14" s="16">
        <v>45870</v>
      </c>
      <c r="B14" s="3">
        <v>1311</v>
      </c>
      <c r="C14" s="3">
        <v>1021</v>
      </c>
      <c r="D14" s="19">
        <v>0.308</v>
      </c>
    </row>
    <row r="15" spans="1:4" x14ac:dyDescent="0.25">
      <c r="A15" s="16">
        <v>45901</v>
      </c>
      <c r="B15" s="3">
        <v>1369</v>
      </c>
      <c r="C15" s="3">
        <v>1003</v>
      </c>
      <c r="D15" s="19">
        <v>0.317</v>
      </c>
    </row>
    <row r="16" spans="1:4" x14ac:dyDescent="0.25">
      <c r="A16" s="16">
        <v>45931</v>
      </c>
      <c r="B16" s="3">
        <v>1404</v>
      </c>
      <c r="C16" s="3">
        <v>1040</v>
      </c>
      <c r="D16" s="19">
        <v>0.315</v>
      </c>
    </row>
    <row r="17" spans="1:4" x14ac:dyDescent="0.25">
      <c r="A17" s="16">
        <v>45962</v>
      </c>
      <c r="B17" s="3">
        <v>1420</v>
      </c>
      <c r="C17" s="3">
        <v>1047</v>
      </c>
      <c r="D17" s="19">
        <v>0.314</v>
      </c>
    </row>
    <row r="18" spans="1:4" x14ac:dyDescent="0.25">
      <c r="A18" s="16">
        <v>45992</v>
      </c>
      <c r="B18" s="3">
        <v>1381</v>
      </c>
      <c r="C18" s="3">
        <v>1069</v>
      </c>
      <c r="D18" s="19">
        <v>0.311</v>
      </c>
    </row>
  </sheetData>
  <hyperlinks>
    <hyperlink ref="A1" location="'Indice'!A1" tooltip="Voltar ao índice" display="« Voltar ao índice" xr:uid="{8E585617-CB2B-42E4-B9EE-47037CF7705B}"/>
  </hyperlink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4CFC-A59B-42AA-B8C7-AC0F57879BF6}">
  <sheetPr>
    <tabColor rgb="FF1F6B9F"/>
  </sheetPr>
  <dimension ref="A1:D11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4" x14ac:dyDescent="0.25">
      <c r="A1" s="6" t="s">
        <v>51</v>
      </c>
    </row>
    <row r="2" spans="1:4" ht="17.25" x14ac:dyDescent="0.3">
      <c r="A2" s="7" t="s">
        <v>179</v>
      </c>
    </row>
    <row r="3" spans="1:4" x14ac:dyDescent="0.25">
      <c r="A3" s="8" t="s">
        <v>180</v>
      </c>
    </row>
    <row r="4" spans="1:4" x14ac:dyDescent="0.25">
      <c r="A4" s="9" t="s">
        <v>181</v>
      </c>
    </row>
    <row r="6" spans="1:4" x14ac:dyDescent="0.25">
      <c r="A6" s="5" t="s">
        <v>2</v>
      </c>
      <c r="B6" s="10" t="s">
        <v>182</v>
      </c>
      <c r="C6" s="10" t="s">
        <v>183</v>
      </c>
      <c r="D6" s="10" t="s">
        <v>184</v>
      </c>
    </row>
    <row r="7" spans="1:4" x14ac:dyDescent="0.25">
      <c r="A7" t="s">
        <v>14</v>
      </c>
      <c r="B7" s="3">
        <v>16128</v>
      </c>
      <c r="C7" s="3">
        <v>15176</v>
      </c>
      <c r="D7" s="3">
        <v>10960</v>
      </c>
    </row>
    <row r="8" spans="1:4" x14ac:dyDescent="0.25">
      <c r="A8" t="s">
        <v>25</v>
      </c>
      <c r="B8" s="3">
        <v>14703</v>
      </c>
      <c r="C8" s="3">
        <v>11116</v>
      </c>
      <c r="D8" s="3">
        <v>9086</v>
      </c>
    </row>
    <row r="9" spans="1:4" x14ac:dyDescent="0.25">
      <c r="A9" t="s">
        <v>28</v>
      </c>
      <c r="B9" s="3">
        <v>13144</v>
      </c>
      <c r="C9" s="3">
        <v>6289</v>
      </c>
      <c r="D9" s="3">
        <v>6017</v>
      </c>
    </row>
    <row r="10" spans="1:4" x14ac:dyDescent="0.25">
      <c r="A10" t="s">
        <v>31</v>
      </c>
      <c r="B10" s="3">
        <v>8781</v>
      </c>
      <c r="C10" s="3">
        <v>4873</v>
      </c>
      <c r="D10" s="3">
        <v>4002</v>
      </c>
    </row>
    <row r="11" spans="1:4" x14ac:dyDescent="0.25">
      <c r="A11" t="s">
        <v>33</v>
      </c>
      <c r="B11" s="3">
        <v>5306</v>
      </c>
      <c r="C11" s="3">
        <v>2018</v>
      </c>
      <c r="D11" s="3">
        <v>2111</v>
      </c>
    </row>
  </sheetData>
  <hyperlinks>
    <hyperlink ref="A1" location="'Indice'!A1" tooltip="Voltar ao índice" display="« Voltar ao índice" xr:uid="{864A06CD-9955-4709-9F2B-02AA39C6C698}"/>
  </hyperlink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192C-6614-49FE-89C7-E3DEB4FBC035}">
  <sheetPr>
    <tabColor rgb="FF1F6B9F"/>
  </sheetPr>
  <dimension ref="A1:E11"/>
  <sheetViews>
    <sheetView workbookViewId="0"/>
  </sheetViews>
  <sheetFormatPr defaultRowHeight="15" x14ac:dyDescent="0.25"/>
  <cols>
    <col min="1" max="1" width="24.7109375" customWidth="1"/>
    <col min="2" max="5" width="13.7109375" customWidth="1"/>
  </cols>
  <sheetData>
    <row r="1" spans="1:5" x14ac:dyDescent="0.25">
      <c r="A1" s="6" t="s">
        <v>51</v>
      </c>
    </row>
    <row r="2" spans="1:5" ht="17.25" x14ac:dyDescent="0.3">
      <c r="A2" s="7" t="s">
        <v>202</v>
      </c>
    </row>
    <row r="3" spans="1:5" x14ac:dyDescent="0.25">
      <c r="A3" s="8" t="s">
        <v>203</v>
      </c>
    </row>
    <row r="4" spans="1:5" x14ac:dyDescent="0.25">
      <c r="A4" s="9" t="s">
        <v>204</v>
      </c>
    </row>
    <row r="6" spans="1:5" x14ac:dyDescent="0.25">
      <c r="A6" s="5" t="s">
        <v>2</v>
      </c>
      <c r="B6" s="10" t="s">
        <v>205</v>
      </c>
      <c r="C6" s="10" t="s">
        <v>182</v>
      </c>
      <c r="D6" s="10" t="s">
        <v>183</v>
      </c>
      <c r="E6" s="10" t="s">
        <v>184</v>
      </c>
    </row>
    <row r="7" spans="1:5" x14ac:dyDescent="0.25">
      <c r="A7" t="s">
        <v>14</v>
      </c>
      <c r="B7" s="21">
        <v>2</v>
      </c>
      <c r="C7" s="3">
        <v>8064</v>
      </c>
      <c r="D7" s="3">
        <v>7588</v>
      </c>
      <c r="E7" s="3">
        <v>5480</v>
      </c>
    </row>
    <row r="8" spans="1:5" x14ac:dyDescent="0.25">
      <c r="A8" t="s">
        <v>25</v>
      </c>
      <c r="B8" s="21">
        <v>2</v>
      </c>
      <c r="C8" s="3">
        <v>7352</v>
      </c>
      <c r="D8" s="3">
        <v>5558</v>
      </c>
      <c r="E8" s="3">
        <v>4543</v>
      </c>
    </row>
    <row r="9" spans="1:5" x14ac:dyDescent="0.25">
      <c r="A9" t="s">
        <v>28</v>
      </c>
      <c r="B9" s="21">
        <v>2</v>
      </c>
      <c r="C9" s="3">
        <v>6572</v>
      </c>
      <c r="D9" s="3">
        <v>3145</v>
      </c>
      <c r="E9" s="3">
        <v>3008</v>
      </c>
    </row>
    <row r="10" spans="1:5" x14ac:dyDescent="0.25">
      <c r="A10" t="s">
        <v>31</v>
      </c>
      <c r="B10" s="21">
        <v>1</v>
      </c>
      <c r="C10" s="3">
        <v>8781</v>
      </c>
      <c r="D10" s="3">
        <v>4873</v>
      </c>
      <c r="E10" s="3">
        <v>4002</v>
      </c>
    </row>
    <row r="11" spans="1:5" x14ac:dyDescent="0.25">
      <c r="A11" t="s">
        <v>33</v>
      </c>
      <c r="B11" s="21">
        <v>1</v>
      </c>
      <c r="C11" s="3">
        <v>5306</v>
      </c>
      <c r="D11" s="3">
        <v>2018</v>
      </c>
      <c r="E11" s="3">
        <v>2111</v>
      </c>
    </row>
  </sheetData>
  <hyperlinks>
    <hyperlink ref="A1" location="'Indice'!A1" tooltip="Voltar ao índice" display="« Voltar ao índice" xr:uid="{BD5184A3-024D-4B07-B37C-E63567FD0A67}"/>
  </hyperlink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44E4-D966-4DD1-B86F-121B92F25407}">
  <sheetPr>
    <tabColor rgb="FF1F6B9F"/>
  </sheetPr>
  <dimension ref="A1:C10"/>
  <sheetViews>
    <sheetView workbookViewId="0"/>
  </sheetViews>
  <sheetFormatPr defaultRowHeight="15" x14ac:dyDescent="0.25"/>
  <cols>
    <col min="1" max="1" width="32.7109375" customWidth="1"/>
    <col min="2" max="4" width="13.7109375" customWidth="1"/>
  </cols>
  <sheetData>
    <row r="1" spans="1:3" x14ac:dyDescent="0.25">
      <c r="A1" s="6" t="s">
        <v>51</v>
      </c>
    </row>
    <row r="2" spans="1:3" ht="17.25" x14ac:dyDescent="0.3">
      <c r="A2" s="7" t="s">
        <v>209</v>
      </c>
    </row>
    <row r="3" spans="1:3" x14ac:dyDescent="0.25">
      <c r="A3" s="8" t="s">
        <v>210</v>
      </c>
    </row>
    <row r="4" spans="1:3" x14ac:dyDescent="0.25">
      <c r="A4" s="9" t="s">
        <v>211</v>
      </c>
    </row>
    <row r="6" spans="1:3" x14ac:dyDescent="0.25">
      <c r="A6" s="5" t="s">
        <v>37</v>
      </c>
      <c r="B6" s="10" t="s">
        <v>38</v>
      </c>
      <c r="C6" s="10" t="s">
        <v>39</v>
      </c>
    </row>
    <row r="7" spans="1:3" x14ac:dyDescent="0.25">
      <c r="A7" t="s">
        <v>41</v>
      </c>
      <c r="B7" s="1">
        <v>46083</v>
      </c>
      <c r="C7" s="1">
        <v>46108</v>
      </c>
    </row>
    <row r="8" spans="1:3" x14ac:dyDescent="0.25">
      <c r="A8" t="s">
        <v>43</v>
      </c>
      <c r="B8" s="1">
        <v>46097</v>
      </c>
      <c r="C8" s="1">
        <v>46136</v>
      </c>
    </row>
    <row r="9" spans="1:3" x14ac:dyDescent="0.25">
      <c r="A9" t="s">
        <v>44</v>
      </c>
      <c r="B9" s="1">
        <v>46118</v>
      </c>
      <c r="C9" s="1">
        <v>46157</v>
      </c>
    </row>
    <row r="10" spans="1:3" x14ac:dyDescent="0.25">
      <c r="A10" t="s">
        <v>45</v>
      </c>
      <c r="B10" s="1">
        <v>46160</v>
      </c>
      <c r="C10" s="1"/>
    </row>
  </sheetData>
  <hyperlinks>
    <hyperlink ref="A1" location="'Indice'!A1" tooltip="Voltar ao índice" display="« Voltar ao índice" xr:uid="{7A78CBFB-5EC5-4670-A824-04F6BEC323F4}"/>
  </hyperlink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360D-0FE4-4F74-AB10-A792D5E6B45B}">
  <sheetPr>
    <tabColor rgb="FF1F6B9F"/>
  </sheetPr>
  <dimension ref="A1:C11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3" x14ac:dyDescent="0.25">
      <c r="A1" s="6" t="s">
        <v>51</v>
      </c>
    </row>
    <row r="2" spans="1:3" ht="17.25" x14ac:dyDescent="0.3">
      <c r="A2" s="7" t="s">
        <v>231</v>
      </c>
    </row>
    <row r="3" spans="1:3" x14ac:dyDescent="0.25">
      <c r="A3" s="8" t="s">
        <v>232</v>
      </c>
    </row>
    <row r="4" spans="1:3" x14ac:dyDescent="0.25">
      <c r="A4" s="9" t="s">
        <v>233</v>
      </c>
    </row>
    <row r="6" spans="1:3" x14ac:dyDescent="0.25">
      <c r="A6" s="5" t="s">
        <v>92</v>
      </c>
      <c r="B6" s="10" t="s">
        <v>38</v>
      </c>
      <c r="C6" s="10" t="s">
        <v>39</v>
      </c>
    </row>
    <row r="7" spans="1:3" x14ac:dyDescent="0.25">
      <c r="A7" t="s">
        <v>46</v>
      </c>
      <c r="B7" s="1">
        <v>46027</v>
      </c>
      <c r="C7" s="1">
        <v>46108</v>
      </c>
    </row>
    <row r="8" spans="1:3" x14ac:dyDescent="0.25">
      <c r="A8" t="s">
        <v>48</v>
      </c>
      <c r="B8" s="1">
        <v>46118</v>
      </c>
      <c r="C8" s="1">
        <v>46374</v>
      </c>
    </row>
    <row r="9" spans="1:3" x14ac:dyDescent="0.25">
      <c r="A9" t="s">
        <v>49</v>
      </c>
      <c r="B9" s="1">
        <v>46391</v>
      </c>
      <c r="C9" s="1">
        <v>46507</v>
      </c>
    </row>
    <row r="10" spans="1:3" x14ac:dyDescent="0.25">
      <c r="A10" t="s">
        <v>50</v>
      </c>
      <c r="B10" s="1">
        <v>46510</v>
      </c>
      <c r="C10" s="1">
        <v>46549</v>
      </c>
    </row>
    <row r="11" spans="1:3" x14ac:dyDescent="0.25">
      <c r="A11" t="s">
        <v>36</v>
      </c>
      <c r="B11" s="1">
        <v>46553</v>
      </c>
      <c r="C11" s="1"/>
    </row>
  </sheetData>
  <hyperlinks>
    <hyperlink ref="A1" location="'Indice'!A1" tooltip="Voltar ao índice" display="« Voltar ao índice" xr:uid="{3BB3F47D-B455-4BF3-A112-868CB8A791D8}"/>
  </hyperlink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A17B-B4F4-4C4D-9F95-030F3E2134FA}">
  <sheetPr>
    <tabColor rgb="FF1F6B9F"/>
  </sheetPr>
  <dimension ref="A1:B11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2" x14ac:dyDescent="0.25">
      <c r="A1" s="6" t="s">
        <v>51</v>
      </c>
    </row>
    <row r="2" spans="1:2" ht="17.25" x14ac:dyDescent="0.3">
      <c r="A2" s="7" t="s">
        <v>236</v>
      </c>
    </row>
    <row r="3" spans="1:2" x14ac:dyDescent="0.25">
      <c r="A3" s="8" t="s">
        <v>237</v>
      </c>
    </row>
    <row r="4" spans="1:2" x14ac:dyDescent="0.25">
      <c r="A4" s="9" t="s">
        <v>238</v>
      </c>
    </row>
    <row r="6" spans="1:2" x14ac:dyDescent="0.25">
      <c r="A6" s="5" t="s">
        <v>2</v>
      </c>
      <c r="B6" s="10" t="s">
        <v>239</v>
      </c>
    </row>
    <row r="7" spans="1:2" x14ac:dyDescent="0.25">
      <c r="A7" t="s">
        <v>14</v>
      </c>
      <c r="B7" s="3">
        <v>42264</v>
      </c>
    </row>
    <row r="8" spans="1:2" x14ac:dyDescent="0.25">
      <c r="A8" t="s">
        <v>25</v>
      </c>
      <c r="B8" s="3">
        <v>34905</v>
      </c>
    </row>
    <row r="9" spans="1:2" x14ac:dyDescent="0.25">
      <c r="A9" t="s">
        <v>28</v>
      </c>
      <c r="B9" s="3">
        <v>25450</v>
      </c>
    </row>
    <row r="10" spans="1:2" x14ac:dyDescent="0.25">
      <c r="A10" t="s">
        <v>31</v>
      </c>
      <c r="B10" s="3">
        <v>17656</v>
      </c>
    </row>
    <row r="11" spans="1:2" x14ac:dyDescent="0.25">
      <c r="A11" t="s">
        <v>33</v>
      </c>
      <c r="B11" s="3">
        <v>9435</v>
      </c>
    </row>
  </sheetData>
  <hyperlinks>
    <hyperlink ref="A1" location="'Indice'!A1" tooltip="Voltar ao índice" display="« Voltar ao índice" xr:uid="{43E83148-7F5F-4A7D-BB00-C246A1051939}"/>
  </hyperlinks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AE0C-907A-4597-9C26-F995897F033E}">
  <sheetPr>
    <tabColor rgb="FF1F6B9F"/>
  </sheetPr>
  <dimension ref="A1:B11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2" x14ac:dyDescent="0.25">
      <c r="A1" s="6" t="s">
        <v>51</v>
      </c>
    </row>
    <row r="2" spans="1:2" ht="17.25" x14ac:dyDescent="0.3">
      <c r="A2" s="7" t="s">
        <v>245</v>
      </c>
    </row>
    <row r="3" spans="1:2" x14ac:dyDescent="0.25">
      <c r="A3" s="8" t="s">
        <v>246</v>
      </c>
    </row>
    <row r="4" spans="1:2" x14ac:dyDescent="0.25">
      <c r="A4" s="9" t="s">
        <v>247</v>
      </c>
    </row>
    <row r="6" spans="1:2" x14ac:dyDescent="0.25">
      <c r="A6" s="5" t="s">
        <v>2</v>
      </c>
      <c r="B6" s="10" t="s">
        <v>239</v>
      </c>
    </row>
    <row r="7" spans="1:2" x14ac:dyDescent="0.25">
      <c r="A7" t="s">
        <v>14</v>
      </c>
      <c r="B7" s="3">
        <v>42264</v>
      </c>
    </row>
    <row r="8" spans="1:2" x14ac:dyDescent="0.25">
      <c r="A8" t="s">
        <v>25</v>
      </c>
      <c r="B8" s="3">
        <v>34905</v>
      </c>
    </row>
    <row r="9" spans="1:2" x14ac:dyDescent="0.25">
      <c r="A9" t="s">
        <v>28</v>
      </c>
      <c r="B9" s="3">
        <v>25450</v>
      </c>
    </row>
    <row r="10" spans="1:2" x14ac:dyDescent="0.25">
      <c r="A10" t="s">
        <v>31</v>
      </c>
      <c r="B10" s="3">
        <v>17656</v>
      </c>
    </row>
    <row r="11" spans="1:2" x14ac:dyDescent="0.25">
      <c r="A11" t="s">
        <v>33</v>
      </c>
      <c r="B11" s="3">
        <v>9435</v>
      </c>
    </row>
  </sheetData>
  <hyperlinks>
    <hyperlink ref="A1" location="'Indice'!A1" tooltip="Voltar ao índice" display="« Voltar ao índice" xr:uid="{39A1FFFD-02DC-4CF0-AE86-1C988BB29932}"/>
  </hyperlinks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9172-7548-44CF-8B94-0DFF8A0C4BE8}">
  <sheetPr>
    <tabColor rgb="FF1F6B9F"/>
  </sheetPr>
  <dimension ref="A1:C14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3" x14ac:dyDescent="0.25">
      <c r="A1" s="6" t="s">
        <v>51</v>
      </c>
    </row>
    <row r="2" spans="1:3" ht="17.25" x14ac:dyDescent="0.3">
      <c r="A2" s="7" t="s">
        <v>251</v>
      </c>
    </row>
    <row r="3" spans="1:3" x14ac:dyDescent="0.25">
      <c r="A3" s="8" t="s">
        <v>252</v>
      </c>
    </row>
    <row r="4" spans="1:3" x14ac:dyDescent="0.25">
      <c r="A4" s="9" t="s">
        <v>253</v>
      </c>
    </row>
    <row r="6" spans="1:3" x14ac:dyDescent="0.25">
      <c r="A6" s="5" t="s">
        <v>0</v>
      </c>
      <c r="B6" s="10" t="s">
        <v>55</v>
      </c>
      <c r="C6" s="10" t="s">
        <v>56</v>
      </c>
    </row>
    <row r="7" spans="1:3" x14ac:dyDescent="0.25">
      <c r="A7" t="s">
        <v>12</v>
      </c>
      <c r="B7" s="3">
        <v>14929</v>
      </c>
      <c r="C7" s="3">
        <v>11271</v>
      </c>
    </row>
    <row r="8" spans="1:3" x14ac:dyDescent="0.25">
      <c r="A8" t="s">
        <v>24</v>
      </c>
      <c r="B8" s="3">
        <v>16058</v>
      </c>
      <c r="C8" s="3">
        <v>5027</v>
      </c>
    </row>
    <row r="9" spans="1:3" x14ac:dyDescent="0.25">
      <c r="A9" t="s">
        <v>30</v>
      </c>
      <c r="B9" s="3">
        <v>12171</v>
      </c>
      <c r="C9" s="3">
        <v>5485</v>
      </c>
    </row>
    <row r="10" spans="1:3" x14ac:dyDescent="0.25">
      <c r="A10" t="s">
        <v>23</v>
      </c>
      <c r="B10" s="3">
        <v>10747</v>
      </c>
      <c r="C10" s="3">
        <v>5317</v>
      </c>
    </row>
    <row r="11" spans="1:3" x14ac:dyDescent="0.25">
      <c r="A11" t="s">
        <v>27</v>
      </c>
      <c r="B11" s="3">
        <v>11461</v>
      </c>
      <c r="C11" s="3">
        <v>3071</v>
      </c>
    </row>
    <row r="12" spans="1:3" x14ac:dyDescent="0.25">
      <c r="A12" t="s">
        <v>26</v>
      </c>
      <c r="B12" s="3">
        <v>7362</v>
      </c>
      <c r="C12" s="3">
        <v>6458</v>
      </c>
    </row>
    <row r="13" spans="1:3" x14ac:dyDescent="0.25">
      <c r="A13" t="s">
        <v>29</v>
      </c>
      <c r="B13" s="3">
        <v>7824</v>
      </c>
      <c r="C13" s="3">
        <v>3094</v>
      </c>
    </row>
    <row r="14" spans="1:3" x14ac:dyDescent="0.25">
      <c r="A14" t="s">
        <v>32</v>
      </c>
      <c r="B14" s="3">
        <v>6236</v>
      </c>
      <c r="C14" s="3">
        <v>3199</v>
      </c>
    </row>
  </sheetData>
  <hyperlinks>
    <hyperlink ref="A1" location="'Indice'!A1" tooltip="Voltar ao índice" display="« Voltar ao índice" xr:uid="{52B34A21-FB68-4B08-8F33-F1E41E3DDD2A}"/>
  </hyperlinks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6430-A324-4CCD-8C13-BFEDAC8D49E4}">
  <sheetPr>
    <tabColor rgb="FF1F6B9F"/>
  </sheetPr>
  <dimension ref="A1:C14"/>
  <sheetViews>
    <sheetView workbookViewId="0"/>
  </sheetViews>
  <sheetFormatPr defaultRowHeight="15" x14ac:dyDescent="0.25"/>
  <cols>
    <col min="1" max="1" width="24.7109375" customWidth="1"/>
    <col min="2" max="2" width="16.5703125" bestFit="1" customWidth="1"/>
    <col min="3" max="4" width="13.7109375" customWidth="1"/>
  </cols>
  <sheetData>
    <row r="1" spans="1:3" x14ac:dyDescent="0.25">
      <c r="A1" s="6" t="s">
        <v>51</v>
      </c>
    </row>
    <row r="2" spans="1:3" ht="17.25" x14ac:dyDescent="0.3">
      <c r="A2" s="7" t="s">
        <v>262</v>
      </c>
    </row>
    <row r="3" spans="1:3" x14ac:dyDescent="0.25">
      <c r="A3" s="8" t="s">
        <v>263</v>
      </c>
    </row>
    <row r="4" spans="1:3" x14ac:dyDescent="0.25">
      <c r="A4" s="9" t="s">
        <v>264</v>
      </c>
    </row>
    <row r="6" spans="1:3" x14ac:dyDescent="0.25">
      <c r="A6" s="5" t="s">
        <v>0</v>
      </c>
      <c r="B6" s="10" t="s">
        <v>9</v>
      </c>
      <c r="C6" s="10" t="s">
        <v>265</v>
      </c>
    </row>
    <row r="7" spans="1:3" x14ac:dyDescent="0.25">
      <c r="A7" t="s">
        <v>12</v>
      </c>
      <c r="B7" s="3">
        <v>286</v>
      </c>
      <c r="C7" s="19">
        <v>0.312</v>
      </c>
    </row>
    <row r="8" spans="1:3" x14ac:dyDescent="0.25">
      <c r="A8" t="s">
        <v>24</v>
      </c>
      <c r="B8" s="3">
        <v>252</v>
      </c>
      <c r="C8" s="19">
        <v>0.33100000000000002</v>
      </c>
    </row>
    <row r="9" spans="1:3" x14ac:dyDescent="0.25">
      <c r="A9" t="s">
        <v>30</v>
      </c>
      <c r="B9" s="3">
        <v>269</v>
      </c>
      <c r="C9" s="19">
        <v>0.32</v>
      </c>
    </row>
    <row r="10" spans="1:3" x14ac:dyDescent="0.25">
      <c r="A10" t="s">
        <v>23</v>
      </c>
      <c r="B10" s="3">
        <v>274</v>
      </c>
      <c r="C10" s="19">
        <v>0.32600000000000001</v>
      </c>
    </row>
    <row r="11" spans="1:3" x14ac:dyDescent="0.25">
      <c r="A11" t="s">
        <v>27</v>
      </c>
      <c r="B11" s="3">
        <v>244</v>
      </c>
      <c r="C11" s="19">
        <v>0.33200000000000002</v>
      </c>
    </row>
    <row r="12" spans="1:3" x14ac:dyDescent="0.25">
      <c r="A12" t="s">
        <v>26</v>
      </c>
      <c r="B12" s="3">
        <v>283</v>
      </c>
      <c r="C12" s="19">
        <v>0.30099999999999999</v>
      </c>
    </row>
    <row r="13" spans="1:3" x14ac:dyDescent="0.25">
      <c r="A13" t="s">
        <v>29</v>
      </c>
      <c r="B13" s="3">
        <v>257</v>
      </c>
      <c r="C13" s="19">
        <v>0.31900000000000001</v>
      </c>
    </row>
    <row r="14" spans="1:3" x14ac:dyDescent="0.25">
      <c r="A14" t="s">
        <v>32</v>
      </c>
      <c r="B14" s="3">
        <v>259</v>
      </c>
      <c r="C14" s="19">
        <v>0.30599999999999999</v>
      </c>
    </row>
  </sheetData>
  <hyperlinks>
    <hyperlink ref="A1" location="'Indice'!A1" tooltip="Voltar ao índice" display="« Voltar ao índice" xr:uid="{92B16C50-79C9-4CA2-81FE-49FC83A76354}"/>
  </hyperlink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9365-2F58-4B0D-8DF9-6720BFA992AF}">
  <sheetPr>
    <tabColor rgb="FF1F6B9F"/>
  </sheetPr>
  <dimension ref="A1:E14"/>
  <sheetViews>
    <sheetView workbookViewId="0"/>
  </sheetViews>
  <sheetFormatPr defaultRowHeight="15" x14ac:dyDescent="0.25"/>
  <cols>
    <col min="1" max="1" width="24.7109375" customWidth="1"/>
    <col min="2" max="2" width="16.5703125" bestFit="1" customWidth="1"/>
    <col min="3" max="5" width="13.7109375" customWidth="1"/>
  </cols>
  <sheetData>
    <row r="1" spans="1:5" x14ac:dyDescent="0.25">
      <c r="A1" s="6" t="s">
        <v>51</v>
      </c>
    </row>
    <row r="2" spans="1:5" ht="17.25" x14ac:dyDescent="0.3">
      <c r="A2" s="7" t="s">
        <v>276</v>
      </c>
    </row>
    <row r="3" spans="1:5" x14ac:dyDescent="0.25">
      <c r="A3" s="8" t="s">
        <v>277</v>
      </c>
    </row>
    <row r="4" spans="1:5" x14ac:dyDescent="0.25">
      <c r="A4" s="9" t="s">
        <v>278</v>
      </c>
    </row>
    <row r="6" spans="1:5" x14ac:dyDescent="0.25">
      <c r="A6" s="5" t="s">
        <v>3</v>
      </c>
      <c r="B6" s="10" t="s">
        <v>9</v>
      </c>
      <c r="C6" s="10" t="s">
        <v>265</v>
      </c>
      <c r="D6" s="10" t="s">
        <v>239</v>
      </c>
      <c r="E6" s="10" t="s">
        <v>271</v>
      </c>
    </row>
    <row r="7" spans="1:5" x14ac:dyDescent="0.25">
      <c r="A7" t="s">
        <v>15</v>
      </c>
      <c r="B7" s="3">
        <v>418</v>
      </c>
      <c r="C7" s="19">
        <v>0.221</v>
      </c>
      <c r="D7" s="3">
        <v>43324</v>
      </c>
      <c r="E7" s="3" t="s">
        <v>182</v>
      </c>
    </row>
    <row r="8" spans="1:5" x14ac:dyDescent="0.25">
      <c r="A8" t="s">
        <v>16</v>
      </c>
      <c r="B8" s="3">
        <v>696</v>
      </c>
      <c r="C8" s="19">
        <v>0.33800000000000002</v>
      </c>
      <c r="D8" s="3">
        <v>23770</v>
      </c>
      <c r="E8" s="3" t="s">
        <v>183</v>
      </c>
    </row>
    <row r="9" spans="1:5" x14ac:dyDescent="0.25">
      <c r="A9" t="s">
        <v>17</v>
      </c>
      <c r="B9" s="3">
        <v>361</v>
      </c>
      <c r="C9" s="19">
        <v>0.38100000000000001</v>
      </c>
      <c r="D9" s="3">
        <v>15702</v>
      </c>
      <c r="E9" s="3" t="s">
        <v>183</v>
      </c>
    </row>
    <row r="10" spans="1:5" x14ac:dyDescent="0.25">
      <c r="A10" t="s">
        <v>18</v>
      </c>
      <c r="B10" s="3">
        <v>210</v>
      </c>
      <c r="C10" s="19">
        <v>0.35799999999999998</v>
      </c>
      <c r="D10" s="3">
        <v>12317</v>
      </c>
      <c r="E10" s="3" t="s">
        <v>184</v>
      </c>
    </row>
    <row r="11" spans="1:5" x14ac:dyDescent="0.25">
      <c r="A11" t="s">
        <v>19</v>
      </c>
      <c r="B11" s="3">
        <v>120</v>
      </c>
      <c r="C11" s="19">
        <v>0.4</v>
      </c>
      <c r="D11" s="3">
        <v>11549</v>
      </c>
      <c r="E11" s="3" t="s">
        <v>184</v>
      </c>
    </row>
    <row r="12" spans="1:5" x14ac:dyDescent="0.25">
      <c r="A12" t="s">
        <v>20</v>
      </c>
      <c r="B12" s="3">
        <v>377</v>
      </c>
      <c r="C12" s="19">
        <v>0.29099999999999998</v>
      </c>
      <c r="D12" s="3">
        <v>9250</v>
      </c>
      <c r="E12" s="3" t="s">
        <v>182</v>
      </c>
    </row>
    <row r="13" spans="1:5" x14ac:dyDescent="0.25">
      <c r="A13" t="s">
        <v>21</v>
      </c>
      <c r="B13" s="3">
        <v>160</v>
      </c>
      <c r="C13" s="19">
        <v>0.42899999999999999</v>
      </c>
      <c r="D13" s="3">
        <v>8310</v>
      </c>
      <c r="E13" s="3" t="s">
        <v>184</v>
      </c>
    </row>
    <row r="14" spans="1:5" x14ac:dyDescent="0.25">
      <c r="A14" t="s">
        <v>22</v>
      </c>
      <c r="B14" s="3">
        <v>74</v>
      </c>
      <c r="C14" s="19">
        <v>0.46100000000000002</v>
      </c>
      <c r="D14" s="3">
        <v>5488</v>
      </c>
      <c r="E14" s="3" t="s">
        <v>182</v>
      </c>
    </row>
  </sheetData>
  <hyperlinks>
    <hyperlink ref="A1" location="'Indice'!A1" tooltip="Voltar ao índice" display="« Voltar ao índice" xr:uid="{A81BF64B-69B1-44EA-9098-5688991202E5}"/>
  </hyperlinks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66EF-E32E-421F-AAEF-27934C64C6D6}">
  <sheetPr>
    <tabColor rgb="FF1F6B9F"/>
  </sheetPr>
  <dimension ref="A1:D8"/>
  <sheetViews>
    <sheetView workbookViewId="0"/>
  </sheetViews>
  <sheetFormatPr defaultRowHeight="15" x14ac:dyDescent="0.25"/>
  <cols>
    <col min="1" max="1" width="24.7109375" customWidth="1"/>
    <col min="2" max="2" width="20" bestFit="1" customWidth="1"/>
    <col min="3" max="4" width="13.7109375" customWidth="1"/>
  </cols>
  <sheetData>
    <row r="1" spans="1:4" x14ac:dyDescent="0.25">
      <c r="A1" s="6" t="s">
        <v>51</v>
      </c>
    </row>
    <row r="2" spans="1:4" ht="17.25" x14ac:dyDescent="0.3">
      <c r="A2" s="7" t="s">
        <v>288</v>
      </c>
    </row>
    <row r="3" spans="1:4" x14ac:dyDescent="0.25">
      <c r="A3" s="8" t="s">
        <v>289</v>
      </c>
    </row>
    <row r="4" spans="1:4" x14ac:dyDescent="0.25">
      <c r="A4" s="9" t="s">
        <v>290</v>
      </c>
    </row>
    <row r="6" spans="1:4" x14ac:dyDescent="0.25">
      <c r="A6" s="5" t="s">
        <v>291</v>
      </c>
      <c r="B6" s="10" t="s">
        <v>15</v>
      </c>
      <c r="C6" s="10" t="s">
        <v>16</v>
      </c>
      <c r="D6" s="10" t="s">
        <v>17</v>
      </c>
    </row>
    <row r="7" spans="1:4" x14ac:dyDescent="0.25">
      <c r="A7" s="21">
        <v>2024</v>
      </c>
      <c r="B7" s="3">
        <v>40185</v>
      </c>
      <c r="C7" s="3">
        <v>20173</v>
      </c>
      <c r="D7" s="3">
        <v>14131</v>
      </c>
    </row>
    <row r="8" spans="1:4" x14ac:dyDescent="0.25">
      <c r="A8" s="21">
        <v>2025</v>
      </c>
      <c r="B8" s="3">
        <v>43324</v>
      </c>
      <c r="C8" s="3">
        <v>23770</v>
      </c>
      <c r="D8" s="3">
        <v>15702</v>
      </c>
    </row>
  </sheetData>
  <hyperlinks>
    <hyperlink ref="A1" location="'Indice'!A1" tooltip="Voltar ao índice" display="« Voltar ao índice" xr:uid="{EC433EEB-04A1-462A-AA63-18ADE40E26EE}"/>
  </hyperlinks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39F7-1629-46A2-BF0C-BB5202441375}">
  <sheetPr>
    <tabColor rgb="FF1F6B9F"/>
  </sheetPr>
  <dimension ref="A1:D24"/>
  <sheetViews>
    <sheetView workbookViewId="0"/>
  </sheetViews>
  <sheetFormatPr defaultRowHeight="15" x14ac:dyDescent="0.25"/>
  <cols>
    <col min="1" max="1" width="24.7109375" customWidth="1"/>
    <col min="2" max="2" width="13.7109375" customWidth="1"/>
    <col min="3" max="4" width="16.7109375" customWidth="1"/>
  </cols>
  <sheetData>
    <row r="1" spans="1:4" x14ac:dyDescent="0.25">
      <c r="A1" s="6" t="s">
        <v>51</v>
      </c>
    </row>
    <row r="2" spans="1:4" ht="17.25" x14ac:dyDescent="0.3">
      <c r="A2" s="7" t="s">
        <v>294</v>
      </c>
    </row>
    <row r="3" spans="1:4" x14ac:dyDescent="0.25">
      <c r="A3" s="8" t="s">
        <v>295</v>
      </c>
    </row>
    <row r="4" spans="1:4" x14ac:dyDescent="0.25">
      <c r="A4" s="9" t="s">
        <v>296</v>
      </c>
    </row>
    <row r="6" spans="1:4" x14ac:dyDescent="0.25">
      <c r="A6" s="5" t="s">
        <v>2</v>
      </c>
      <c r="B6" s="10" t="s">
        <v>182</v>
      </c>
      <c r="C6" s="10" t="s">
        <v>183</v>
      </c>
      <c r="D6" s="10" t="s">
        <v>184</v>
      </c>
    </row>
    <row r="7" spans="1:4" x14ac:dyDescent="0.25">
      <c r="A7" t="s">
        <v>14</v>
      </c>
      <c r="B7" s="3">
        <v>16128</v>
      </c>
      <c r="C7" s="3">
        <v>15176</v>
      </c>
      <c r="D7" s="3">
        <v>10960</v>
      </c>
    </row>
    <row r="8" spans="1:4" x14ac:dyDescent="0.25">
      <c r="A8" t="s">
        <v>25</v>
      </c>
      <c r="B8" s="3">
        <v>14703</v>
      </c>
      <c r="C8" s="3">
        <v>11116</v>
      </c>
      <c r="D8" s="3">
        <v>9086</v>
      </c>
    </row>
    <row r="9" spans="1:4" x14ac:dyDescent="0.25">
      <c r="A9" t="s">
        <v>28</v>
      </c>
      <c r="B9" s="3">
        <v>13144</v>
      </c>
      <c r="C9" s="3">
        <v>6289</v>
      </c>
      <c r="D9" s="3">
        <v>6017</v>
      </c>
    </row>
    <row r="10" spans="1:4" x14ac:dyDescent="0.25">
      <c r="A10" t="s">
        <v>31</v>
      </c>
      <c r="B10" s="3">
        <v>8781</v>
      </c>
      <c r="C10" s="3">
        <v>4873</v>
      </c>
      <c r="D10" s="3">
        <v>4002</v>
      </c>
    </row>
    <row r="11" spans="1:4" x14ac:dyDescent="0.25">
      <c r="A11" t="s">
        <v>33</v>
      </c>
      <c r="B11" s="3">
        <v>5306</v>
      </c>
      <c r="C11" s="3">
        <v>2018</v>
      </c>
      <c r="D11" s="3">
        <v>2111</v>
      </c>
    </row>
    <row r="14" spans="1:4" x14ac:dyDescent="0.25">
      <c r="A14" s="5" t="s">
        <v>307</v>
      </c>
    </row>
    <row r="15" spans="1:4" ht="30" x14ac:dyDescent="0.25">
      <c r="A15" s="5" t="s">
        <v>3</v>
      </c>
      <c r="B15" s="10" t="s">
        <v>308</v>
      </c>
      <c r="C15" s="28" t="s">
        <v>309</v>
      </c>
      <c r="D15" s="28" t="s">
        <v>310</v>
      </c>
    </row>
    <row r="16" spans="1:4" x14ac:dyDescent="0.25">
      <c r="A16" t="s">
        <v>15</v>
      </c>
      <c r="B16" s="23">
        <v>0.37246854163746318</v>
      </c>
      <c r="C16" s="24">
        <f>ROUND(B16,2)</f>
        <v>0.37</v>
      </c>
      <c r="D16" s="24">
        <f>ROUND('E23'!$B$16,(2))+POWER(10,-(2))*(IF(ROUND((ROUND(SUM('E23'!$B$16:$B$23),(2))-SUMPRODUCT(ROUND('E23'!$B$16:$B$23,(2))))/POWER(10,-(2)),0)&gt;0,--((SUMPRODUCT(--(ROUND(('E23'!$B$16:$B$23-ROUND('E23'!$B$16:$B$23,(2)))/POWER(10,-(2)),9)&gt;ROUND(('E23'!$B$16-ROUND('E23'!$B$16,(2)))/POWER(10,-(2)),9)))+SUMPRODUCT(--(ROUND(('E23'!$B$16-ROUND('E23'!$B$16,(2)))/POWER(10,-(2)),9)=ROUND(('E23'!$B$16-ROUND('E23'!$B$16,(2)))/POWER(10,-(2)),9))))&lt;=ROUND((ROUND(SUM('E23'!$B$16:$B$23),(2))-SUMPRODUCT(ROUND('E23'!$B$16:$B$23,(2))))/POWER(10,-(2)),0)),0)-IF(ROUND((ROUND(SUM('E23'!$B$16:$B$23),(2))-SUMPRODUCT(ROUND('E23'!$B$16:$B$23,(2))))/POWER(10,-(2)),0)&lt;0,--((SUMPRODUCT(--(ROUND(('E23'!$B$16:$B$23-ROUND('E23'!$B$16:$B$23,(2)))/POWER(10,-(2)),9)&lt;ROUND(('E23'!$B$16-ROUND('E23'!$B$16,(2)))/POWER(10,-(2)),9)))+SUMPRODUCT(--(ROUND(('E23'!$B$16-ROUND('E23'!$B$16,(2)))/POWER(10,-(2)),9)=ROUND(('E23'!$B$16-ROUND('E23'!$B$16,(2)))/POWER(10,-(2)),9))))&lt;=-ROUND((ROUND(SUM('E23'!$B$16:$B$23),(2))-SUMPRODUCT(ROUND('E23'!$B$16:$B$23,(2))))/POWER(10,-(2)),0)),0))</f>
        <v>0.37</v>
      </c>
    </row>
    <row r="17" spans="1:4" x14ac:dyDescent="0.25">
      <c r="A17" t="s">
        <v>16</v>
      </c>
      <c r="B17" s="23">
        <v>0.16658819598131541</v>
      </c>
      <c r="C17" s="24">
        <f>ROUND(B17,2)</f>
        <v>0.17</v>
      </c>
      <c r="D17" s="24">
        <f>ROUND('E23'!$B$17,(2))+POWER(10,-(2))*(IF(ROUND((ROUND(SUM('E23'!$B$16:$B$23),(2))-SUMPRODUCT(ROUND('E23'!$B$16:$B$23,(2))))/POWER(10,-(2)),0)&gt;0,--((SUMPRODUCT(--(ROUND(('E23'!$B$16:$B$23-ROUND('E23'!$B$16:$B$23,(2)))/POWER(10,-(2)),9)&gt;ROUND(('E23'!$B$17-ROUND('E23'!$B$17,(2)))/POWER(10,-(2)),9)))+SUMPRODUCT(--(ROUND(('E23'!$B$16:$B$17-ROUND('E23'!$B$16:$B$17,(2)))/POWER(10,-(2)),9)=ROUND(('E23'!$B$17-ROUND('E23'!$B$17,(2)))/POWER(10,-(2)),9))))&lt;=ROUND((ROUND(SUM('E23'!$B$16:$B$23),(2))-SUMPRODUCT(ROUND('E23'!$B$16:$B$23,(2))))/POWER(10,-(2)),0)),0)-IF(ROUND((ROUND(SUM('E23'!$B$16:$B$23),(2))-SUMPRODUCT(ROUND('E23'!$B$16:$B$23,(2))))/POWER(10,-(2)),0)&lt;0,--((SUMPRODUCT(--(ROUND(('E23'!$B$16:$B$23-ROUND('E23'!$B$16:$B$23,(2)))/POWER(10,-(2)),9)&lt;ROUND(('E23'!$B$17-ROUND('E23'!$B$17,(2)))/POWER(10,-(2)),9)))+SUMPRODUCT(--(ROUND(('E23'!$B$16:$B$17-ROUND('E23'!$B$16:$B$17,(2)))/POWER(10,-(2)),9)=ROUND(('E23'!$B$17-ROUND('E23'!$B$17,(2)))/POWER(10,-(2)),9))))&lt;=-ROUND((ROUND(SUM('E23'!$B$16:$B$23),(2))-SUMPRODUCT(ROUND('E23'!$B$16:$B$23,(2))))/POWER(10,-(2)),0)),0))</f>
        <v>0.17</v>
      </c>
    </row>
    <row r="18" spans="1:4" x14ac:dyDescent="0.25">
      <c r="A18" t="s">
        <v>17</v>
      </c>
      <c r="B18" s="23">
        <v>0.10943055655850399</v>
      </c>
      <c r="C18" s="24">
        <f>ROUND(B18,2)</f>
        <v>0.11</v>
      </c>
      <c r="D18" s="24">
        <f>ROUND('E23'!$B$18,(2))+POWER(10,-(2))*(IF(ROUND((ROUND(SUM('E23'!$B$16:$B$23),(2))-SUMPRODUCT(ROUND('E23'!$B$16:$B$23,(2))))/POWER(10,-(2)),0)&gt;0,--((SUMPRODUCT(--(ROUND(('E23'!$B$16:$B$23-ROUND('E23'!$B$16:$B$23,(2)))/POWER(10,-(2)),9)&gt;ROUND(('E23'!$B$18-ROUND('E23'!$B$18,(2)))/POWER(10,-(2)),9)))+SUMPRODUCT(--(ROUND(('E23'!$B$16:$B$18-ROUND('E23'!$B$16:$B$18,(2)))/POWER(10,-(2)),9)=ROUND(('E23'!$B$18-ROUND('E23'!$B$18,(2)))/POWER(10,-(2)),9))))&lt;=ROUND((ROUND(SUM('E23'!$B$16:$B$23),(2))-SUMPRODUCT(ROUND('E23'!$B$16:$B$23,(2))))/POWER(10,-(2)),0)),0)-IF(ROUND((ROUND(SUM('E23'!$B$16:$B$23),(2))-SUMPRODUCT(ROUND('E23'!$B$16:$B$23,(2))))/POWER(10,-(2)),0)&lt;0,--((SUMPRODUCT(--(ROUND(('E23'!$B$16:$B$23-ROUND('E23'!$B$16:$B$23,(2)))/POWER(10,-(2)),9)&lt;ROUND(('E23'!$B$18-ROUND('E23'!$B$18,(2)))/POWER(10,-(2)),9)))+SUMPRODUCT(--(ROUND(('E23'!$B$16:$B$18-ROUND('E23'!$B$16:$B$18,(2)))/POWER(10,-(2)),9)=ROUND(('E23'!$B$18-ROUND('E23'!$B$18,(2)))/POWER(10,-(2)),9))))&lt;=-ROUND((ROUND(SUM('E23'!$B$16:$B$23),(2))-SUMPRODUCT(ROUND('E23'!$B$16:$B$23,(2))))/POWER(10,-(2)),0)),0))</f>
        <v>0.11</v>
      </c>
    </row>
    <row r="19" spans="1:4" x14ac:dyDescent="0.25">
      <c r="A19" t="s">
        <v>18</v>
      </c>
      <c r="B19" s="23">
        <v>8.6101909944198307E-2</v>
      </c>
      <c r="C19" s="24">
        <f>ROUND(B19,2)</f>
        <v>0.09</v>
      </c>
      <c r="D19" s="24">
        <f>ROUND('E23'!$B$19,(2))+POWER(10,-(2))*(IF(ROUND((ROUND(SUM('E23'!$B$16:$B$23),(2))-SUMPRODUCT(ROUND('E23'!$B$16:$B$23,(2))))/POWER(10,-(2)),0)&gt;0,--((SUMPRODUCT(--(ROUND(('E23'!$B$16:$B$23-ROUND('E23'!$B$16:$B$23,(2)))/POWER(10,-(2)),9)&gt;ROUND(('E23'!$B$19-ROUND('E23'!$B$19,(2)))/POWER(10,-(2)),9)))+SUMPRODUCT(--(ROUND(('E23'!$B$16:$B$19-ROUND('E23'!$B$16:$B$19,(2)))/POWER(10,-(2)),9)=ROUND(('E23'!$B$19-ROUND('E23'!$B$19,(2)))/POWER(10,-(2)),9))))&lt;=ROUND((ROUND(SUM('E23'!$B$16:$B$23),(2))-SUMPRODUCT(ROUND('E23'!$B$16:$B$23,(2))))/POWER(10,-(2)),0)),0)-IF(ROUND((ROUND(SUM('E23'!$B$16:$B$23),(2))-SUMPRODUCT(ROUND('E23'!$B$16:$B$23,(2))))/POWER(10,-(2)),0)&lt;0,--((SUMPRODUCT(--(ROUND(('E23'!$B$16:$B$23-ROUND('E23'!$B$16:$B$23,(2)))/POWER(10,-(2)),9)&lt;ROUND(('E23'!$B$19-ROUND('E23'!$B$19,(2)))/POWER(10,-(2)),9)))+SUMPRODUCT(--(ROUND(('E23'!$B$16:$B$19-ROUND('E23'!$B$16:$B$19,(2)))/POWER(10,-(2)),9)=ROUND(('E23'!$B$19-ROUND('E23'!$B$19,(2)))/POWER(10,-(2)),9))))&lt;=-ROUND((ROUND(SUM('E23'!$B$16:$B$23),(2))-SUMPRODUCT(ROUND('E23'!$B$16:$B$23,(2))))/POWER(10,-(2)),0)),0))</f>
        <v>0.08</v>
      </c>
    </row>
    <row r="20" spans="1:4" x14ac:dyDescent="0.25">
      <c r="A20" t="s">
        <v>19</v>
      </c>
      <c r="B20" s="23">
        <v>8.1516061570178308E-2</v>
      </c>
      <c r="C20" s="24">
        <f>ROUND(B20,2)</f>
        <v>0.08</v>
      </c>
      <c r="D20" s="24">
        <f>ROUND('E23'!$B$20,(2))+POWER(10,-(2))*(IF(ROUND((ROUND(SUM('E23'!$B$16:$B$23),(2))-SUMPRODUCT(ROUND('E23'!$B$16:$B$23,(2))))/POWER(10,-(2)),0)&gt;0,--((SUMPRODUCT(--(ROUND(('E23'!$B$16:$B$23-ROUND('E23'!$B$16:$B$23,(2)))/POWER(10,-(2)),9)&gt;ROUND(('E23'!$B$20-ROUND('E23'!$B$20,(2)))/POWER(10,-(2)),9)))+SUMPRODUCT(--(ROUND(('E23'!$B$16:$B$20-ROUND('E23'!$B$16:$B$20,(2)))/POWER(10,-(2)),9)=ROUND(('E23'!$B$20-ROUND('E23'!$B$20,(2)))/POWER(10,-(2)),9))))&lt;=ROUND((ROUND(SUM('E23'!$B$16:$B$23),(2))-SUMPRODUCT(ROUND('E23'!$B$16:$B$23,(2))))/POWER(10,-(2)),0)),0)-IF(ROUND((ROUND(SUM('E23'!$B$16:$B$23),(2))-SUMPRODUCT(ROUND('E23'!$B$16:$B$23,(2))))/POWER(10,-(2)),0)&lt;0,--((SUMPRODUCT(--(ROUND(('E23'!$B$16:$B$23-ROUND('E23'!$B$16:$B$23,(2)))/POWER(10,-(2)),9)&lt;ROUND(('E23'!$B$20-ROUND('E23'!$B$20,(2)))/POWER(10,-(2)),9)))+SUMPRODUCT(--(ROUND(('E23'!$B$16:$B$20-ROUND('E23'!$B$16:$B$20,(2)))/POWER(10,-(2)),9)=ROUND(('E23'!$B$20-ROUND('E23'!$B$20,(2)))/POWER(10,-(2)),9))))&lt;=-ROUND((ROUND(SUM('E23'!$B$16:$B$23),(2))-SUMPRODUCT(ROUND('E23'!$B$16:$B$23,(2))))/POWER(10,-(2)),0)),0))</f>
        <v>0.08</v>
      </c>
    </row>
    <row r="21" spans="1:4" x14ac:dyDescent="0.25">
      <c r="A21" t="s">
        <v>20</v>
      </c>
      <c r="B21" s="23">
        <v>7.7419784184376381E-2</v>
      </c>
      <c r="C21" s="24">
        <f>ROUND(B21,2)</f>
        <v>0.08</v>
      </c>
      <c r="D21" s="24">
        <f>ROUND('E23'!$B$21,(2))+POWER(10,-(2))*(IF(ROUND((ROUND(SUM('E23'!$B$16:$B$23),(2))-SUMPRODUCT(ROUND('E23'!$B$16:$B$23,(2))))/POWER(10,-(2)),0)&gt;0,--((SUMPRODUCT(--(ROUND(('E23'!$B$16:$B$23-ROUND('E23'!$B$16:$B$23,(2)))/POWER(10,-(2)),9)&gt;ROUND(('E23'!$B$21-ROUND('E23'!$B$21,(2)))/POWER(10,-(2)),9)))+SUMPRODUCT(--(ROUND(('E23'!$B$16:$B$21-ROUND('E23'!$B$16:$B$21,(2)))/POWER(10,-(2)),9)=ROUND(('E23'!$B$21-ROUND('E23'!$B$21,(2)))/POWER(10,-(2)),9))))&lt;=ROUND((ROUND(SUM('E23'!$B$16:$B$23),(2))-SUMPRODUCT(ROUND('E23'!$B$16:$B$23,(2))))/POWER(10,-(2)),0)),0)-IF(ROUND((ROUND(SUM('E23'!$B$16:$B$23),(2))-SUMPRODUCT(ROUND('E23'!$B$16:$B$23,(2))))/POWER(10,-(2)),0)&lt;0,--((SUMPRODUCT(--(ROUND(('E23'!$B$16:$B$23-ROUND('E23'!$B$16:$B$23,(2)))/POWER(10,-(2)),9)&lt;ROUND(('E23'!$B$21-ROUND('E23'!$B$21,(2)))/POWER(10,-(2)),9)))+SUMPRODUCT(--(ROUND(('E23'!$B$16:$B$21-ROUND('E23'!$B$16:$B$21,(2)))/POWER(10,-(2)),9)=ROUND(('E23'!$B$21-ROUND('E23'!$B$21,(2)))/POWER(10,-(2)),9))))&lt;=-ROUND((ROUND(SUM('E23'!$B$16:$B$23),(2))-SUMPRODUCT(ROUND('E23'!$B$16:$B$23,(2))))/POWER(10,-(2)),0)),0))</f>
        <v>0.08</v>
      </c>
    </row>
    <row r="22" spans="1:4" x14ac:dyDescent="0.25">
      <c r="A22" t="s">
        <v>21</v>
      </c>
      <c r="B22" s="23">
        <v>5.9054472135260695E-2</v>
      </c>
      <c r="C22" s="24">
        <f>ROUND(B22,2)</f>
        <v>0.06</v>
      </c>
      <c r="D22" s="24">
        <f>ROUND('E23'!$B$22,(2))+POWER(10,-(2))*(IF(ROUND((ROUND(SUM('E23'!$B$16:$B$23),(2))-SUMPRODUCT(ROUND('E23'!$B$16:$B$23,(2))))/POWER(10,-(2)),0)&gt;0,--((SUMPRODUCT(--(ROUND(('E23'!$B$16:$B$23-ROUND('E23'!$B$16:$B$23,(2)))/POWER(10,-(2)),9)&gt;ROUND(('E23'!$B$22-ROUND('E23'!$B$22,(2)))/POWER(10,-(2)),9)))+SUMPRODUCT(--(ROUND(('E23'!$B$16:$B$22-ROUND('E23'!$B$16:$B$22,(2)))/POWER(10,-(2)),9)=ROUND(('E23'!$B$22-ROUND('E23'!$B$22,(2)))/POWER(10,-(2)),9))))&lt;=ROUND((ROUND(SUM('E23'!$B$16:$B$23),(2))-SUMPRODUCT(ROUND('E23'!$B$16:$B$23,(2))))/POWER(10,-(2)),0)),0)-IF(ROUND((ROUND(SUM('E23'!$B$16:$B$23),(2))-SUMPRODUCT(ROUND('E23'!$B$16:$B$23,(2))))/POWER(10,-(2)),0)&lt;0,--((SUMPRODUCT(--(ROUND(('E23'!$B$16:$B$23-ROUND('E23'!$B$16:$B$23,(2)))/POWER(10,-(2)),9)&lt;ROUND(('E23'!$B$22-ROUND('E23'!$B$22,(2)))/POWER(10,-(2)),9)))+SUMPRODUCT(--(ROUND(('E23'!$B$16:$B$22-ROUND('E23'!$B$16:$B$22,(2)))/POWER(10,-(2)),9)=ROUND(('E23'!$B$22-ROUND('E23'!$B$22,(2)))/POWER(10,-(2)),9))))&lt;=-ROUND((ROUND(SUM('E23'!$B$16:$B$23),(2))-SUMPRODUCT(ROUND('E23'!$B$16:$B$23,(2))))/POWER(10,-(2)),0)),0))</f>
        <v>0.06</v>
      </c>
    </row>
    <row r="23" spans="1:4" x14ac:dyDescent="0.25">
      <c r="A23" t="s">
        <v>22</v>
      </c>
      <c r="B23" s="23">
        <v>4.7420477988703733E-2</v>
      </c>
      <c r="C23" s="24">
        <f>ROUND(B23,2)</f>
        <v>0.05</v>
      </c>
      <c r="D23" s="24">
        <f>ROUND('E23'!$B$23,(2))+POWER(10,-(2))*(IF(ROUND((ROUND(SUM('E23'!$B$16:$B$23),(2))-SUMPRODUCT(ROUND('E23'!$B$16:$B$23,(2))))/POWER(10,-(2)),0)&gt;0,--((SUMPRODUCT(--(ROUND(('E23'!$B$16:$B$23-ROUND('E23'!$B$16:$B$23,(2)))/POWER(10,-(2)),9)&gt;ROUND(('E23'!$B$23-ROUND('E23'!$B$23,(2)))/POWER(10,-(2)),9)))+SUMPRODUCT(--(ROUND(('E23'!$B$16:$B$23-ROUND('E23'!$B$16:$B$23,(2)))/POWER(10,-(2)),9)=ROUND(('E23'!$B$23-ROUND('E23'!$B$23,(2)))/POWER(10,-(2)),9))))&lt;=ROUND((ROUND(SUM('E23'!$B$16:$B$23),(2))-SUMPRODUCT(ROUND('E23'!$B$16:$B$23,(2))))/POWER(10,-(2)),0)),0)-IF(ROUND((ROUND(SUM('E23'!$B$16:$B$23),(2))-SUMPRODUCT(ROUND('E23'!$B$16:$B$23,(2))))/POWER(10,-(2)),0)&lt;0,--((SUMPRODUCT(--(ROUND(('E23'!$B$16:$B$23-ROUND('E23'!$B$16:$B$23,(2)))/POWER(10,-(2)),9)&lt;ROUND(('E23'!$B$23-ROUND('E23'!$B$23,(2)))/POWER(10,-(2)),9)))+SUMPRODUCT(--(ROUND(('E23'!$B$16:$B$23-ROUND('E23'!$B$16:$B$23,(2)))/POWER(10,-(2)),9)=ROUND(('E23'!$B$23-ROUND('E23'!$B$23,(2)))/POWER(10,-(2)),9))))&lt;=-ROUND((ROUND(SUM('E23'!$B$16:$B$23),(2))-SUMPRODUCT(ROUND('E23'!$B$16:$B$23,(2))))/POWER(10,-(2)),0)),0))</f>
        <v>0.05</v>
      </c>
    </row>
    <row r="24" spans="1:4" x14ac:dyDescent="0.25">
      <c r="A24" s="25" t="s">
        <v>61</v>
      </c>
      <c r="B24" s="26">
        <f>SUM(B16:B23)</f>
        <v>1</v>
      </c>
      <c r="C24" s="27">
        <f>SUM(C16:C23)</f>
        <v>1.01</v>
      </c>
      <c r="D24" s="27">
        <f>SUM(D16:D23)</f>
        <v>1</v>
      </c>
    </row>
  </sheetData>
  <hyperlinks>
    <hyperlink ref="A1" location="'Indice'!A1" tooltip="Voltar ao índice" display="« Voltar ao índice" xr:uid="{3FEF7636-2179-40A0-9B56-BB54EA61B418}"/>
  </hyperlinks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B071-C344-477A-86CC-361A4F42496B}">
  <sheetPr>
    <tabColor rgb="FF1F6B9F"/>
  </sheetPr>
  <dimension ref="A1:C14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3" x14ac:dyDescent="0.25">
      <c r="A1" s="6" t="s">
        <v>51</v>
      </c>
    </row>
    <row r="2" spans="1:3" ht="17.25" x14ac:dyDescent="0.3">
      <c r="A2" s="7" t="s">
        <v>311</v>
      </c>
    </row>
    <row r="3" spans="1:3" x14ac:dyDescent="0.25">
      <c r="A3" s="8" t="s">
        <v>312</v>
      </c>
    </row>
    <row r="4" spans="1:3" x14ac:dyDescent="0.25">
      <c r="A4" s="9" t="s">
        <v>313</v>
      </c>
    </row>
    <row r="6" spans="1:3" x14ac:dyDescent="0.25">
      <c r="A6" s="5" t="s">
        <v>3</v>
      </c>
      <c r="B6" s="10" t="s">
        <v>55</v>
      </c>
      <c r="C6" s="10" t="s">
        <v>56</v>
      </c>
    </row>
    <row r="7" spans="1:3" x14ac:dyDescent="0.25">
      <c r="A7" t="s">
        <v>15</v>
      </c>
      <c r="B7" s="3">
        <v>29255</v>
      </c>
      <c r="C7" s="3">
        <v>14069</v>
      </c>
    </row>
    <row r="8" spans="1:3" x14ac:dyDescent="0.25">
      <c r="A8" t="s">
        <v>16</v>
      </c>
      <c r="B8" s="3">
        <v>15725</v>
      </c>
      <c r="C8" s="3">
        <v>8045</v>
      </c>
    </row>
    <row r="9" spans="1:3" x14ac:dyDescent="0.25">
      <c r="A9" t="s">
        <v>17</v>
      </c>
      <c r="B9" s="3">
        <v>10401</v>
      </c>
      <c r="C9" s="3">
        <v>5301</v>
      </c>
    </row>
    <row r="10" spans="1:3" x14ac:dyDescent="0.25">
      <c r="A10" t="s">
        <v>18</v>
      </c>
      <c r="B10" s="3">
        <v>8241</v>
      </c>
      <c r="C10" s="3">
        <v>4076</v>
      </c>
    </row>
    <row r="11" spans="1:3" x14ac:dyDescent="0.25">
      <c r="A11" t="s">
        <v>19</v>
      </c>
      <c r="B11" s="3">
        <v>7705</v>
      </c>
      <c r="C11" s="3">
        <v>3844</v>
      </c>
    </row>
    <row r="12" spans="1:3" x14ac:dyDescent="0.25">
      <c r="A12" t="s">
        <v>20</v>
      </c>
      <c r="B12" s="3">
        <v>6234</v>
      </c>
      <c r="C12" s="3">
        <v>3016</v>
      </c>
    </row>
    <row r="13" spans="1:3" x14ac:dyDescent="0.25">
      <c r="A13" t="s">
        <v>21</v>
      </c>
      <c r="B13" s="3">
        <v>5530</v>
      </c>
      <c r="C13" s="3">
        <v>2780</v>
      </c>
    </row>
    <row r="14" spans="1:3" x14ac:dyDescent="0.25">
      <c r="A14" t="s">
        <v>22</v>
      </c>
      <c r="B14" s="3">
        <v>3696</v>
      </c>
      <c r="C14" s="3">
        <v>1792</v>
      </c>
    </row>
  </sheetData>
  <hyperlinks>
    <hyperlink ref="A1" location="'Indice'!A1" tooltip="Voltar ao índice" display="« Voltar ao índice" xr:uid="{0423FCF6-F469-44CD-B2D4-302ABCD93A29}"/>
  </hyperlinks>
  <pageMargins left="0.511811024" right="0.511811024" top="0.78740157499999996" bottom="0.78740157499999996" header="0.31496062000000002" footer="0.31496062000000002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89B6-A9E3-4AB7-BE73-26960BA7B77E}">
  <sheetPr>
    <tabColor rgb="FF1F6B9F"/>
  </sheetPr>
  <dimension ref="A1:L13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12" x14ac:dyDescent="0.25">
      <c r="A1" s="6" t="s">
        <v>51</v>
      </c>
    </row>
    <row r="2" spans="1:12" ht="17.25" x14ac:dyDescent="0.3">
      <c r="A2" s="7" t="s">
        <v>317</v>
      </c>
    </row>
    <row r="3" spans="1:12" x14ac:dyDescent="0.25">
      <c r="A3" s="8" t="s">
        <v>318</v>
      </c>
    </row>
    <row r="4" spans="1:12" x14ac:dyDescent="0.25">
      <c r="A4" s="9" t="s">
        <v>319</v>
      </c>
    </row>
    <row r="5" spans="1:12" x14ac:dyDescent="0.25">
      <c r="E5" s="5" t="s">
        <v>323</v>
      </c>
      <c r="L5" s="5" t="s">
        <v>324</v>
      </c>
    </row>
    <row r="6" spans="1:12" x14ac:dyDescent="0.25">
      <c r="A6" s="5" t="s">
        <v>12</v>
      </c>
      <c r="B6" s="10" t="s">
        <v>84</v>
      </c>
      <c r="C6" s="10" t="s">
        <v>85</v>
      </c>
    </row>
    <row r="7" spans="1:12" x14ac:dyDescent="0.25">
      <c r="A7" s="21">
        <v>2024</v>
      </c>
      <c r="B7" s="3">
        <v>23324</v>
      </c>
      <c r="C7" s="3">
        <v>16040</v>
      </c>
    </row>
    <row r="8" spans="1:12" x14ac:dyDescent="0.25">
      <c r="A8" s="21">
        <v>2025</v>
      </c>
      <c r="B8" s="3">
        <v>26200</v>
      </c>
      <c r="C8" s="3">
        <v>18013</v>
      </c>
    </row>
    <row r="11" spans="1:12" x14ac:dyDescent="0.25">
      <c r="A11" s="5" t="s">
        <v>32</v>
      </c>
      <c r="B11" s="10" t="s">
        <v>84</v>
      </c>
      <c r="C11" s="10" t="s">
        <v>85</v>
      </c>
    </row>
    <row r="12" spans="1:12" x14ac:dyDescent="0.25">
      <c r="A12" s="21">
        <v>2024</v>
      </c>
      <c r="B12" s="3">
        <v>8715</v>
      </c>
      <c r="C12" s="3">
        <v>6052</v>
      </c>
    </row>
    <row r="13" spans="1:12" x14ac:dyDescent="0.25">
      <c r="A13" s="21">
        <v>2025</v>
      </c>
      <c r="B13" s="3">
        <v>9435</v>
      </c>
      <c r="C13" s="3">
        <v>6546</v>
      </c>
    </row>
  </sheetData>
  <hyperlinks>
    <hyperlink ref="A1" location="'Indice'!A1" tooltip="Voltar ao índice" display="« Voltar ao índice" xr:uid="{CF93BCE9-8825-45C6-99EA-51DF5DB75C51}"/>
  </hyperlinks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F992-D43B-493C-B81D-7E5A556A9FF2}">
  <sheetPr>
    <tabColor rgb="FF1F6B9F"/>
  </sheetPr>
  <dimension ref="A1:B18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2" x14ac:dyDescent="0.25">
      <c r="A1" s="6" t="s">
        <v>51</v>
      </c>
    </row>
    <row r="2" spans="1:2" ht="17.25" x14ac:dyDescent="0.3">
      <c r="A2" s="7" t="s">
        <v>325</v>
      </c>
    </row>
    <row r="3" spans="1:2" x14ac:dyDescent="0.25">
      <c r="A3" s="8" t="s">
        <v>326</v>
      </c>
    </row>
    <row r="4" spans="1:2" x14ac:dyDescent="0.25">
      <c r="A4" s="9" t="s">
        <v>327</v>
      </c>
    </row>
    <row r="6" spans="1:2" x14ac:dyDescent="0.25">
      <c r="A6" s="5" t="s">
        <v>4</v>
      </c>
      <c r="B6" s="10" t="s">
        <v>84</v>
      </c>
    </row>
    <row r="7" spans="1:2" x14ac:dyDescent="0.25">
      <c r="A7" s="16">
        <v>45658</v>
      </c>
      <c r="B7" s="3">
        <v>2072</v>
      </c>
    </row>
    <row r="8" spans="1:2" x14ac:dyDescent="0.25">
      <c r="A8" s="16">
        <v>45689</v>
      </c>
      <c r="B8" s="3">
        <v>1976</v>
      </c>
    </row>
    <row r="9" spans="1:2" x14ac:dyDescent="0.25">
      <c r="A9" s="16">
        <v>45717</v>
      </c>
      <c r="B9" s="3">
        <v>1903</v>
      </c>
    </row>
    <row r="10" spans="1:2" x14ac:dyDescent="0.25">
      <c r="A10" s="16">
        <v>45748</v>
      </c>
      <c r="B10" s="3">
        <v>1890</v>
      </c>
    </row>
    <row r="11" spans="1:2" x14ac:dyDescent="0.25">
      <c r="A11" s="16">
        <v>45778</v>
      </c>
      <c r="B11" s="3">
        <v>1950</v>
      </c>
    </row>
    <row r="12" spans="1:2" x14ac:dyDescent="0.25">
      <c r="A12" s="16">
        <v>45809</v>
      </c>
      <c r="B12" s="3">
        <v>2094</v>
      </c>
    </row>
    <row r="13" spans="1:2" x14ac:dyDescent="0.25">
      <c r="A13" s="16">
        <v>45839</v>
      </c>
      <c r="B13" s="3">
        <v>2248</v>
      </c>
    </row>
    <row r="14" spans="1:2" x14ac:dyDescent="0.25">
      <c r="A14" s="16">
        <v>45870</v>
      </c>
      <c r="B14" s="3">
        <v>2332</v>
      </c>
    </row>
    <row r="15" spans="1:2" x14ac:dyDescent="0.25">
      <c r="A15" s="16">
        <v>45901</v>
      </c>
      <c r="B15" s="3">
        <v>2372</v>
      </c>
    </row>
    <row r="16" spans="1:2" x14ac:dyDescent="0.25">
      <c r="A16" s="16">
        <v>45931</v>
      </c>
      <c r="B16" s="3">
        <v>2444</v>
      </c>
    </row>
    <row r="17" spans="1:2" x14ac:dyDescent="0.25">
      <c r="A17" s="16">
        <v>45962</v>
      </c>
      <c r="B17" s="3">
        <v>2467</v>
      </c>
    </row>
    <row r="18" spans="1:2" x14ac:dyDescent="0.25">
      <c r="A18" s="16">
        <v>45992</v>
      </c>
      <c r="B18" s="3">
        <v>2450</v>
      </c>
    </row>
  </sheetData>
  <hyperlinks>
    <hyperlink ref="A1" location="'Indice'!A1" tooltip="Voltar ao índice" display="« Voltar ao índice" xr:uid="{05DE946E-AA51-4DF7-B02D-182B306C42C9}"/>
  </hyperlinks>
  <pageMargins left="0.511811024" right="0.511811024" top="0.78740157499999996" bottom="0.78740157499999996" header="0.31496062000000002" footer="0.31496062000000002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638F-9691-4A92-961F-DBCD2A26568A}">
  <sheetPr>
    <tabColor rgb="FF1F6B9F"/>
  </sheetPr>
  <dimension ref="A1:C13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3" x14ac:dyDescent="0.25">
      <c r="A1" s="6" t="s">
        <v>51</v>
      </c>
    </row>
    <row r="2" spans="1:3" ht="17.25" x14ac:dyDescent="0.3">
      <c r="A2" s="7" t="s">
        <v>330</v>
      </c>
    </row>
    <row r="3" spans="1:3" x14ac:dyDescent="0.25">
      <c r="A3" s="8" t="s">
        <v>331</v>
      </c>
    </row>
    <row r="4" spans="1:3" x14ac:dyDescent="0.25">
      <c r="A4" s="9" t="s">
        <v>332</v>
      </c>
    </row>
    <row r="6" spans="1:3" x14ac:dyDescent="0.25">
      <c r="A6" s="5" t="s">
        <v>92</v>
      </c>
      <c r="B6" s="10">
        <v>2024</v>
      </c>
      <c r="C6" s="10">
        <v>2025</v>
      </c>
    </row>
    <row r="7" spans="1:3" x14ac:dyDescent="0.25">
      <c r="A7" t="s">
        <v>94</v>
      </c>
      <c r="B7" s="13">
        <v>117.2</v>
      </c>
      <c r="C7" s="13">
        <v>129.69999999999999</v>
      </c>
    </row>
    <row r="8" spans="1:3" x14ac:dyDescent="0.25">
      <c r="A8" t="s">
        <v>95</v>
      </c>
      <c r="B8" s="13">
        <v>-79.900000000000006</v>
      </c>
      <c r="C8" s="13">
        <v>-88.3</v>
      </c>
    </row>
    <row r="9" spans="1:3" x14ac:dyDescent="0.25">
      <c r="A9" t="s">
        <v>96</v>
      </c>
      <c r="B9" s="13">
        <v>-24.6</v>
      </c>
      <c r="C9" s="13">
        <v>-27.2</v>
      </c>
    </row>
    <row r="10" spans="1:3" x14ac:dyDescent="0.25">
      <c r="A10" t="s">
        <v>97</v>
      </c>
      <c r="B10" s="13" t="s">
        <v>98</v>
      </c>
      <c r="C10" s="13" t="s">
        <v>98</v>
      </c>
    </row>
    <row r="11" spans="1:3" x14ac:dyDescent="0.25">
      <c r="A11" t="s">
        <v>99</v>
      </c>
      <c r="B11" s="13">
        <v>-2.9</v>
      </c>
      <c r="C11" s="13">
        <v>-3.2</v>
      </c>
    </row>
    <row r="12" spans="1:3" x14ac:dyDescent="0.25">
      <c r="A12" t="s">
        <v>100</v>
      </c>
      <c r="B12" s="13">
        <v>-3.3</v>
      </c>
      <c r="C12" s="13">
        <v>-3.7</v>
      </c>
    </row>
    <row r="13" spans="1:3" x14ac:dyDescent="0.25">
      <c r="A13" t="s">
        <v>101</v>
      </c>
      <c r="B13" s="13" t="s">
        <v>98</v>
      </c>
      <c r="C13" s="13" t="s">
        <v>98</v>
      </c>
    </row>
  </sheetData>
  <hyperlinks>
    <hyperlink ref="A1" location="'Indice'!A1" tooltip="Voltar ao índice" display="« Voltar ao índice" xr:uid="{728AC044-7B83-4BB8-9D4B-F837AC563DC0}"/>
  </hyperlinks>
  <pageMargins left="0.511811024" right="0.511811024" top="0.78740157499999996" bottom="0.78740157499999996" header="0.31496062000000002" footer="0.31496062000000002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568A-488C-42B3-B6BE-530330B5DD6C}">
  <sheetPr>
    <tabColor rgb="FF1F6B9F"/>
  </sheetPr>
  <dimension ref="A1:C13"/>
  <sheetViews>
    <sheetView workbookViewId="0"/>
  </sheetViews>
  <sheetFormatPr defaultRowHeight="15" x14ac:dyDescent="0.25"/>
  <cols>
    <col min="1" max="1" width="24.7109375" customWidth="1"/>
    <col min="2" max="4" width="13.7109375" customWidth="1"/>
  </cols>
  <sheetData>
    <row r="1" spans="1:3" x14ac:dyDescent="0.25">
      <c r="A1" s="6" t="s">
        <v>51</v>
      </c>
    </row>
    <row r="2" spans="1:3" ht="17.25" x14ac:dyDescent="0.3">
      <c r="A2" s="7" t="s">
        <v>393</v>
      </c>
    </row>
    <row r="3" spans="1:3" x14ac:dyDescent="0.25">
      <c r="A3" s="8" t="s">
        <v>394</v>
      </c>
    </row>
    <row r="4" spans="1:3" x14ac:dyDescent="0.25">
      <c r="A4" s="9" t="s">
        <v>395</v>
      </c>
    </row>
    <row r="6" spans="1:3" x14ac:dyDescent="0.25">
      <c r="A6" s="5" t="s">
        <v>92</v>
      </c>
      <c r="B6" s="10" t="s">
        <v>12</v>
      </c>
      <c r="C6" s="10" t="s">
        <v>24</v>
      </c>
    </row>
    <row r="7" spans="1:3" x14ac:dyDescent="0.25">
      <c r="A7" t="s">
        <v>94</v>
      </c>
      <c r="B7" s="13">
        <v>26.2</v>
      </c>
      <c r="C7" s="13">
        <v>21.1</v>
      </c>
    </row>
    <row r="8" spans="1:3" x14ac:dyDescent="0.25">
      <c r="A8" t="s">
        <v>95</v>
      </c>
      <c r="B8" s="13">
        <v>-18</v>
      </c>
      <c r="C8" s="13">
        <v>-14.1</v>
      </c>
    </row>
    <row r="9" spans="1:3" x14ac:dyDescent="0.25">
      <c r="A9" t="s">
        <v>96</v>
      </c>
      <c r="B9" s="13">
        <v>-5.5</v>
      </c>
      <c r="C9" s="13">
        <v>-4.4000000000000004</v>
      </c>
    </row>
    <row r="10" spans="1:3" x14ac:dyDescent="0.25">
      <c r="A10" t="s">
        <v>97</v>
      </c>
      <c r="B10" s="13" t="s">
        <v>98</v>
      </c>
      <c r="C10" s="13" t="s">
        <v>98</v>
      </c>
    </row>
    <row r="11" spans="1:3" x14ac:dyDescent="0.25">
      <c r="A11" t="s">
        <v>99</v>
      </c>
      <c r="B11" s="13">
        <v>-0.7</v>
      </c>
      <c r="C11" s="13">
        <v>-0.5</v>
      </c>
    </row>
    <row r="12" spans="1:3" x14ac:dyDescent="0.25">
      <c r="A12" t="s">
        <v>100</v>
      </c>
      <c r="B12" s="13">
        <v>-0.7</v>
      </c>
      <c r="C12" s="13">
        <v>-0.7</v>
      </c>
    </row>
    <row r="13" spans="1:3" x14ac:dyDescent="0.25">
      <c r="A13" t="s">
        <v>101</v>
      </c>
      <c r="B13" s="13" t="s">
        <v>98</v>
      </c>
      <c r="C13" s="13" t="s">
        <v>98</v>
      </c>
    </row>
  </sheetData>
  <hyperlinks>
    <hyperlink ref="A1" location="'Indice'!A1" tooltip="Voltar ao índice" display="« Voltar ao índice" xr:uid="{ADB3086A-68CA-472C-AED0-E146A8BDE928}"/>
  </hyperlinks>
  <pageMargins left="0.511811024" right="0.511811024" top="0.78740157499999996" bottom="0.78740157499999996" header="0.31496062000000002" footer="0.31496062000000002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8510-A382-4CEE-A7D1-2EF701355167}">
  <dimension ref="A1:BF462"/>
  <sheetViews>
    <sheetView workbookViewId="0"/>
  </sheetViews>
  <sheetFormatPr defaultRowHeight="15" x14ac:dyDescent="0.25"/>
  <cols>
    <col min="11" max="11" width="12.5703125" bestFit="1" customWidth="1"/>
  </cols>
  <sheetData>
    <row r="1" spans="1:5" x14ac:dyDescent="0.25">
      <c r="A1" t="s">
        <v>57</v>
      </c>
    </row>
    <row r="3" spans="1:5" x14ac:dyDescent="0.25">
      <c r="A3" s="11" t="s">
        <v>58</v>
      </c>
      <c r="B3" s="5" t="s">
        <v>59</v>
      </c>
      <c r="C3" s="5" t="str">
        <f>"'E01'!$A$6:$C$14"</f>
        <v>'E01'!$A$6:$C$14</v>
      </c>
      <c r="D3" s="11" t="s">
        <v>65</v>
      </c>
      <c r="E3" s="5"/>
    </row>
    <row r="4" spans="1:5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</row>
    <row r="5" spans="1:5" x14ac:dyDescent="0.25">
      <c r="A5" t="str">
        <f>'E01'!$A$7</f>
        <v>Cimento e argamassa</v>
      </c>
      <c r="B5" s="12">
        <f>_xlfn.AGGREGATE(9,6,'E01'!$B$7:$C$7)</f>
        <v>43324</v>
      </c>
      <c r="C5">
        <f>IF(SUMIF('E01'!$B$7:$C$7,"&gt;0")&gt;0,SUMIF('E01'!$B$7:$C$7,"&gt;0"),SUMIF('E01'!$B$7:$C$7,"&lt;0"))</f>
        <v>43324</v>
      </c>
      <c r="D5">
        <f>7.5</f>
        <v>7.5</v>
      </c>
      <c r="E5">
        <f>AVERAGE($B$5:$B$12)</f>
        <v>16213.75</v>
      </c>
    </row>
    <row r="6" spans="1:5" x14ac:dyDescent="0.25">
      <c r="A6" t="str">
        <f>'E01'!$A$8</f>
        <v>Pisos</v>
      </c>
      <c r="B6" s="12">
        <f>_xlfn.AGGREGATE(9,6,'E01'!$B$8:$C$8)</f>
        <v>23770</v>
      </c>
      <c r="C6">
        <f>IF(SUMIF('E01'!$B$8:$C$8,"&gt;0")&gt;0,SUMIF('E01'!$B$8:$C$8,"&gt;0"),SUMIF('E01'!$B$8:$C$8,"&lt;0"))</f>
        <v>23770</v>
      </c>
      <c r="D6">
        <f>6.5</f>
        <v>6.5</v>
      </c>
      <c r="E6">
        <f>AVERAGE($B$5:$B$12)</f>
        <v>16213.75</v>
      </c>
    </row>
    <row r="7" spans="1:5" x14ac:dyDescent="0.25">
      <c r="A7" t="str">
        <f>'E01'!$A$9</f>
        <v>Tintas</v>
      </c>
      <c r="B7" s="12">
        <f>_xlfn.AGGREGATE(9,6,'E01'!$B$9:$C$9)</f>
        <v>15702</v>
      </c>
      <c r="C7">
        <f>IF(SUMIF('E01'!$B$9:$C$9,"&gt;0")&gt;0,SUMIF('E01'!$B$9:$C$9,"&gt;0"),SUMIF('E01'!$B$9:$C$9,"&lt;0"))</f>
        <v>15702</v>
      </c>
      <c r="D7">
        <f>5.5</f>
        <v>5.5</v>
      </c>
      <c r="E7">
        <f>AVERAGE($B$5:$B$12)</f>
        <v>16213.75</v>
      </c>
    </row>
    <row r="8" spans="1:5" x14ac:dyDescent="0.25">
      <c r="A8" t="str">
        <f>'E01'!$A$10</f>
        <v>Hidráulica</v>
      </c>
      <c r="B8" s="12">
        <f>_xlfn.AGGREGATE(9,6,'E01'!$B$10:$C$10)</f>
        <v>12317</v>
      </c>
      <c r="C8">
        <f>IF(SUMIF('E01'!$B$10:$C$10,"&gt;0")&gt;0,SUMIF('E01'!$B$10:$C$10,"&gt;0"),SUMIF('E01'!$B$10:$C$10,"&lt;0"))</f>
        <v>12317</v>
      </c>
      <c r="D8">
        <f>4.5</f>
        <v>4.5</v>
      </c>
      <c r="E8">
        <f>AVERAGE($B$5:$B$12)</f>
        <v>16213.75</v>
      </c>
    </row>
    <row r="9" spans="1:5" x14ac:dyDescent="0.25">
      <c r="A9" t="str">
        <f>'E01'!$A$11</f>
        <v>Elétrica</v>
      </c>
      <c r="B9" s="12">
        <f>_xlfn.AGGREGATE(9,6,'E01'!$B$11:$C$11)</f>
        <v>11549</v>
      </c>
      <c r="C9">
        <f>IF(SUMIF('E01'!$B$11:$C$11,"&gt;0")&gt;0,SUMIF('E01'!$B$11:$C$11,"&gt;0"),SUMIF('E01'!$B$11:$C$11,"&lt;0"))</f>
        <v>11549</v>
      </c>
      <c r="D9">
        <f>3.5</f>
        <v>3.5</v>
      </c>
      <c r="E9">
        <f>AVERAGE($B$5:$B$12)</f>
        <v>16213.75</v>
      </c>
    </row>
    <row r="10" spans="1:5" x14ac:dyDescent="0.25">
      <c r="A10" t="str">
        <f>'E01'!$A$12</f>
        <v>Madeiras</v>
      </c>
      <c r="B10" s="12">
        <f>_xlfn.AGGREGATE(9,6,'E01'!$B$12:$C$12)</f>
        <v>9250</v>
      </c>
      <c r="C10">
        <f>IF(SUMIF('E01'!$B$12:$C$12,"&gt;0")&gt;0,SUMIF('E01'!$B$12:$C$12,"&gt;0"),SUMIF('E01'!$B$12:$C$12,"&lt;0"))</f>
        <v>9250</v>
      </c>
      <c r="D10">
        <f>2.5</f>
        <v>2.5</v>
      </c>
      <c r="E10">
        <f>AVERAGE($B$5:$B$12)</f>
        <v>16213.75</v>
      </c>
    </row>
    <row r="11" spans="1:5" x14ac:dyDescent="0.25">
      <c r="A11" t="str">
        <f>'E01'!$A$13</f>
        <v>Ferramentas</v>
      </c>
      <c r="B11" s="12">
        <f>_xlfn.AGGREGATE(9,6,'E01'!$B$13:$C$13)</f>
        <v>8310</v>
      </c>
      <c r="C11">
        <f>IF(SUMIF('E01'!$B$13:$C$13,"&gt;0")&gt;0,SUMIF('E01'!$B$13:$C$13,"&gt;0"),SUMIF('E01'!$B$13:$C$13,"&lt;0"))</f>
        <v>8310</v>
      </c>
      <c r="D11">
        <f>1.5</f>
        <v>1.5</v>
      </c>
      <c r="E11">
        <f>AVERAGE($B$5:$B$12)</f>
        <v>16213.75</v>
      </c>
    </row>
    <row r="12" spans="1:5" x14ac:dyDescent="0.25">
      <c r="A12" t="str">
        <f>'E01'!$A$14</f>
        <v>Ferragens</v>
      </c>
      <c r="B12" s="12">
        <f>_xlfn.AGGREGATE(9,6,'E01'!$B$14:$C$14)</f>
        <v>5488</v>
      </c>
      <c r="C12">
        <f>IF(SUMIF('E01'!$B$14:$C$14,"&gt;0")&gt;0,SUMIF('E01'!$B$14:$C$14,"&gt;0"),SUMIF('E01'!$B$14:$C$14,"&lt;0"))</f>
        <v>5488</v>
      </c>
      <c r="D12">
        <f>0.5</f>
        <v>0.5</v>
      </c>
      <c r="E12">
        <f>AVERAGE($B$5:$B$12)</f>
        <v>16213.75</v>
      </c>
    </row>
    <row r="14" spans="1:5" x14ac:dyDescent="0.25">
      <c r="A14" s="11" t="s">
        <v>69</v>
      </c>
      <c r="B14" s="5" t="s">
        <v>70</v>
      </c>
      <c r="C14" s="5" t="str">
        <f>"'E02'!$A$6:$C$14"</f>
        <v>'E02'!$A$6:$C$14</v>
      </c>
      <c r="D14" s="11" t="s">
        <v>71</v>
      </c>
      <c r="E14" s="5"/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tr">
        <f>'E02'!$A$7</f>
        <v>Aurora Centro</v>
      </c>
      <c r="B16" s="14">
        <f>_xlfn.AGGREGATE(9,6,'E02'!$B$7:$C$7)</f>
        <v>49.5</v>
      </c>
      <c r="C16">
        <f>B16</f>
        <v>49.5</v>
      </c>
      <c r="D16">
        <f>7.5</f>
        <v>7.5</v>
      </c>
      <c r="E16">
        <f>IFERROR(_xlfn.AGGREGATE(1,6,'E02'!$B$7:$C$14),0)</f>
        <v>15.43125</v>
      </c>
    </row>
    <row r="17" spans="1:7" x14ac:dyDescent="0.25">
      <c r="A17" t="str">
        <f>'E02'!$A$8</f>
        <v>Porto Sereno</v>
      </c>
      <c r="B17" s="14">
        <f>_xlfn.AGGREGATE(9,6,'E02'!$B$8:$C$8)</f>
        <v>39.6</v>
      </c>
      <c r="C17">
        <f>B17</f>
        <v>39.6</v>
      </c>
      <c r="D17">
        <f>6.5</f>
        <v>6.5</v>
      </c>
      <c r="E17">
        <f>IFERROR(_xlfn.AGGREGATE(1,6,'E02'!$B$7:$C$14),0)</f>
        <v>15.43125</v>
      </c>
    </row>
    <row r="18" spans="1:7" x14ac:dyDescent="0.25">
      <c r="A18" t="str">
        <f>'E02'!$A$9</f>
        <v>Campo Dourado</v>
      </c>
      <c r="B18" s="14">
        <f>_xlfn.AGGREGATE(9,6,'E02'!$B$9:$C$9)</f>
        <v>33.9</v>
      </c>
      <c r="C18">
        <f>B18</f>
        <v>33.9</v>
      </c>
      <c r="D18">
        <f>5.5</f>
        <v>5.5</v>
      </c>
      <c r="E18">
        <f>IFERROR(_xlfn.AGGREGATE(1,6,'E02'!$B$7:$C$14),0)</f>
        <v>15.43125</v>
      </c>
    </row>
    <row r="19" spans="1:7" x14ac:dyDescent="0.25">
      <c r="A19" t="str">
        <f>'E02'!$A$10</f>
        <v>Aurora Norte</v>
      </c>
      <c r="B19" s="14">
        <f>_xlfn.AGGREGATE(9,6,'E02'!$B$10:$C$10)</f>
        <v>30.900000000000002</v>
      </c>
      <c r="C19">
        <f>B19</f>
        <v>30.900000000000002</v>
      </c>
      <c r="D19">
        <f>4.5</f>
        <v>4.5</v>
      </c>
      <c r="E19">
        <f>IFERROR(_xlfn.AGGREGATE(1,6,'E02'!$B$7:$C$14),0)</f>
        <v>15.43125</v>
      </c>
    </row>
    <row r="20" spans="1:7" x14ac:dyDescent="0.25">
      <c r="A20" t="str">
        <f>'E02'!$A$11</f>
        <v>Lago Prateado</v>
      </c>
      <c r="B20" s="14">
        <f>_xlfn.AGGREGATE(9,6,'E02'!$B$11:$C$11)</f>
        <v>27.9</v>
      </c>
      <c r="C20">
        <f>B20</f>
        <v>27.9</v>
      </c>
      <c r="D20">
        <f>3.5</f>
        <v>3.5</v>
      </c>
      <c r="E20">
        <f>IFERROR(_xlfn.AGGREGATE(1,6,'E02'!$B$7:$C$14),0)</f>
        <v>15.43125</v>
      </c>
    </row>
    <row r="21" spans="1:7" x14ac:dyDescent="0.25">
      <c r="A21" t="str">
        <f>'E02'!$A$12</f>
        <v>Serra Clara</v>
      </c>
      <c r="B21" s="14">
        <f>_xlfn.AGGREGATE(9,6,'E02'!$B$12:$C$12)</f>
        <v>25.9</v>
      </c>
      <c r="C21">
        <f>B21</f>
        <v>25.9</v>
      </c>
      <c r="D21">
        <f>2.5</f>
        <v>2.5</v>
      </c>
      <c r="E21">
        <f>IFERROR(_xlfn.AGGREGATE(1,6,'E02'!$B$7:$C$14),0)</f>
        <v>15.43125</v>
      </c>
    </row>
    <row r="22" spans="1:7" x14ac:dyDescent="0.25">
      <c r="A22" t="str">
        <f>'E02'!$A$13</f>
        <v>Monte Alvorada</v>
      </c>
      <c r="B22" s="14">
        <f>_xlfn.AGGREGATE(9,6,'E02'!$B$13:$C$13)</f>
        <v>21.1</v>
      </c>
      <c r="C22">
        <f>B22</f>
        <v>21.1</v>
      </c>
      <c r="D22">
        <f>1.5</f>
        <v>1.5</v>
      </c>
      <c r="E22">
        <f>IFERROR(_xlfn.AGGREGATE(1,6,'E02'!$B$7:$C$14),0)</f>
        <v>15.43125</v>
      </c>
    </row>
    <row r="23" spans="1:7" x14ac:dyDescent="0.25">
      <c r="A23" t="str">
        <f>'E02'!$A$14</f>
        <v>Rio Turquesa</v>
      </c>
      <c r="B23" s="14">
        <f>_xlfn.AGGREGATE(9,6,'E02'!$B$14:$C$14)</f>
        <v>18.100000000000001</v>
      </c>
      <c r="C23">
        <f>B23</f>
        <v>18.100000000000001</v>
      </c>
      <c r="D23">
        <f>0.5</f>
        <v>0.5</v>
      </c>
      <c r="E23">
        <f>IFERROR(_xlfn.AGGREGATE(1,6,'E02'!$B$7:$C$14),0)</f>
        <v>15.43125</v>
      </c>
    </row>
    <row r="25" spans="1:7" x14ac:dyDescent="0.25">
      <c r="A25" s="11" t="s">
        <v>75</v>
      </c>
      <c r="B25" s="5" t="s">
        <v>76</v>
      </c>
      <c r="C25" s="5" t="str">
        <f>"'E03'!$A$6:$C$11"</f>
        <v>'E03'!$A$6:$C$11</v>
      </c>
      <c r="D25" s="11" t="s">
        <v>80</v>
      </c>
      <c r="E25" s="5"/>
      <c r="F25" s="5"/>
      <c r="G25" s="5"/>
    </row>
    <row r="26" spans="1:7" x14ac:dyDescent="0.25">
      <c r="A26" t="s">
        <v>60</v>
      </c>
      <c r="B26" t="s">
        <v>61</v>
      </c>
      <c r="C26" t="s">
        <v>62</v>
      </c>
      <c r="D26" t="s">
        <v>77</v>
      </c>
      <c r="E26" t="s">
        <v>78</v>
      </c>
      <c r="F26" t="s">
        <v>63</v>
      </c>
      <c r="G26" t="s">
        <v>64</v>
      </c>
    </row>
    <row r="27" spans="1:7" x14ac:dyDescent="0.25">
      <c r="A27" t="str">
        <f>'E03'!$A$7</f>
        <v>Sudeste</v>
      </c>
      <c r="B27" s="12">
        <f>_xlfn.AGGREGATE(9,6,'E03'!$B$7:$C$7)</f>
        <v>42264</v>
      </c>
      <c r="C27">
        <f>1</f>
        <v>1</v>
      </c>
      <c r="D27" s="15">
        <f>IF(AND(ISNUMBER('E03'!$B$7),B27&lt;&gt;0),'E03'!$B$7/B27,0)</f>
        <v>0.60753833049403749</v>
      </c>
      <c r="E27" s="15">
        <f>IF(AND(ISNUMBER('E03'!$C$7),B27&lt;&gt;0),'E03'!$C$7/B27,0)</f>
        <v>0.39246166950596251</v>
      </c>
      <c r="F27">
        <f>4.5</f>
        <v>4.5</v>
      </c>
      <c r="G27" t="e">
        <f>NA()</f>
        <v>#N/A</v>
      </c>
    </row>
    <row r="28" spans="1:7" x14ac:dyDescent="0.25">
      <c r="A28" t="str">
        <f>'E03'!$A$8</f>
        <v>Sul</v>
      </c>
      <c r="B28" s="12">
        <f>_xlfn.AGGREGATE(9,6,'E03'!$B$8:$C$8)</f>
        <v>34905</v>
      </c>
      <c r="C28">
        <f>1</f>
        <v>1</v>
      </c>
      <c r="D28" s="15">
        <f>IF(AND(ISNUMBER('E03'!$B$8),B28&lt;&gt;0),'E03'!$B$8/B28,0)</f>
        <v>0.67096404526572129</v>
      </c>
      <c r="E28" s="15">
        <f>IF(AND(ISNUMBER('E03'!$C$8),B28&lt;&gt;0),'E03'!$C$8/B28,0)</f>
        <v>0.32903595473427877</v>
      </c>
      <c r="F28">
        <f>3.5</f>
        <v>3.5</v>
      </c>
      <c r="G28" t="e">
        <f>NA()</f>
        <v>#N/A</v>
      </c>
    </row>
    <row r="29" spans="1:7" x14ac:dyDescent="0.25">
      <c r="A29" t="str">
        <f>'E03'!$A$9</f>
        <v>Nordeste</v>
      </c>
      <c r="B29" s="12">
        <f>_xlfn.AGGREGATE(9,6,'E03'!$B$9:$C$9)</f>
        <v>25450</v>
      </c>
      <c r="C29">
        <f>1</f>
        <v>1</v>
      </c>
      <c r="D29" s="15">
        <f>IF(AND(ISNUMBER('E03'!$B$9),B29&lt;&gt;0),'E03'!$B$9/B29,0)</f>
        <v>0.75776031434184676</v>
      </c>
      <c r="E29" s="15">
        <f>IF(AND(ISNUMBER('E03'!$C$9),B29&lt;&gt;0),'E03'!$C$9/B29,0)</f>
        <v>0.24223968565815324</v>
      </c>
      <c r="F29">
        <f>2.5</f>
        <v>2.5</v>
      </c>
      <c r="G29" t="e">
        <f>NA()</f>
        <v>#N/A</v>
      </c>
    </row>
    <row r="30" spans="1:7" x14ac:dyDescent="0.25">
      <c r="A30" t="str">
        <f>'E03'!$A$10</f>
        <v>Centro-Oeste</v>
      </c>
      <c r="B30" s="12">
        <f>_xlfn.AGGREGATE(9,6,'E03'!$B$10:$C$10)</f>
        <v>17656</v>
      </c>
      <c r="C30">
        <f>1</f>
        <v>1</v>
      </c>
      <c r="D30" s="15">
        <f>IF(AND(ISNUMBER('E03'!$B$10),B30&lt;&gt;0),'E03'!$B$10/B30,0)</f>
        <v>0.68934073402809248</v>
      </c>
      <c r="E30" s="15">
        <f>IF(AND(ISNUMBER('E03'!$C$10),B30&lt;&gt;0),'E03'!$C$10/B30,0)</f>
        <v>0.31065926597190757</v>
      </c>
      <c r="F30">
        <f>1.5</f>
        <v>1.5</v>
      </c>
      <c r="G30" t="e">
        <f>NA()</f>
        <v>#N/A</v>
      </c>
    </row>
    <row r="31" spans="1:7" x14ac:dyDescent="0.25">
      <c r="A31" t="str">
        <f>'E03'!$A$11</f>
        <v>Norte</v>
      </c>
      <c r="B31" s="12">
        <f>_xlfn.AGGREGATE(9,6,'E03'!$B$11:$C$11)</f>
        <v>9435</v>
      </c>
      <c r="C31">
        <f>1</f>
        <v>1</v>
      </c>
      <c r="D31" s="15">
        <f>IF(AND(ISNUMBER('E03'!$B$11),B31&lt;&gt;0),'E03'!$B$11/B31,0)</f>
        <v>0.66094329623741388</v>
      </c>
      <c r="E31" s="15">
        <f>IF(AND(ISNUMBER('E03'!$C$11),B31&lt;&gt;0),'E03'!$C$11/B31,0)</f>
        <v>0.33905670376258612</v>
      </c>
      <c r="F31">
        <f>0.5</f>
        <v>0.5</v>
      </c>
      <c r="G31" t="e">
        <f>NA()</f>
        <v>#N/A</v>
      </c>
    </row>
    <row r="33" spans="1:20" x14ac:dyDescent="0.25">
      <c r="A33" s="11" t="s">
        <v>86</v>
      </c>
      <c r="B33" s="5" t="s">
        <v>87</v>
      </c>
      <c r="C33" s="5" t="str">
        <f>"'E04'!$A$6:$C$18"</f>
        <v>'E04'!$A$6:$C$18</v>
      </c>
      <c r="D33" s="11" t="s">
        <v>88</v>
      </c>
      <c r="E33" s="5"/>
    </row>
    <row r="34" spans="1:20" x14ac:dyDescent="0.25">
      <c r="A34" t="s">
        <v>60</v>
      </c>
      <c r="B34" t="s">
        <v>61</v>
      </c>
      <c r="C34" t="s">
        <v>62</v>
      </c>
      <c r="D34" t="s">
        <v>63</v>
      </c>
      <c r="E34" t="s">
        <v>64</v>
      </c>
    </row>
    <row r="35" spans="1:20" x14ac:dyDescent="0.25">
      <c r="A35">
        <f>'E04'!$A$7</f>
        <v>45658</v>
      </c>
      <c r="B35">
        <f>_xlfn.AGGREGATE(9,6,'E04'!$B$7:$C$7)</f>
        <v>3492</v>
      </c>
      <c r="C35">
        <f>B35</f>
        <v>3492</v>
      </c>
      <c r="D35">
        <f>11.5</f>
        <v>11.5</v>
      </c>
      <c r="E35">
        <f>IFERROR(_xlfn.AGGREGATE(1,6,'E04'!$B$7:$C$18),0)</f>
        <v>1842.125</v>
      </c>
    </row>
    <row r="36" spans="1:20" x14ac:dyDescent="0.25">
      <c r="A36">
        <f>'E04'!$A$8</f>
        <v>45689</v>
      </c>
      <c r="B36">
        <f>_xlfn.AGGREGATE(9,6,'E04'!$B$8:$C$8)</f>
        <v>3341</v>
      </c>
      <c r="C36">
        <f>B36</f>
        <v>3341</v>
      </c>
      <c r="D36">
        <f>10.5</f>
        <v>10.5</v>
      </c>
      <c r="E36">
        <f>IFERROR(_xlfn.AGGREGATE(1,6,'E04'!$B$7:$C$18),0)</f>
        <v>1842.125</v>
      </c>
    </row>
    <row r="37" spans="1:20" x14ac:dyDescent="0.25">
      <c r="A37">
        <f>'E04'!$A$9</f>
        <v>45717</v>
      </c>
      <c r="B37">
        <f>_xlfn.AGGREGATE(9,6,'E04'!$B$9:$C$9)</f>
        <v>3211</v>
      </c>
      <c r="C37">
        <f>B37</f>
        <v>3211</v>
      </c>
      <c r="D37">
        <f>9.5</f>
        <v>9.5</v>
      </c>
      <c r="E37">
        <f>IFERROR(_xlfn.AGGREGATE(1,6,'E04'!$B$7:$C$18),0)</f>
        <v>1842.125</v>
      </c>
    </row>
    <row r="38" spans="1:20" x14ac:dyDescent="0.25">
      <c r="A38">
        <f>'E04'!$A$10</f>
        <v>45748</v>
      </c>
      <c r="B38">
        <f>_xlfn.AGGREGATE(9,6,'E04'!$B$10:$C$10)</f>
        <v>3185</v>
      </c>
      <c r="C38">
        <f>B38</f>
        <v>3185</v>
      </c>
      <c r="D38">
        <f>8.5</f>
        <v>8.5</v>
      </c>
      <c r="E38">
        <f>IFERROR(_xlfn.AGGREGATE(1,6,'E04'!$B$7:$C$18),0)</f>
        <v>1842.125</v>
      </c>
    </row>
    <row r="39" spans="1:20" x14ac:dyDescent="0.25">
      <c r="A39">
        <f>'E04'!$A$11</f>
        <v>45778</v>
      </c>
      <c r="B39">
        <f>_xlfn.AGGREGATE(9,6,'E04'!$B$11:$C$11)</f>
        <v>3297</v>
      </c>
      <c r="C39">
        <f>B39</f>
        <v>3297</v>
      </c>
      <c r="D39">
        <f>7.5</f>
        <v>7.5</v>
      </c>
      <c r="E39">
        <f>IFERROR(_xlfn.AGGREGATE(1,6,'E04'!$B$7:$C$18),0)</f>
        <v>1842.125</v>
      </c>
    </row>
    <row r="40" spans="1:20" x14ac:dyDescent="0.25">
      <c r="A40">
        <f>'E04'!$A$12</f>
        <v>45809</v>
      </c>
      <c r="B40">
        <f>_xlfn.AGGREGATE(9,6,'E04'!$B$12:$C$12)</f>
        <v>3536</v>
      </c>
      <c r="C40">
        <f>B40</f>
        <v>3536</v>
      </c>
      <c r="D40">
        <f>6.5</f>
        <v>6.5</v>
      </c>
      <c r="E40">
        <f>IFERROR(_xlfn.AGGREGATE(1,6,'E04'!$B$7:$C$18),0)</f>
        <v>1842.125</v>
      </c>
    </row>
    <row r="41" spans="1:20" x14ac:dyDescent="0.25">
      <c r="A41">
        <f>'E04'!$A$13</f>
        <v>45839</v>
      </c>
      <c r="B41">
        <f>_xlfn.AGGREGATE(9,6,'E04'!$B$13:$C$13)</f>
        <v>3794</v>
      </c>
      <c r="C41">
        <f>B41</f>
        <v>3794</v>
      </c>
      <c r="D41">
        <f>5.5</f>
        <v>5.5</v>
      </c>
      <c r="E41">
        <f>IFERROR(_xlfn.AGGREGATE(1,6,'E04'!$B$7:$C$18),0)</f>
        <v>1842.125</v>
      </c>
    </row>
    <row r="42" spans="1:20" x14ac:dyDescent="0.25">
      <c r="A42">
        <f>'E04'!$A$14</f>
        <v>45870</v>
      </c>
      <c r="B42">
        <f>_xlfn.AGGREGATE(9,6,'E04'!$B$14:$C$14)</f>
        <v>3947</v>
      </c>
      <c r="C42">
        <f>B42</f>
        <v>3947</v>
      </c>
      <c r="D42">
        <f>4.5</f>
        <v>4.5</v>
      </c>
      <c r="E42">
        <f>IFERROR(_xlfn.AGGREGATE(1,6,'E04'!$B$7:$C$18),0)</f>
        <v>1842.125</v>
      </c>
    </row>
    <row r="43" spans="1:20" x14ac:dyDescent="0.25">
      <c r="A43">
        <f>'E04'!$A$15</f>
        <v>45901</v>
      </c>
      <c r="B43">
        <f>_xlfn.AGGREGATE(9,6,'E04'!$B$15:$C$15)</f>
        <v>3992</v>
      </c>
      <c r="C43">
        <f>B43</f>
        <v>3992</v>
      </c>
      <c r="D43">
        <f>3.5</f>
        <v>3.5</v>
      </c>
      <c r="E43">
        <f>IFERROR(_xlfn.AGGREGATE(1,6,'E04'!$B$7:$C$18),0)</f>
        <v>1842.125</v>
      </c>
    </row>
    <row r="44" spans="1:20" x14ac:dyDescent="0.25">
      <c r="A44">
        <f>'E04'!$A$16</f>
        <v>45931</v>
      </c>
      <c r="B44">
        <f>_xlfn.AGGREGATE(9,6,'E04'!$B$16:$C$16)</f>
        <v>4118</v>
      </c>
      <c r="C44">
        <f>B44</f>
        <v>4118</v>
      </c>
      <c r="D44">
        <f>2.5</f>
        <v>2.5</v>
      </c>
      <c r="E44">
        <f>IFERROR(_xlfn.AGGREGATE(1,6,'E04'!$B$7:$C$18),0)</f>
        <v>1842.125</v>
      </c>
    </row>
    <row r="45" spans="1:20" x14ac:dyDescent="0.25">
      <c r="A45">
        <f>'E04'!$A$17</f>
        <v>45962</v>
      </c>
      <c r="B45">
        <f>_xlfn.AGGREGATE(9,6,'E04'!$B$17:$C$17)</f>
        <v>4159</v>
      </c>
      <c r="C45">
        <f>B45</f>
        <v>4159</v>
      </c>
      <c r="D45">
        <f>1.5</f>
        <v>1.5</v>
      </c>
      <c r="E45">
        <f>IFERROR(_xlfn.AGGREGATE(1,6,'E04'!$B$7:$C$18),0)</f>
        <v>1842.125</v>
      </c>
    </row>
    <row r="46" spans="1:20" x14ac:dyDescent="0.25">
      <c r="A46">
        <f>'E04'!$A$18</f>
        <v>45992</v>
      </c>
      <c r="B46">
        <f>_xlfn.AGGREGATE(9,6,'E04'!$B$18:$C$18)</f>
        <v>4139</v>
      </c>
      <c r="C46">
        <f>B46</f>
        <v>4139</v>
      </c>
      <c r="D46">
        <f>0.5</f>
        <v>0.5</v>
      </c>
      <c r="E46">
        <f>IFERROR(_xlfn.AGGREGATE(1,6,'E04'!$B$7:$C$18),0)</f>
        <v>1842.125</v>
      </c>
    </row>
    <row r="48" spans="1:20" x14ac:dyDescent="0.25">
      <c r="A48" s="11" t="s">
        <v>102</v>
      </c>
      <c r="B48" s="5" t="s">
        <v>103</v>
      </c>
      <c r="C48" s="5" t="str">
        <f>"'E05'!$A$6:$B$13"</f>
        <v>'E05'!$A$6:$B$13</v>
      </c>
      <c r="D48" s="11" t="s">
        <v>122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x14ac:dyDescent="0.25">
      <c r="A49" t="s">
        <v>104</v>
      </c>
      <c r="B49" t="s">
        <v>105</v>
      </c>
      <c r="C49" t="s">
        <v>106</v>
      </c>
      <c r="D49" t="s">
        <v>107</v>
      </c>
      <c r="E49" t="s">
        <v>108</v>
      </c>
      <c r="F49" t="s">
        <v>109</v>
      </c>
      <c r="G49" t="s">
        <v>110</v>
      </c>
      <c r="H49" t="s">
        <v>111</v>
      </c>
      <c r="I49" t="s">
        <v>112</v>
      </c>
      <c r="J49" t="s">
        <v>113</v>
      </c>
      <c r="K49" t="s">
        <v>114</v>
      </c>
      <c r="L49" t="s">
        <v>115</v>
      </c>
      <c r="M49" t="s">
        <v>116</v>
      </c>
      <c r="N49" t="s">
        <v>117</v>
      </c>
      <c r="O49" t="s">
        <v>118</v>
      </c>
      <c r="P49" t="s">
        <v>61</v>
      </c>
      <c r="Q49" t="s">
        <v>119</v>
      </c>
      <c r="R49" t="s">
        <v>120</v>
      </c>
      <c r="S49" t="s">
        <v>63</v>
      </c>
      <c r="T49" t="s">
        <v>121</v>
      </c>
    </row>
    <row r="50" spans="1:20" x14ac:dyDescent="0.25">
      <c r="A50" t="str">
        <f>'E05'!$A$7</f>
        <v>Receita bruta</v>
      </c>
      <c r="B50" s="3">
        <f>'E05'!$B$7</f>
        <v>129710</v>
      </c>
      <c r="C50" t="b">
        <f>IF(ISERROR(B50),FALSE,IF(ISNUMBER(B50),FALSE,OR(LOWER(TRIM(B50&amp;""))={"e","t","=","total","subtotal"})))</f>
        <v>0</v>
      </c>
      <c r="D50">
        <f t="shared" ref="D50:D56" si="0">IF(C50,0,IF(ISNUMBER(B50),B50,0))</f>
        <v>129710</v>
      </c>
      <c r="E50">
        <f>0</f>
        <v>0</v>
      </c>
      <c r="F50">
        <f>IF($T50,_xlfn.AGGREGATE(9,6,'E05'!$B$13)-SUM($D51:$D55),$E50+$D50)</f>
        <v>129710</v>
      </c>
      <c r="G50">
        <f t="shared" ref="G50:G56" si="1">IF(C50,MIN(0,F50),MIN(E50,F50))</f>
        <v>0</v>
      </c>
      <c r="H50">
        <f t="shared" ref="H50:H56" si="2">IF(C50,MAX(0,F50),MAX(E50,F50))</f>
        <v>129710</v>
      </c>
      <c r="I50">
        <f t="shared" ref="I50:I56" si="3">MAX(0,G50)+MIN(0,H50)</f>
        <v>0</v>
      </c>
      <c r="J50">
        <f t="shared" ref="J50:J56" si="4">MAX(0,H50)-MAX(0,G50)</f>
        <v>129710</v>
      </c>
      <c r="K50">
        <f t="shared" ref="K50:K56" si="5">MIN(0,G50)-MIN(0,H50)</f>
        <v>0</v>
      </c>
      <c r="L50">
        <f t="shared" ref="L50:L56" si="6">IF(AND(NOT(C50),D50&gt;=0),J50,0)</f>
        <v>129710</v>
      </c>
      <c r="M50">
        <f t="shared" ref="M50:M56" si="7">IF(AND(NOT(C50),D50&gt;=0),K50,0)</f>
        <v>0</v>
      </c>
      <c r="N50">
        <f t="shared" ref="N50:N56" si="8">IF(AND(NOT(C50),D50&lt;0),J50,0)</f>
        <v>0</v>
      </c>
      <c r="O50">
        <f t="shared" ref="O50:O56" si="9">IF(AND(NOT(C50),D50&lt;0),K50,0)</f>
        <v>0</v>
      </c>
      <c r="P50">
        <f t="shared" ref="P50:P56" si="10">IF(C50,F50,0)</f>
        <v>0</v>
      </c>
      <c r="Q50" s="12">
        <f t="shared" ref="Q50:Q56" si="11">IF(C50,F50,D50)</f>
        <v>129710</v>
      </c>
      <c r="R50">
        <f t="shared" ref="R50:R56" si="12">IF(Q50&gt;=0,H50,G50)</f>
        <v>129710</v>
      </c>
      <c r="S50">
        <f>6.5</f>
        <v>6.5</v>
      </c>
      <c r="T50" t="b">
        <f>AND(IF(ISERROR('E05'!$B$7),FALSE,IF(ISNUMBER('E05'!$B$7),FALSE,OR(LOWER(TRIM('E05'!$B$7&amp;""))={"e","t","=","total","subtotal"}))),COUNT('E05'!$B$13)&gt;0,NOT(IF(ISERROR('E05'!$B$13),FALSE,IF(ISNUMBER('E05'!$B$13),FALSE,OR(LOWER(TRIM('E05'!$B$13&amp;""))={"e","t","=","total","subtotal"})))))</f>
        <v>0</v>
      </c>
    </row>
    <row r="51" spans="1:20" x14ac:dyDescent="0.25">
      <c r="A51" t="str">
        <f>'E05'!$A$8</f>
        <v>Custo das mercadorias</v>
      </c>
      <c r="B51" s="3">
        <f>'E05'!$B$8</f>
        <v>-88293</v>
      </c>
      <c r="C51" t="b">
        <f>IF(ISERROR(B51),FALSE,IF(ISNUMBER(B51),FALSE,OR(LOWER(TRIM(B51&amp;""))={"e","t","=","total","subtotal"})))</f>
        <v>0</v>
      </c>
      <c r="D51">
        <f t="shared" si="0"/>
        <v>-88293</v>
      </c>
      <c r="E51">
        <f>F50</f>
        <v>129710</v>
      </c>
      <c r="F51">
        <f t="shared" ref="F50:F56" si="13">$E51+$D51</f>
        <v>41417</v>
      </c>
      <c r="G51">
        <f t="shared" si="1"/>
        <v>41417</v>
      </c>
      <c r="H51">
        <f t="shared" si="2"/>
        <v>129710</v>
      </c>
      <c r="I51">
        <f t="shared" si="3"/>
        <v>41417</v>
      </c>
      <c r="J51">
        <f t="shared" si="4"/>
        <v>88293</v>
      </c>
      <c r="K51">
        <f t="shared" si="5"/>
        <v>0</v>
      </c>
      <c r="L51">
        <f t="shared" si="6"/>
        <v>0</v>
      </c>
      <c r="M51">
        <f t="shared" si="7"/>
        <v>0</v>
      </c>
      <c r="N51">
        <f t="shared" si="8"/>
        <v>88293</v>
      </c>
      <c r="O51">
        <f t="shared" si="9"/>
        <v>0</v>
      </c>
      <c r="P51">
        <f t="shared" si="10"/>
        <v>0</v>
      </c>
      <c r="Q51" s="12">
        <f t="shared" si="11"/>
        <v>-88293</v>
      </c>
      <c r="R51">
        <f t="shared" si="12"/>
        <v>41417</v>
      </c>
      <c r="S51">
        <f>5.5</f>
        <v>5.5</v>
      </c>
      <c r="T51" t="b">
        <f>AND(IF(ISERROR('E05'!$B$7),FALSE,IF(ISNUMBER('E05'!$B$7),FALSE,OR(LOWER(TRIM('E05'!$B$7&amp;""))={"e","t","=","total","subtotal"}))),COUNT('E05'!$B$13)&gt;0,NOT(IF(ISERROR('E05'!$B$13),FALSE,IF(ISNUMBER('E05'!$B$13),FALSE,OR(LOWER(TRIM('E05'!$B$13&amp;""))={"e","t","=","total","subtotal"})))))</f>
        <v>0</v>
      </c>
    </row>
    <row r="52" spans="1:20" x14ac:dyDescent="0.25">
      <c r="A52" t="str">
        <f>'E05'!$A$9</f>
        <v>Despesas operacionais</v>
      </c>
      <c r="B52" s="3">
        <f>'E05'!$B$9</f>
        <v>-27239</v>
      </c>
      <c r="C52" t="b">
        <f>IF(ISERROR(B52),FALSE,IF(ISNUMBER(B52),FALSE,OR(LOWER(TRIM(B52&amp;""))={"e","t","=","total","subtotal"})))</f>
        <v>0</v>
      </c>
      <c r="D52">
        <f t="shared" si="0"/>
        <v>-27239</v>
      </c>
      <c r="E52">
        <f>F51</f>
        <v>41417</v>
      </c>
      <c r="F52">
        <f t="shared" si="13"/>
        <v>14178</v>
      </c>
      <c r="G52">
        <f t="shared" si="1"/>
        <v>14178</v>
      </c>
      <c r="H52">
        <f t="shared" si="2"/>
        <v>41417</v>
      </c>
      <c r="I52">
        <f t="shared" si="3"/>
        <v>14178</v>
      </c>
      <c r="J52">
        <f t="shared" si="4"/>
        <v>27239</v>
      </c>
      <c r="K52">
        <f t="shared" si="5"/>
        <v>0</v>
      </c>
      <c r="L52">
        <f t="shared" si="6"/>
        <v>0</v>
      </c>
      <c r="M52">
        <f t="shared" si="7"/>
        <v>0</v>
      </c>
      <c r="N52">
        <f t="shared" si="8"/>
        <v>27239</v>
      </c>
      <c r="O52">
        <f t="shared" si="9"/>
        <v>0</v>
      </c>
      <c r="P52">
        <f t="shared" si="10"/>
        <v>0</v>
      </c>
      <c r="Q52" s="12">
        <f t="shared" si="11"/>
        <v>-27239</v>
      </c>
      <c r="R52">
        <f t="shared" si="12"/>
        <v>14178</v>
      </c>
      <c r="S52">
        <f>4.5</f>
        <v>4.5</v>
      </c>
      <c r="T52" t="b">
        <f>AND(IF(ISERROR('E05'!$B$7),FALSE,IF(ISNUMBER('E05'!$B$7),FALSE,OR(LOWER(TRIM('E05'!$B$7&amp;""))={"e","t","=","total","subtotal"}))),COUNT('E05'!$B$13)&gt;0,NOT(IF(ISERROR('E05'!$B$13),FALSE,IF(ISNUMBER('E05'!$B$13),FALSE,OR(LOWER(TRIM('E05'!$B$13&amp;""))={"e","t","=","total","subtotal"})))))</f>
        <v>0</v>
      </c>
    </row>
    <row r="53" spans="1:20" x14ac:dyDescent="0.25">
      <c r="A53" t="str">
        <f>'E05'!$A$10</f>
        <v>EBITDA</v>
      </c>
      <c r="B53" s="3" t="str">
        <f>'E05'!$B$10</f>
        <v>e</v>
      </c>
      <c r="C53" t="b">
        <f>IF(ISERROR(B53),FALSE,IF(ISNUMBER(B53),FALSE,OR(LOWER(TRIM(B53&amp;""))={"e","t","=","total","subtotal"})))</f>
        <v>1</v>
      </c>
      <c r="D53">
        <f t="shared" si="0"/>
        <v>0</v>
      </c>
      <c r="E53">
        <f>F52</f>
        <v>14178</v>
      </c>
      <c r="F53">
        <f t="shared" si="13"/>
        <v>14178</v>
      </c>
      <c r="G53">
        <f t="shared" si="1"/>
        <v>0</v>
      </c>
      <c r="H53">
        <f t="shared" si="2"/>
        <v>14178</v>
      </c>
      <c r="I53">
        <f t="shared" si="3"/>
        <v>0</v>
      </c>
      <c r="J53">
        <f t="shared" si="4"/>
        <v>14178</v>
      </c>
      <c r="K53">
        <f t="shared" si="5"/>
        <v>0</v>
      </c>
      <c r="L53">
        <f t="shared" si="6"/>
        <v>0</v>
      </c>
      <c r="M53">
        <f t="shared" si="7"/>
        <v>0</v>
      </c>
      <c r="N53">
        <f t="shared" si="8"/>
        <v>0</v>
      </c>
      <c r="O53">
        <f t="shared" si="9"/>
        <v>0</v>
      </c>
      <c r="P53">
        <f t="shared" si="10"/>
        <v>14178</v>
      </c>
      <c r="Q53" s="12">
        <f t="shared" si="11"/>
        <v>14178</v>
      </c>
      <c r="R53">
        <f t="shared" si="12"/>
        <v>14178</v>
      </c>
      <c r="S53">
        <f>3.5</f>
        <v>3.5</v>
      </c>
      <c r="T53" t="b">
        <f>AND(IF(ISERROR('E05'!$B$7),FALSE,IF(ISNUMBER('E05'!$B$7),FALSE,OR(LOWER(TRIM('E05'!$B$7&amp;""))={"e","t","=","total","subtotal"}))),COUNT('E05'!$B$13)&gt;0,NOT(IF(ISERROR('E05'!$B$13),FALSE,IF(ISNUMBER('E05'!$B$13),FALSE,OR(LOWER(TRIM('E05'!$B$13&amp;""))={"e","t","=","total","subtotal"})))))</f>
        <v>0</v>
      </c>
    </row>
    <row r="54" spans="1:20" x14ac:dyDescent="0.25">
      <c r="A54" t="str">
        <f>'E05'!$A$11</f>
        <v>Depreciação e juros</v>
      </c>
      <c r="B54" s="3">
        <f>'E05'!$B$11</f>
        <v>-3243</v>
      </c>
      <c r="C54" t="b">
        <f>IF(ISERROR(B54),FALSE,IF(ISNUMBER(B54),FALSE,OR(LOWER(TRIM(B54&amp;""))={"e","t","=","total","subtotal"})))</f>
        <v>0</v>
      </c>
      <c r="D54">
        <f t="shared" si="0"/>
        <v>-3243</v>
      </c>
      <c r="E54">
        <f>F53</f>
        <v>14178</v>
      </c>
      <c r="F54">
        <f t="shared" si="13"/>
        <v>10935</v>
      </c>
      <c r="G54">
        <f t="shared" si="1"/>
        <v>10935</v>
      </c>
      <c r="H54">
        <f t="shared" si="2"/>
        <v>14178</v>
      </c>
      <c r="I54">
        <f t="shared" si="3"/>
        <v>10935</v>
      </c>
      <c r="J54">
        <f t="shared" si="4"/>
        <v>3243</v>
      </c>
      <c r="K54">
        <f t="shared" si="5"/>
        <v>0</v>
      </c>
      <c r="L54">
        <f t="shared" si="6"/>
        <v>0</v>
      </c>
      <c r="M54">
        <f t="shared" si="7"/>
        <v>0</v>
      </c>
      <c r="N54">
        <f t="shared" si="8"/>
        <v>3243</v>
      </c>
      <c r="O54">
        <f t="shared" si="9"/>
        <v>0</v>
      </c>
      <c r="P54">
        <f t="shared" si="10"/>
        <v>0</v>
      </c>
      <c r="Q54" s="12">
        <f t="shared" si="11"/>
        <v>-3243</v>
      </c>
      <c r="R54">
        <f t="shared" si="12"/>
        <v>10935</v>
      </c>
      <c r="S54">
        <f>2.5</f>
        <v>2.5</v>
      </c>
      <c r="T54" t="b">
        <f>AND(IF(ISERROR('E05'!$B$7),FALSE,IF(ISNUMBER('E05'!$B$7),FALSE,OR(LOWER(TRIM('E05'!$B$7&amp;""))={"e","t","=","total","subtotal"}))),COUNT('E05'!$B$13)&gt;0,NOT(IF(ISERROR('E05'!$B$13),FALSE,IF(ISNUMBER('E05'!$B$13),FALSE,OR(LOWER(TRIM('E05'!$B$13&amp;""))={"e","t","=","total","subtotal"})))))</f>
        <v>0</v>
      </c>
    </row>
    <row r="55" spans="1:20" x14ac:dyDescent="0.25">
      <c r="A55" t="str">
        <f>'E05'!$A$12</f>
        <v>Impostos</v>
      </c>
      <c r="B55" s="3">
        <f>'E05'!$B$12</f>
        <v>-3718</v>
      </c>
      <c r="C55" t="b">
        <f>IF(ISERROR(B55),FALSE,IF(ISNUMBER(B55),FALSE,OR(LOWER(TRIM(B55&amp;""))={"e","t","=","total","subtotal"})))</f>
        <v>0</v>
      </c>
      <c r="D55">
        <f t="shared" si="0"/>
        <v>-3718</v>
      </c>
      <c r="E55">
        <f>F54</f>
        <v>10935</v>
      </c>
      <c r="F55">
        <f t="shared" si="13"/>
        <v>7217</v>
      </c>
      <c r="G55">
        <f t="shared" si="1"/>
        <v>7217</v>
      </c>
      <c r="H55">
        <f t="shared" si="2"/>
        <v>10935</v>
      </c>
      <c r="I55">
        <f t="shared" si="3"/>
        <v>7217</v>
      </c>
      <c r="J55">
        <f t="shared" si="4"/>
        <v>3718</v>
      </c>
      <c r="K55">
        <f t="shared" si="5"/>
        <v>0</v>
      </c>
      <c r="L55">
        <f t="shared" si="6"/>
        <v>0</v>
      </c>
      <c r="M55">
        <f t="shared" si="7"/>
        <v>0</v>
      </c>
      <c r="N55">
        <f t="shared" si="8"/>
        <v>3718</v>
      </c>
      <c r="O55">
        <f t="shared" si="9"/>
        <v>0</v>
      </c>
      <c r="P55">
        <f t="shared" si="10"/>
        <v>0</v>
      </c>
      <c r="Q55" s="12">
        <f t="shared" si="11"/>
        <v>-3718</v>
      </c>
      <c r="R55">
        <f t="shared" si="12"/>
        <v>7217</v>
      </c>
      <c r="S55">
        <f>1.5</f>
        <v>1.5</v>
      </c>
      <c r="T55" t="b">
        <f>AND(IF(ISERROR('E05'!$B$7),FALSE,IF(ISNUMBER('E05'!$B$7),FALSE,OR(LOWER(TRIM('E05'!$B$7&amp;""))={"e","t","=","total","subtotal"}))),COUNT('E05'!$B$13)&gt;0,NOT(IF(ISERROR('E05'!$B$13),FALSE,IF(ISNUMBER('E05'!$B$13),FALSE,OR(LOWER(TRIM('E05'!$B$13&amp;""))={"e","t","=","total","subtotal"})))))</f>
        <v>0</v>
      </c>
    </row>
    <row r="56" spans="1:20" x14ac:dyDescent="0.25">
      <c r="A56" t="str">
        <f>'E05'!$A$13</f>
        <v>Lucro líquido</v>
      </c>
      <c r="B56" s="3" t="str">
        <f>'E05'!$B$13</f>
        <v>e</v>
      </c>
      <c r="C56" t="b">
        <f>OR(IF(ISERROR('E05'!$B$13),FALSE,IF(ISNUMBER('E05'!$B$13),FALSE,OR(LOWER(TRIM('E05'!$B$13&amp;""))={"e","t","=","total","subtotal"}))),$T56)</f>
        <v>1</v>
      </c>
      <c r="D56">
        <f t="shared" si="0"/>
        <v>0</v>
      </c>
      <c r="E56">
        <f>F55</f>
        <v>7217</v>
      </c>
      <c r="F56">
        <f>IF($T56,_xlfn.AGGREGATE(9,6,'E05'!$B$13),$E56+$D56)</f>
        <v>7217</v>
      </c>
      <c r="G56">
        <f t="shared" si="1"/>
        <v>0</v>
      </c>
      <c r="H56">
        <f t="shared" si="2"/>
        <v>7217</v>
      </c>
      <c r="I56">
        <f t="shared" si="3"/>
        <v>0</v>
      </c>
      <c r="J56">
        <f t="shared" si="4"/>
        <v>7217</v>
      </c>
      <c r="K56">
        <f t="shared" si="5"/>
        <v>0</v>
      </c>
      <c r="L56">
        <f t="shared" si="6"/>
        <v>0</v>
      </c>
      <c r="M56">
        <f t="shared" si="7"/>
        <v>0</v>
      </c>
      <c r="N56">
        <f t="shared" si="8"/>
        <v>0</v>
      </c>
      <c r="O56">
        <f t="shared" si="9"/>
        <v>0</v>
      </c>
      <c r="P56">
        <f t="shared" si="10"/>
        <v>7217</v>
      </c>
      <c r="Q56" s="12">
        <f t="shared" si="11"/>
        <v>7217</v>
      </c>
      <c r="R56">
        <f t="shared" si="12"/>
        <v>7217</v>
      </c>
      <c r="S56">
        <f>0.5</f>
        <v>0.5</v>
      </c>
      <c r="T56" t="b">
        <f>AND(IF(ISERROR('E05'!$B$7),FALSE,IF(ISNUMBER('E05'!$B$7),FALSE,OR(LOWER(TRIM('E05'!$B$7&amp;""))={"e","t","=","total","subtotal"}))),COUNT('E05'!$B$13)&gt;0,NOT(IF(ISERROR('E05'!$B$13),FALSE,IF(ISNUMBER('E05'!$B$13),FALSE,OR(LOWER(TRIM('E05'!$B$13&amp;""))={"e","t","=","total","subtotal"})))))</f>
        <v>0</v>
      </c>
    </row>
    <row r="58" spans="1:20" x14ac:dyDescent="0.25">
      <c r="A58" s="11" t="s">
        <v>126</v>
      </c>
      <c r="B58" s="5" t="s">
        <v>127</v>
      </c>
      <c r="C58" s="5" t="str">
        <f>"'E06'!$A$6:$C$11"</f>
        <v>'E06'!$A$6:$C$11</v>
      </c>
      <c r="D58" s="11" t="s">
        <v>79</v>
      </c>
      <c r="E58" s="5"/>
    </row>
    <row r="59" spans="1:20" x14ac:dyDescent="0.25">
      <c r="A59" t="s">
        <v>60</v>
      </c>
      <c r="B59" t="s">
        <v>61</v>
      </c>
      <c r="C59" t="s">
        <v>62</v>
      </c>
      <c r="D59" t="s">
        <v>63</v>
      </c>
      <c r="E59" t="s">
        <v>64</v>
      </c>
    </row>
    <row r="60" spans="1:20" x14ac:dyDescent="0.25">
      <c r="A60" t="str">
        <f>'E06'!$A$7</f>
        <v>Sudeste</v>
      </c>
      <c r="B60" s="12">
        <f>_xlfn.AGGREGATE(9,6,'E06'!$B$7:$C$7)</f>
        <v>42264</v>
      </c>
      <c r="C60">
        <f>IF(SUMIF('E06'!$B$7:$C$7,"&gt;0")&gt;0,SUMIF('E06'!$B$7:$C$7,"&gt;0"),SUMIF('E06'!$B$7:$C$7,"&lt;0"))</f>
        <v>42264</v>
      </c>
      <c r="D60">
        <f>4.5</f>
        <v>4.5</v>
      </c>
      <c r="E60">
        <f>AVERAGE($B$60:$B$64)</f>
        <v>25942</v>
      </c>
    </row>
    <row r="61" spans="1:20" x14ac:dyDescent="0.25">
      <c r="A61" t="str">
        <f>'E06'!$A$8</f>
        <v>Sul</v>
      </c>
      <c r="B61" s="12">
        <f>_xlfn.AGGREGATE(9,6,'E06'!$B$8:$C$8)</f>
        <v>34905</v>
      </c>
      <c r="C61">
        <f>IF(SUMIF('E06'!$B$8:$C$8,"&gt;0")&gt;0,SUMIF('E06'!$B$8:$C$8,"&gt;0"),SUMIF('E06'!$B$8:$C$8,"&lt;0"))</f>
        <v>34905</v>
      </c>
      <c r="D61">
        <f>3.5</f>
        <v>3.5</v>
      </c>
      <c r="E61">
        <f>AVERAGE($B$60:$B$64)</f>
        <v>25942</v>
      </c>
    </row>
    <row r="62" spans="1:20" x14ac:dyDescent="0.25">
      <c r="A62" t="str">
        <f>'E06'!$A$9</f>
        <v>Nordeste</v>
      </c>
      <c r="B62" s="12">
        <f>_xlfn.AGGREGATE(9,6,'E06'!$B$9:$C$9)</f>
        <v>25450</v>
      </c>
      <c r="C62">
        <f>IF(SUMIF('E06'!$B$9:$C$9,"&gt;0")&gt;0,SUMIF('E06'!$B$9:$C$9,"&gt;0"),SUMIF('E06'!$B$9:$C$9,"&lt;0"))</f>
        <v>25450</v>
      </c>
      <c r="D62">
        <f>2.5</f>
        <v>2.5</v>
      </c>
      <c r="E62">
        <f>AVERAGE($B$60:$B$64)</f>
        <v>25942</v>
      </c>
    </row>
    <row r="63" spans="1:20" x14ac:dyDescent="0.25">
      <c r="A63" t="str">
        <f>'E06'!$A$10</f>
        <v>Centro-Oeste</v>
      </c>
      <c r="B63" s="12">
        <f>_xlfn.AGGREGATE(9,6,'E06'!$B$10:$C$10)</f>
        <v>17656</v>
      </c>
      <c r="C63">
        <f>IF(SUMIF('E06'!$B$10:$C$10,"&gt;0")&gt;0,SUMIF('E06'!$B$10:$C$10,"&gt;0"),SUMIF('E06'!$B$10:$C$10,"&lt;0"))</f>
        <v>17656</v>
      </c>
      <c r="D63">
        <f>1.5</f>
        <v>1.5</v>
      </c>
      <c r="E63">
        <f>AVERAGE($B$60:$B$64)</f>
        <v>25942</v>
      </c>
    </row>
    <row r="64" spans="1:20" x14ac:dyDescent="0.25">
      <c r="A64" t="str">
        <f>'E06'!$A$11</f>
        <v>Norte</v>
      </c>
      <c r="B64" s="12">
        <f>_xlfn.AGGREGATE(9,6,'E06'!$B$11:$C$11)</f>
        <v>9435</v>
      </c>
      <c r="C64">
        <f>IF(SUMIF('E06'!$B$11:$C$11,"&gt;0")&gt;0,SUMIF('E06'!$B$11:$C$11,"&gt;0"),SUMIF('E06'!$B$11:$C$11,"&lt;0"))</f>
        <v>9435</v>
      </c>
      <c r="D64">
        <f>0.5</f>
        <v>0.5</v>
      </c>
      <c r="E64">
        <f>AVERAGE($B$60:$B$64)</f>
        <v>25942</v>
      </c>
    </row>
    <row r="66" spans="1:7" x14ac:dyDescent="0.25">
      <c r="A66" s="11" t="s">
        <v>131</v>
      </c>
      <c r="B66" s="5" t="s">
        <v>132</v>
      </c>
      <c r="C66" s="5" t="str">
        <f>"'E07'!$A$6:$C$14"</f>
        <v>'E07'!$A$6:$C$14</v>
      </c>
      <c r="D66" s="11" t="s">
        <v>133</v>
      </c>
      <c r="E66" s="5"/>
    </row>
    <row r="67" spans="1:7" x14ac:dyDescent="0.25">
      <c r="A67" t="s">
        <v>60</v>
      </c>
      <c r="B67" t="s">
        <v>61</v>
      </c>
      <c r="C67" t="s">
        <v>62</v>
      </c>
      <c r="D67" t="s">
        <v>63</v>
      </c>
      <c r="E67" t="s">
        <v>64</v>
      </c>
    </row>
    <row r="68" spans="1:7" x14ac:dyDescent="0.25">
      <c r="A68" t="str">
        <f>'E07'!$A$7</f>
        <v>Aurora Centro</v>
      </c>
      <c r="B68" s="17">
        <f>_xlfn.AGGREGATE(9,6,'E07'!$B$7:$C$7)</f>
        <v>49524057</v>
      </c>
      <c r="C68">
        <f>B68</f>
        <v>49524057</v>
      </c>
      <c r="D68">
        <f>7.5</f>
        <v>7.5</v>
      </c>
      <c r="E68">
        <f>IFERROR(_xlfn.AGGREGATE(1,6,'E07'!$B$7:$C$14),0)</f>
        <v>15433386.625</v>
      </c>
    </row>
    <row r="69" spans="1:7" x14ac:dyDescent="0.25">
      <c r="A69" t="str">
        <f>'E07'!$A$8</f>
        <v>Porto Sereno</v>
      </c>
      <c r="B69" s="17">
        <f>_xlfn.AGGREGATE(9,6,'E07'!$B$8:$C$8)</f>
        <v>39565143</v>
      </c>
      <c r="C69">
        <f>B69</f>
        <v>39565143</v>
      </c>
      <c r="D69">
        <f>6.5</f>
        <v>6.5</v>
      </c>
      <c r="E69">
        <f>IFERROR(_xlfn.AGGREGATE(1,6,'E07'!$B$7:$C$14),0)</f>
        <v>15433386.625</v>
      </c>
    </row>
    <row r="70" spans="1:7" x14ac:dyDescent="0.25">
      <c r="A70" t="str">
        <f>'E07'!$A$9</f>
        <v>Campo Dourado</v>
      </c>
      <c r="B70" s="17">
        <f>_xlfn.AGGREGATE(9,6,'E07'!$B$9:$C$9)</f>
        <v>33893051</v>
      </c>
      <c r="C70">
        <f>B70</f>
        <v>33893051</v>
      </c>
      <c r="D70">
        <f>5.5</f>
        <v>5.5</v>
      </c>
      <c r="E70">
        <f>IFERROR(_xlfn.AGGREGATE(1,6,'E07'!$B$7:$C$14),0)</f>
        <v>15433386.625</v>
      </c>
    </row>
    <row r="71" spans="1:7" x14ac:dyDescent="0.25">
      <c r="A71" t="str">
        <f>'E07'!$A$10</f>
        <v>Aurora Norte</v>
      </c>
      <c r="B71" s="17">
        <f>_xlfn.AGGREGATE(9,6,'E07'!$B$10:$C$10)</f>
        <v>30837367</v>
      </c>
      <c r="C71">
        <f>B71</f>
        <v>30837367</v>
      </c>
      <c r="D71">
        <f>4.5</f>
        <v>4.5</v>
      </c>
      <c r="E71">
        <f>IFERROR(_xlfn.AGGREGATE(1,6,'E07'!$B$7:$C$14),0)</f>
        <v>15433386.625</v>
      </c>
    </row>
    <row r="72" spans="1:7" x14ac:dyDescent="0.25">
      <c r="A72" t="str">
        <f>'E07'!$A$11</f>
        <v>Lago Prateado</v>
      </c>
      <c r="B72" s="17">
        <f>_xlfn.AGGREGATE(9,6,'E07'!$B$11:$C$11)</f>
        <v>27934127</v>
      </c>
      <c r="C72">
        <f>B72</f>
        <v>27934127</v>
      </c>
      <c r="D72">
        <f>3.5</f>
        <v>3.5</v>
      </c>
      <c r="E72">
        <f>IFERROR(_xlfn.AGGREGATE(1,6,'E07'!$B$7:$C$14),0)</f>
        <v>15433386.625</v>
      </c>
    </row>
    <row r="73" spans="1:7" x14ac:dyDescent="0.25">
      <c r="A73" t="str">
        <f>'E07'!$A$12</f>
        <v>Serra Clara</v>
      </c>
      <c r="B73" s="17">
        <f>_xlfn.AGGREGATE(9,6,'E07'!$B$12:$C$12)</f>
        <v>25906922</v>
      </c>
      <c r="C73">
        <f>B73</f>
        <v>25906922</v>
      </c>
      <c r="D73">
        <f>2.5</f>
        <v>2.5</v>
      </c>
      <c r="E73">
        <f>IFERROR(_xlfn.AGGREGATE(1,6,'E07'!$B$7:$C$14),0)</f>
        <v>15433386.625</v>
      </c>
    </row>
    <row r="74" spans="1:7" x14ac:dyDescent="0.25">
      <c r="A74" t="str">
        <f>'E07'!$A$13</f>
        <v>Monte Alvorada</v>
      </c>
      <c r="B74" s="17">
        <f>_xlfn.AGGREGATE(9,6,'E07'!$B$13:$C$13)</f>
        <v>21123064</v>
      </c>
      <c r="C74">
        <f>B74</f>
        <v>21123064</v>
      </c>
      <c r="D74">
        <f>1.5</f>
        <v>1.5</v>
      </c>
      <c r="E74">
        <f>IFERROR(_xlfn.AGGREGATE(1,6,'E07'!$B$7:$C$14),0)</f>
        <v>15433386.625</v>
      </c>
    </row>
    <row r="75" spans="1:7" x14ac:dyDescent="0.25">
      <c r="A75" t="str">
        <f>'E07'!$A$14</f>
        <v>Rio Turquesa</v>
      </c>
      <c r="B75" s="17">
        <f>_xlfn.AGGREGATE(9,6,'E07'!$B$14:$C$14)</f>
        <v>18150455</v>
      </c>
      <c r="C75">
        <f>B75</f>
        <v>18150455</v>
      </c>
      <c r="D75">
        <f>0.5</f>
        <v>0.5</v>
      </c>
      <c r="E75">
        <f>IFERROR(_xlfn.AGGREGATE(1,6,'E07'!$B$7:$C$14),0)</f>
        <v>15433386.625</v>
      </c>
    </row>
    <row r="77" spans="1:7" x14ac:dyDescent="0.25">
      <c r="A77" s="11" t="s">
        <v>137</v>
      </c>
      <c r="B77" s="5" t="s">
        <v>138</v>
      </c>
      <c r="C77" s="5" t="str">
        <f>"'E08'!$A$6:$C$14"</f>
        <v>'E08'!$A$6:$C$14</v>
      </c>
      <c r="D77" s="11" t="s">
        <v>139</v>
      </c>
      <c r="E77" s="5"/>
      <c r="F77" s="5"/>
      <c r="G77" s="5"/>
    </row>
    <row r="78" spans="1:7" x14ac:dyDescent="0.25">
      <c r="A78" t="s">
        <v>60</v>
      </c>
      <c r="B78" t="s">
        <v>61</v>
      </c>
      <c r="C78" t="s">
        <v>62</v>
      </c>
      <c r="D78" t="s">
        <v>77</v>
      </c>
      <c r="E78" t="s">
        <v>78</v>
      </c>
      <c r="F78" t="s">
        <v>63</v>
      </c>
      <c r="G78" t="s">
        <v>64</v>
      </c>
    </row>
    <row r="79" spans="1:7" x14ac:dyDescent="0.25">
      <c r="A79" t="str">
        <f>'E08'!$A$7</f>
        <v>Aurora Centro</v>
      </c>
      <c r="B79" s="12">
        <f>_xlfn.AGGREGATE(9,6,'E08'!$B$7:$C$7)</f>
        <v>26200</v>
      </c>
      <c r="C79">
        <f>1</f>
        <v>1</v>
      </c>
      <c r="D79" s="15">
        <f>IF(AND(ISNUMBER('E08'!$B$7),B79&lt;&gt;0),'E08'!$B$7/B79,0)</f>
        <v>0.56980916030534356</v>
      </c>
      <c r="E79" s="15">
        <f>IF(AND(ISNUMBER('E08'!$C$7),B79&lt;&gt;0),'E08'!$C$7/B79,0)</f>
        <v>0.43019083969465649</v>
      </c>
      <c r="F79">
        <f>7.5</f>
        <v>7.5</v>
      </c>
      <c r="G79" t="e">
        <f>NA()</f>
        <v>#N/A</v>
      </c>
    </row>
    <row r="80" spans="1:7" x14ac:dyDescent="0.25">
      <c r="A80" t="str">
        <f>'E08'!$A$8</f>
        <v>Porto Sereno</v>
      </c>
      <c r="B80" s="12">
        <f>_xlfn.AGGREGATE(9,6,'E08'!$B$8:$C$8)</f>
        <v>21085</v>
      </c>
      <c r="C80">
        <f>1</f>
        <v>1</v>
      </c>
      <c r="D80" s="15">
        <f>IF(AND(ISNUMBER('E08'!$B$8),B80&lt;&gt;0),'E08'!$B$8/B80,0)</f>
        <v>0.76158406450082994</v>
      </c>
      <c r="E80" s="15">
        <f>IF(AND(ISNUMBER('E08'!$C$8),B80&lt;&gt;0),'E08'!$C$8/B80,0)</f>
        <v>0.23841593549917003</v>
      </c>
      <c r="F80">
        <f>6.5</f>
        <v>6.5</v>
      </c>
      <c r="G80" t="e">
        <f>NA()</f>
        <v>#N/A</v>
      </c>
    </row>
    <row r="81" spans="1:20" x14ac:dyDescent="0.25">
      <c r="A81" t="str">
        <f>'E08'!$A$9</f>
        <v>Campo Dourado</v>
      </c>
      <c r="B81" s="12">
        <f>_xlfn.AGGREGATE(9,6,'E08'!$B$9:$C$9)</f>
        <v>17656</v>
      </c>
      <c r="C81">
        <f>1</f>
        <v>1</v>
      </c>
      <c r="D81" s="15">
        <f>IF(AND(ISNUMBER('E08'!$B$9),B81&lt;&gt;0),'E08'!$B$9/B81,0)</f>
        <v>0.68934073402809248</v>
      </c>
      <c r="E81" s="15">
        <f>IF(AND(ISNUMBER('E08'!$C$9),B81&lt;&gt;0),'E08'!$C$9/B81,0)</f>
        <v>0.31065926597190757</v>
      </c>
      <c r="F81">
        <f>5.5</f>
        <v>5.5</v>
      </c>
      <c r="G81" t="e">
        <f>NA()</f>
        <v>#N/A</v>
      </c>
    </row>
    <row r="82" spans="1:20" x14ac:dyDescent="0.25">
      <c r="A82" t="str">
        <f>'E08'!$A$10</f>
        <v>Aurora Norte</v>
      </c>
      <c r="B82" s="12">
        <f>_xlfn.AGGREGATE(9,6,'E08'!$B$10:$C$10)</f>
        <v>16064</v>
      </c>
      <c r="C82">
        <f>1</f>
        <v>1</v>
      </c>
      <c r="D82" s="15">
        <f>IF(AND(ISNUMBER('E08'!$B$10),B82&lt;&gt;0),'E08'!$B$10/B82,0)</f>
        <v>0.66901145418326691</v>
      </c>
      <c r="E82" s="15">
        <f>IF(AND(ISNUMBER('E08'!$C$10),B82&lt;&gt;0),'E08'!$C$10/B82,0)</f>
        <v>0.33098854581673309</v>
      </c>
      <c r="F82">
        <f>4.5</f>
        <v>4.5</v>
      </c>
      <c r="G82" t="e">
        <f>NA()</f>
        <v>#N/A</v>
      </c>
    </row>
    <row r="83" spans="1:20" x14ac:dyDescent="0.25">
      <c r="A83" t="str">
        <f>'E08'!$A$11</f>
        <v>Lago Prateado</v>
      </c>
      <c r="B83" s="12">
        <f>_xlfn.AGGREGATE(9,6,'E08'!$B$11:$C$11)</f>
        <v>14532</v>
      </c>
      <c r="C83">
        <f>1</f>
        <v>1</v>
      </c>
      <c r="D83" s="15">
        <f>IF(AND(ISNUMBER('E08'!$B$11),B83&lt;&gt;0),'E08'!$B$11/B83,0)</f>
        <v>0.78867327277731902</v>
      </c>
      <c r="E83" s="15">
        <f>IF(AND(ISNUMBER('E08'!$C$11),B83&lt;&gt;0),'E08'!$C$11/B83,0)</f>
        <v>0.21132672722268098</v>
      </c>
      <c r="F83">
        <f>3.5</f>
        <v>3.5</v>
      </c>
      <c r="G83" t="e">
        <f>NA()</f>
        <v>#N/A</v>
      </c>
    </row>
    <row r="84" spans="1:20" x14ac:dyDescent="0.25">
      <c r="A84" t="str">
        <f>'E08'!$A$12</f>
        <v>Serra Clara</v>
      </c>
      <c r="B84" s="12">
        <f>_xlfn.AGGREGATE(9,6,'E08'!$B$12:$C$12)</f>
        <v>13820</v>
      </c>
      <c r="C84">
        <f>1</f>
        <v>1</v>
      </c>
      <c r="D84" s="15">
        <f>IF(AND(ISNUMBER('E08'!$B$12),B84&lt;&gt;0),'E08'!$B$12/B84,0)</f>
        <v>0.53270622286541247</v>
      </c>
      <c r="E84" s="15">
        <f>IF(AND(ISNUMBER('E08'!$C$12),B84&lt;&gt;0),'E08'!$C$12/B84,0)</f>
        <v>0.46729377713458753</v>
      </c>
      <c r="F84">
        <f>2.5</f>
        <v>2.5</v>
      </c>
      <c r="G84" t="e">
        <f>NA()</f>
        <v>#N/A</v>
      </c>
    </row>
    <row r="85" spans="1:20" x14ac:dyDescent="0.25">
      <c r="A85" t="str">
        <f>'E08'!$A$13</f>
        <v>Monte Alvorada</v>
      </c>
      <c r="B85" s="12">
        <f>_xlfn.AGGREGATE(9,6,'E08'!$B$13:$C$13)</f>
        <v>10918</v>
      </c>
      <c r="C85">
        <f>1</f>
        <v>1</v>
      </c>
      <c r="D85" s="15">
        <f>IF(AND(ISNUMBER('E08'!$B$13),B85&lt;&gt;0),'E08'!$B$13/B85,0)</f>
        <v>0.71661476460890272</v>
      </c>
      <c r="E85" s="15">
        <f>IF(AND(ISNUMBER('E08'!$C$13),B85&lt;&gt;0),'E08'!$C$13/B85,0)</f>
        <v>0.28338523539109728</v>
      </c>
      <c r="F85">
        <f>1.5</f>
        <v>1.5</v>
      </c>
      <c r="G85" t="e">
        <f>NA()</f>
        <v>#N/A</v>
      </c>
    </row>
    <row r="86" spans="1:20" x14ac:dyDescent="0.25">
      <c r="A86" t="str">
        <f>'E08'!$A$14</f>
        <v>Rio Turquesa</v>
      </c>
      <c r="B86" s="12">
        <f>_xlfn.AGGREGATE(9,6,'E08'!$B$14:$C$14)</f>
        <v>9435</v>
      </c>
      <c r="C86">
        <f>1</f>
        <v>1</v>
      </c>
      <c r="D86" s="15">
        <f>IF(AND(ISNUMBER('E08'!$B$14),B86&lt;&gt;0),'E08'!$B$14/B86,0)</f>
        <v>0.66094329623741388</v>
      </c>
      <c r="E86" s="15">
        <f>IF(AND(ISNUMBER('E08'!$C$14),B86&lt;&gt;0),'E08'!$C$14/B86,0)</f>
        <v>0.33905670376258612</v>
      </c>
      <c r="F86">
        <f>0.5</f>
        <v>0.5</v>
      </c>
      <c r="G86" t="e">
        <f>NA()</f>
        <v>#N/A</v>
      </c>
    </row>
    <row r="88" spans="1:20" x14ac:dyDescent="0.25">
      <c r="A88" s="11" t="s">
        <v>143</v>
      </c>
      <c r="B88" s="5" t="s">
        <v>144</v>
      </c>
      <c r="C88" s="5" t="str">
        <f>"'E09'!$A$6:$B$13"</f>
        <v>'E09'!$A$6:$B$13</v>
      </c>
      <c r="D88" s="11" t="s">
        <v>122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1:20" x14ac:dyDescent="0.25">
      <c r="A89" t="s">
        <v>104</v>
      </c>
      <c r="B89" t="s">
        <v>105</v>
      </c>
      <c r="C89" t="s">
        <v>106</v>
      </c>
      <c r="D89" t="s">
        <v>107</v>
      </c>
      <c r="E89" t="s">
        <v>108</v>
      </c>
      <c r="F89" t="s">
        <v>109</v>
      </c>
      <c r="G89" t="s">
        <v>110</v>
      </c>
      <c r="H89" t="s">
        <v>111</v>
      </c>
      <c r="I89" t="s">
        <v>112</v>
      </c>
      <c r="J89" t="s">
        <v>113</v>
      </c>
      <c r="K89" t="s">
        <v>114</v>
      </c>
      <c r="L89" t="s">
        <v>115</v>
      </c>
      <c r="M89" t="s">
        <v>116</v>
      </c>
      <c r="N89" t="s">
        <v>117</v>
      </c>
      <c r="O89" t="s">
        <v>118</v>
      </c>
      <c r="P89" t="s">
        <v>61</v>
      </c>
      <c r="Q89" t="s">
        <v>119</v>
      </c>
      <c r="R89" t="s">
        <v>120</v>
      </c>
      <c r="S89" t="s">
        <v>63</v>
      </c>
      <c r="T89" t="s">
        <v>121</v>
      </c>
    </row>
    <row r="90" spans="1:20" x14ac:dyDescent="0.25">
      <c r="A90" t="str">
        <f>'E09'!$A$7</f>
        <v>Receita bruta</v>
      </c>
      <c r="B90" s="3">
        <f>'E09'!$B$7</f>
        <v>129710</v>
      </c>
      <c r="C90" t="b">
        <f>IF(ISERROR(B90),FALSE,IF(ISNUMBER(B90),FALSE,OR(LOWER(TRIM(B90&amp;""))={"e","t","=","total","subtotal"})))</f>
        <v>0</v>
      </c>
      <c r="D90">
        <f t="shared" ref="D90:D96" si="14">IF(C90,0,IF(ISNUMBER(B90),B90,0))</f>
        <v>129710</v>
      </c>
      <c r="E90">
        <f>0</f>
        <v>0</v>
      </c>
      <c r="F90">
        <f>IF($T90,_xlfn.AGGREGATE(9,6,'E09'!$B$13)-SUM($D91:$D95),$E90+$D90)</f>
        <v>129710</v>
      </c>
      <c r="G90">
        <f t="shared" ref="G90:G96" si="15">IF(C90,MIN(0,F90),MIN(E90,F90))</f>
        <v>0</v>
      </c>
      <c r="H90">
        <f t="shared" ref="H90:H96" si="16">IF(C90,MAX(0,F90),MAX(E90,F90))</f>
        <v>129710</v>
      </c>
      <c r="I90">
        <f t="shared" ref="I90:I96" si="17">MAX(0,G90)+MIN(0,H90)</f>
        <v>0</v>
      </c>
      <c r="J90">
        <f t="shared" ref="J90:J96" si="18">MAX(0,H90)-MAX(0,G90)</f>
        <v>129710</v>
      </c>
      <c r="K90">
        <f t="shared" ref="K90:K96" si="19">MIN(0,G90)-MIN(0,H90)</f>
        <v>0</v>
      </c>
      <c r="L90">
        <f t="shared" ref="L90:L96" si="20">IF(AND(NOT(C90),D90&gt;=0),J90,0)</f>
        <v>129710</v>
      </c>
      <c r="M90">
        <f t="shared" ref="M90:M96" si="21">IF(AND(NOT(C90),D90&gt;=0),K90,0)</f>
        <v>0</v>
      </c>
      <c r="N90">
        <f t="shared" ref="N90:N96" si="22">IF(AND(NOT(C90),D90&lt;0),J90,0)</f>
        <v>0</v>
      </c>
      <c r="O90">
        <f t="shared" ref="O90:O96" si="23">IF(AND(NOT(C90),D90&lt;0),K90,0)</f>
        <v>0</v>
      </c>
      <c r="P90">
        <f t="shared" ref="P90:P96" si="24">IF(C90,F90,0)</f>
        <v>0</v>
      </c>
      <c r="Q90" s="12">
        <f t="shared" ref="Q90:Q96" si="25">IF(C90,F90,D90)</f>
        <v>129710</v>
      </c>
      <c r="R90">
        <f t="shared" ref="R90:R96" si="26">IF(Q90&gt;=0,H90,G90)</f>
        <v>129710</v>
      </c>
      <c r="S90">
        <f>6.5</f>
        <v>6.5</v>
      </c>
      <c r="T90" t="b">
        <f>AND(IF(ISERROR('E09'!$B$7),FALSE,IF(ISNUMBER('E09'!$B$7),FALSE,OR(LOWER(TRIM('E09'!$B$7&amp;""))={"e","t","=","total","subtotal"}))),COUNT('E09'!$B$13)&gt;0,NOT(IF(ISERROR('E09'!$B$13),FALSE,IF(ISNUMBER('E09'!$B$13),FALSE,OR(LOWER(TRIM('E09'!$B$13&amp;""))={"e","t","=","total","subtotal"})))))</f>
        <v>0</v>
      </c>
    </row>
    <row r="91" spans="1:20" x14ac:dyDescent="0.25">
      <c r="A91" t="str">
        <f>'E09'!$A$8</f>
        <v>Custo das mercadorias</v>
      </c>
      <c r="B91" s="3">
        <f>'E09'!$B$8</f>
        <v>-88293</v>
      </c>
      <c r="C91" t="b">
        <f>IF(ISERROR(B91),FALSE,IF(ISNUMBER(B91),FALSE,OR(LOWER(TRIM(B91&amp;""))={"e","t","=","total","subtotal"})))</f>
        <v>0</v>
      </c>
      <c r="D91">
        <f t="shared" si="14"/>
        <v>-88293</v>
      </c>
      <c r="E91">
        <f>F90</f>
        <v>129710</v>
      </c>
      <c r="F91">
        <f t="shared" ref="F90:F96" si="27">$E91+$D91</f>
        <v>41417</v>
      </c>
      <c r="G91">
        <f t="shared" si="15"/>
        <v>41417</v>
      </c>
      <c r="H91">
        <f t="shared" si="16"/>
        <v>129710</v>
      </c>
      <c r="I91">
        <f t="shared" si="17"/>
        <v>41417</v>
      </c>
      <c r="J91">
        <f t="shared" si="18"/>
        <v>88293</v>
      </c>
      <c r="K91">
        <f t="shared" si="19"/>
        <v>0</v>
      </c>
      <c r="L91">
        <f t="shared" si="20"/>
        <v>0</v>
      </c>
      <c r="M91">
        <f t="shared" si="21"/>
        <v>0</v>
      </c>
      <c r="N91">
        <f t="shared" si="22"/>
        <v>88293</v>
      </c>
      <c r="O91">
        <f t="shared" si="23"/>
        <v>0</v>
      </c>
      <c r="P91">
        <f t="shared" si="24"/>
        <v>0</v>
      </c>
      <c r="Q91" s="12">
        <f t="shared" si="25"/>
        <v>-88293</v>
      </c>
      <c r="R91">
        <f t="shared" si="26"/>
        <v>41417</v>
      </c>
      <c r="S91">
        <f>5.5</f>
        <v>5.5</v>
      </c>
      <c r="T91" t="b">
        <f>AND(IF(ISERROR('E09'!$B$7),FALSE,IF(ISNUMBER('E09'!$B$7),FALSE,OR(LOWER(TRIM('E09'!$B$7&amp;""))={"e","t","=","total","subtotal"}))),COUNT('E09'!$B$13)&gt;0,NOT(IF(ISERROR('E09'!$B$13),FALSE,IF(ISNUMBER('E09'!$B$13),FALSE,OR(LOWER(TRIM('E09'!$B$13&amp;""))={"e","t","=","total","subtotal"})))))</f>
        <v>0</v>
      </c>
    </row>
    <row r="92" spans="1:20" x14ac:dyDescent="0.25">
      <c r="A92" t="str">
        <f>'E09'!$A$9</f>
        <v>Despesas operacionais</v>
      </c>
      <c r="B92" s="3">
        <f>'E09'!$B$9</f>
        <v>-27239</v>
      </c>
      <c r="C92" t="b">
        <f>IF(ISERROR(B92),FALSE,IF(ISNUMBER(B92),FALSE,OR(LOWER(TRIM(B92&amp;""))={"e","t","=","total","subtotal"})))</f>
        <v>0</v>
      </c>
      <c r="D92">
        <f t="shared" si="14"/>
        <v>-27239</v>
      </c>
      <c r="E92">
        <f>F91</f>
        <v>41417</v>
      </c>
      <c r="F92">
        <f t="shared" si="27"/>
        <v>14178</v>
      </c>
      <c r="G92">
        <f t="shared" si="15"/>
        <v>14178</v>
      </c>
      <c r="H92">
        <f t="shared" si="16"/>
        <v>41417</v>
      </c>
      <c r="I92">
        <f t="shared" si="17"/>
        <v>14178</v>
      </c>
      <c r="J92">
        <f t="shared" si="18"/>
        <v>27239</v>
      </c>
      <c r="K92">
        <f t="shared" si="19"/>
        <v>0</v>
      </c>
      <c r="L92">
        <f t="shared" si="20"/>
        <v>0</v>
      </c>
      <c r="M92">
        <f t="shared" si="21"/>
        <v>0</v>
      </c>
      <c r="N92">
        <f t="shared" si="22"/>
        <v>27239</v>
      </c>
      <c r="O92">
        <f t="shared" si="23"/>
        <v>0</v>
      </c>
      <c r="P92">
        <f t="shared" si="24"/>
        <v>0</v>
      </c>
      <c r="Q92" s="12">
        <f t="shared" si="25"/>
        <v>-27239</v>
      </c>
      <c r="R92">
        <f t="shared" si="26"/>
        <v>14178</v>
      </c>
      <c r="S92">
        <f>4.5</f>
        <v>4.5</v>
      </c>
      <c r="T92" t="b">
        <f>AND(IF(ISERROR('E09'!$B$7),FALSE,IF(ISNUMBER('E09'!$B$7),FALSE,OR(LOWER(TRIM('E09'!$B$7&amp;""))={"e","t","=","total","subtotal"}))),COUNT('E09'!$B$13)&gt;0,NOT(IF(ISERROR('E09'!$B$13),FALSE,IF(ISNUMBER('E09'!$B$13),FALSE,OR(LOWER(TRIM('E09'!$B$13&amp;""))={"e","t","=","total","subtotal"})))))</f>
        <v>0</v>
      </c>
    </row>
    <row r="93" spans="1:20" x14ac:dyDescent="0.25">
      <c r="A93" t="str">
        <f>'E09'!$A$10</f>
        <v>EBITDA</v>
      </c>
      <c r="B93" s="3" t="str">
        <f>'E09'!$B$10</f>
        <v>e</v>
      </c>
      <c r="C93" t="b">
        <f>IF(ISERROR(B93),FALSE,IF(ISNUMBER(B93),FALSE,OR(LOWER(TRIM(B93&amp;""))={"e","t","=","total","subtotal"})))</f>
        <v>1</v>
      </c>
      <c r="D93">
        <f t="shared" si="14"/>
        <v>0</v>
      </c>
      <c r="E93">
        <f>F92</f>
        <v>14178</v>
      </c>
      <c r="F93">
        <f t="shared" si="27"/>
        <v>14178</v>
      </c>
      <c r="G93">
        <f t="shared" si="15"/>
        <v>0</v>
      </c>
      <c r="H93">
        <f t="shared" si="16"/>
        <v>14178</v>
      </c>
      <c r="I93">
        <f t="shared" si="17"/>
        <v>0</v>
      </c>
      <c r="J93">
        <f t="shared" si="18"/>
        <v>14178</v>
      </c>
      <c r="K93">
        <f t="shared" si="19"/>
        <v>0</v>
      </c>
      <c r="L93">
        <f t="shared" si="20"/>
        <v>0</v>
      </c>
      <c r="M93">
        <f t="shared" si="21"/>
        <v>0</v>
      </c>
      <c r="N93">
        <f t="shared" si="22"/>
        <v>0</v>
      </c>
      <c r="O93">
        <f t="shared" si="23"/>
        <v>0</v>
      </c>
      <c r="P93">
        <f t="shared" si="24"/>
        <v>14178</v>
      </c>
      <c r="Q93" s="12">
        <f t="shared" si="25"/>
        <v>14178</v>
      </c>
      <c r="R93">
        <f t="shared" si="26"/>
        <v>14178</v>
      </c>
      <c r="S93">
        <f>3.5</f>
        <v>3.5</v>
      </c>
      <c r="T93" t="b">
        <f>AND(IF(ISERROR('E09'!$B$7),FALSE,IF(ISNUMBER('E09'!$B$7),FALSE,OR(LOWER(TRIM('E09'!$B$7&amp;""))={"e","t","=","total","subtotal"}))),COUNT('E09'!$B$13)&gt;0,NOT(IF(ISERROR('E09'!$B$13),FALSE,IF(ISNUMBER('E09'!$B$13),FALSE,OR(LOWER(TRIM('E09'!$B$13&amp;""))={"e","t","=","total","subtotal"})))))</f>
        <v>0</v>
      </c>
    </row>
    <row r="94" spans="1:20" x14ac:dyDescent="0.25">
      <c r="A94" t="str">
        <f>'E09'!$A$11</f>
        <v>Depreciação e juros</v>
      </c>
      <c r="B94" s="3">
        <f>'E09'!$B$11</f>
        <v>-3243</v>
      </c>
      <c r="C94" t="b">
        <f>IF(ISERROR(B94),FALSE,IF(ISNUMBER(B94),FALSE,OR(LOWER(TRIM(B94&amp;""))={"e","t","=","total","subtotal"})))</f>
        <v>0</v>
      </c>
      <c r="D94">
        <f t="shared" si="14"/>
        <v>-3243</v>
      </c>
      <c r="E94">
        <f>F93</f>
        <v>14178</v>
      </c>
      <c r="F94">
        <f t="shared" si="27"/>
        <v>10935</v>
      </c>
      <c r="G94">
        <f t="shared" si="15"/>
        <v>10935</v>
      </c>
      <c r="H94">
        <f t="shared" si="16"/>
        <v>14178</v>
      </c>
      <c r="I94">
        <f t="shared" si="17"/>
        <v>10935</v>
      </c>
      <c r="J94">
        <f t="shared" si="18"/>
        <v>3243</v>
      </c>
      <c r="K94">
        <f t="shared" si="19"/>
        <v>0</v>
      </c>
      <c r="L94">
        <f t="shared" si="20"/>
        <v>0</v>
      </c>
      <c r="M94">
        <f t="shared" si="21"/>
        <v>0</v>
      </c>
      <c r="N94">
        <f t="shared" si="22"/>
        <v>3243</v>
      </c>
      <c r="O94">
        <f t="shared" si="23"/>
        <v>0</v>
      </c>
      <c r="P94">
        <f t="shared" si="24"/>
        <v>0</v>
      </c>
      <c r="Q94" s="12">
        <f t="shared" si="25"/>
        <v>-3243</v>
      </c>
      <c r="R94">
        <f t="shared" si="26"/>
        <v>10935</v>
      </c>
      <c r="S94">
        <f>2.5</f>
        <v>2.5</v>
      </c>
      <c r="T94" t="b">
        <f>AND(IF(ISERROR('E09'!$B$7),FALSE,IF(ISNUMBER('E09'!$B$7),FALSE,OR(LOWER(TRIM('E09'!$B$7&amp;""))={"e","t","=","total","subtotal"}))),COUNT('E09'!$B$13)&gt;0,NOT(IF(ISERROR('E09'!$B$13),FALSE,IF(ISNUMBER('E09'!$B$13),FALSE,OR(LOWER(TRIM('E09'!$B$13&amp;""))={"e","t","=","total","subtotal"})))))</f>
        <v>0</v>
      </c>
    </row>
    <row r="95" spans="1:20" x14ac:dyDescent="0.25">
      <c r="A95" t="str">
        <f>'E09'!$A$12</f>
        <v>Impostos</v>
      </c>
      <c r="B95" s="3">
        <f>'E09'!$B$12</f>
        <v>-3718</v>
      </c>
      <c r="C95" t="b">
        <f>IF(ISERROR(B95),FALSE,IF(ISNUMBER(B95),FALSE,OR(LOWER(TRIM(B95&amp;""))={"e","t","=","total","subtotal"})))</f>
        <v>0</v>
      </c>
      <c r="D95">
        <f t="shared" si="14"/>
        <v>-3718</v>
      </c>
      <c r="E95">
        <f>F94</f>
        <v>10935</v>
      </c>
      <c r="F95">
        <f t="shared" si="27"/>
        <v>7217</v>
      </c>
      <c r="G95">
        <f t="shared" si="15"/>
        <v>7217</v>
      </c>
      <c r="H95">
        <f t="shared" si="16"/>
        <v>10935</v>
      </c>
      <c r="I95">
        <f t="shared" si="17"/>
        <v>7217</v>
      </c>
      <c r="J95">
        <f t="shared" si="18"/>
        <v>3718</v>
      </c>
      <c r="K95">
        <f t="shared" si="19"/>
        <v>0</v>
      </c>
      <c r="L95">
        <f t="shared" si="20"/>
        <v>0</v>
      </c>
      <c r="M95">
        <f t="shared" si="21"/>
        <v>0</v>
      </c>
      <c r="N95">
        <f t="shared" si="22"/>
        <v>3718</v>
      </c>
      <c r="O95">
        <f t="shared" si="23"/>
        <v>0</v>
      </c>
      <c r="P95">
        <f t="shared" si="24"/>
        <v>0</v>
      </c>
      <c r="Q95" s="12">
        <f t="shared" si="25"/>
        <v>-3718</v>
      </c>
      <c r="R95">
        <f t="shared" si="26"/>
        <v>7217</v>
      </c>
      <c r="S95">
        <f>1.5</f>
        <v>1.5</v>
      </c>
      <c r="T95" t="b">
        <f>AND(IF(ISERROR('E09'!$B$7),FALSE,IF(ISNUMBER('E09'!$B$7),FALSE,OR(LOWER(TRIM('E09'!$B$7&amp;""))={"e","t","=","total","subtotal"}))),COUNT('E09'!$B$13)&gt;0,NOT(IF(ISERROR('E09'!$B$13),FALSE,IF(ISNUMBER('E09'!$B$13),FALSE,OR(LOWER(TRIM('E09'!$B$13&amp;""))={"e","t","=","total","subtotal"})))))</f>
        <v>0</v>
      </c>
    </row>
    <row r="96" spans="1:20" x14ac:dyDescent="0.25">
      <c r="A96" t="str">
        <f>'E09'!$A$13</f>
        <v>Lucro líquido</v>
      </c>
      <c r="B96" s="3" t="str">
        <f>'E09'!$B$13</f>
        <v>e</v>
      </c>
      <c r="C96" t="b">
        <f>OR(IF(ISERROR('E09'!$B$13),FALSE,IF(ISNUMBER('E09'!$B$13),FALSE,OR(LOWER(TRIM('E09'!$B$13&amp;""))={"e","t","=","total","subtotal"}))),$T96)</f>
        <v>1</v>
      </c>
      <c r="D96">
        <f t="shared" si="14"/>
        <v>0</v>
      </c>
      <c r="E96">
        <f>F95</f>
        <v>7217</v>
      </c>
      <c r="F96">
        <f>IF($T96,_xlfn.AGGREGATE(9,6,'E09'!$B$13),$E96+$D96)</f>
        <v>7217</v>
      </c>
      <c r="G96">
        <f t="shared" si="15"/>
        <v>0</v>
      </c>
      <c r="H96">
        <f t="shared" si="16"/>
        <v>7217</v>
      </c>
      <c r="I96">
        <f t="shared" si="17"/>
        <v>0</v>
      </c>
      <c r="J96">
        <f t="shared" si="18"/>
        <v>7217</v>
      </c>
      <c r="K96">
        <f t="shared" si="19"/>
        <v>0</v>
      </c>
      <c r="L96">
        <f t="shared" si="20"/>
        <v>0</v>
      </c>
      <c r="M96">
        <f t="shared" si="21"/>
        <v>0</v>
      </c>
      <c r="N96">
        <f t="shared" si="22"/>
        <v>0</v>
      </c>
      <c r="O96">
        <f t="shared" si="23"/>
        <v>0</v>
      </c>
      <c r="P96">
        <f t="shared" si="24"/>
        <v>7217</v>
      </c>
      <c r="Q96" s="12">
        <f t="shared" si="25"/>
        <v>7217</v>
      </c>
      <c r="R96">
        <f t="shared" si="26"/>
        <v>7217</v>
      </c>
      <c r="S96">
        <f>0.5</f>
        <v>0.5</v>
      </c>
      <c r="T96" t="b">
        <f>AND(IF(ISERROR('E09'!$B$7),FALSE,IF(ISNUMBER('E09'!$B$7),FALSE,OR(LOWER(TRIM('E09'!$B$7&amp;""))={"e","t","=","total","subtotal"}))),COUNT('E09'!$B$13)&gt;0,NOT(IF(ISERROR('E09'!$B$13),FALSE,IF(ISNUMBER('E09'!$B$13),FALSE,OR(LOWER(TRIM('E09'!$B$13&amp;""))={"e","t","=","total","subtotal"})))))</f>
        <v>0</v>
      </c>
    </row>
    <row r="98" spans="1:11" x14ac:dyDescent="0.25">
      <c r="A98" s="11" t="s">
        <v>157</v>
      </c>
      <c r="B98" s="5" t="s">
        <v>158</v>
      </c>
      <c r="C98" s="5" t="str">
        <f>"'E10'!$A$6:$D$14"</f>
        <v>'E10'!$A$6:$D$14</v>
      </c>
      <c r="D98" s="11" t="s">
        <v>165</v>
      </c>
      <c r="E98" s="5"/>
      <c r="F98" s="5"/>
      <c r="G98" s="5"/>
      <c r="H98" s="5"/>
      <c r="I98" s="5"/>
      <c r="J98" s="5"/>
      <c r="K98" s="5"/>
    </row>
    <row r="99" spans="1:11" x14ac:dyDescent="0.25">
      <c r="A99" t="s">
        <v>60</v>
      </c>
      <c r="B99" t="s">
        <v>61</v>
      </c>
      <c r="C99" t="s">
        <v>62</v>
      </c>
      <c r="D99" t="s">
        <v>159</v>
      </c>
      <c r="E99" t="s">
        <v>160</v>
      </c>
      <c r="F99" t="s">
        <v>161</v>
      </c>
      <c r="G99" t="s">
        <v>162</v>
      </c>
      <c r="H99" t="s">
        <v>163</v>
      </c>
      <c r="I99" t="s">
        <v>164</v>
      </c>
      <c r="J99" t="s">
        <v>63</v>
      </c>
      <c r="K99" t="s">
        <v>64</v>
      </c>
    </row>
    <row r="100" spans="1:11" x14ac:dyDescent="0.25">
      <c r="A100" t="str">
        <f>'E10'!$A$7</f>
        <v>T1/24</v>
      </c>
      <c r="B100" s="12">
        <f>_xlfn.AGGREGATE(9,6,'E10'!$B$7:$D$7)</f>
        <v>17039</v>
      </c>
      <c r="C100">
        <f>IF(SUMPRODUCT(MAX(G100:I100+D100:F100/2))&gt;0,SUMPRODUCT(MAX(G100:I100+D100:F100/2)),SUMPRODUCT(MIN(G100:I100+D100:F100/2)))</f>
        <v>17039</v>
      </c>
      <c r="D100" s="12">
        <f>IF(ISNUMBER('E10'!$B$7),'E10'!$B$7,0)</f>
        <v>3224</v>
      </c>
      <c r="E100" s="12">
        <f>IF(ISNUMBER('E10'!$C$7),'E10'!$C$7,0)</f>
        <v>4499</v>
      </c>
      <c r="F100" s="12">
        <f>IF(ISNUMBER('E10'!$D$7),'E10'!$D$7,0)</f>
        <v>9316</v>
      </c>
      <c r="G100">
        <f>SUM(D100:D100)-D100/2</f>
        <v>1612</v>
      </c>
      <c r="H100">
        <f>SUM(D100:E100)-E100/2</f>
        <v>5473.5</v>
      </c>
      <c r="I100">
        <f>SUM(D100:F100)-F100/2</f>
        <v>12381</v>
      </c>
      <c r="J100">
        <f>7.5</f>
        <v>7.5</v>
      </c>
      <c r="K100" s="18">
        <f>AVERAGE($B$100:$B$107)</f>
        <v>19660.75</v>
      </c>
    </row>
    <row r="101" spans="1:11" x14ac:dyDescent="0.25">
      <c r="A101" t="str">
        <f>'E10'!$A$8</f>
        <v>T2/24</v>
      </c>
      <c r="B101" s="12">
        <f>_xlfn.AGGREGATE(9,6,'E10'!$B$8:$D$8)</f>
        <v>16954</v>
      </c>
      <c r="C101">
        <f>IF(SUMPRODUCT(MAX(G101:I101+D101:F101/2))&gt;0,SUMPRODUCT(MAX(G101:I101+D101:F101/2)),SUMPRODUCT(MIN(G101:I101+D101:F101/2)))</f>
        <v>16954</v>
      </c>
      <c r="D101" s="12">
        <f>IF(ISNUMBER('E10'!$B$8),'E10'!$B$8,0)</f>
        <v>3217</v>
      </c>
      <c r="E101" s="12">
        <f>IF(ISNUMBER('E10'!$C$8),'E10'!$C$8,0)</f>
        <v>4526</v>
      </c>
      <c r="F101" s="12">
        <f>IF(ISNUMBER('E10'!$D$8),'E10'!$D$8,0)</f>
        <v>9211</v>
      </c>
      <c r="G101">
        <f>SUM(D101:D101)-D101/2</f>
        <v>1608.5</v>
      </c>
      <c r="H101">
        <f>SUM(D101:E101)-E101/2</f>
        <v>5480</v>
      </c>
      <c r="I101">
        <f>SUM(D101:F101)-F101/2</f>
        <v>12348.5</v>
      </c>
      <c r="J101">
        <f>6.5</f>
        <v>6.5</v>
      </c>
      <c r="K101" s="18">
        <f>AVERAGE($B$100:$B$107)</f>
        <v>19660.75</v>
      </c>
    </row>
    <row r="102" spans="1:11" x14ac:dyDescent="0.25">
      <c r="A102" t="str">
        <f>'E10'!$A$9</f>
        <v>T3/24</v>
      </c>
      <c r="B102" s="12">
        <f>_xlfn.AGGREGATE(9,6,'E10'!$B$9:$D$9)</f>
        <v>19597</v>
      </c>
      <c r="C102">
        <f>IF(SUMPRODUCT(MAX(G102:I102+D102:F102/2))&gt;0,SUMPRODUCT(MAX(G102:I102+D102:F102/2)),SUMPRODUCT(MIN(G102:I102+D102:F102/2)))</f>
        <v>19597</v>
      </c>
      <c r="D102" s="12">
        <f>IF(ISNUMBER('E10'!$B$9),'E10'!$B$9,0)</f>
        <v>3746</v>
      </c>
      <c r="E102" s="12">
        <f>IF(ISNUMBER('E10'!$C$9),'E10'!$C$9,0)</f>
        <v>5356</v>
      </c>
      <c r="F102" s="12">
        <f>IF(ISNUMBER('E10'!$D$9),'E10'!$D$9,0)</f>
        <v>10495</v>
      </c>
      <c r="G102">
        <f>SUM(D102:D102)-D102/2</f>
        <v>1873</v>
      </c>
      <c r="H102">
        <f>SUM(D102:E102)-E102/2</f>
        <v>6424</v>
      </c>
      <c r="I102">
        <f>SUM(D102:F102)-F102/2</f>
        <v>14349.5</v>
      </c>
      <c r="J102">
        <f>5.5</f>
        <v>5.5</v>
      </c>
      <c r="K102" s="18">
        <f>AVERAGE($B$100:$B$107)</f>
        <v>19660.75</v>
      </c>
    </row>
    <row r="103" spans="1:11" x14ac:dyDescent="0.25">
      <c r="A103" t="str">
        <f>'E10'!$A$10</f>
        <v>T4/24</v>
      </c>
      <c r="B103" s="12">
        <f>_xlfn.AGGREGATE(9,6,'E10'!$B$10:$D$10)</f>
        <v>20898</v>
      </c>
      <c r="C103">
        <f>IF(SUMPRODUCT(MAX(G103:I103+D103:F103/2))&gt;0,SUMPRODUCT(MAX(G103:I103+D103:F103/2)),SUMPRODUCT(MIN(G103:I103+D103:F103/2)))</f>
        <v>20898</v>
      </c>
      <c r="D103" s="12">
        <f>IF(ISNUMBER('E10'!$B$10),'E10'!$B$10,0)</f>
        <v>3943</v>
      </c>
      <c r="E103" s="12">
        <f>IF(ISNUMBER('E10'!$C$10),'E10'!$C$10,0)</f>
        <v>5792</v>
      </c>
      <c r="F103" s="12">
        <f>IF(ISNUMBER('E10'!$D$10),'E10'!$D$10,0)</f>
        <v>11163</v>
      </c>
      <c r="G103">
        <f>SUM(D103:D103)-D103/2</f>
        <v>1971.5</v>
      </c>
      <c r="H103">
        <f>SUM(D103:E103)-E103/2</f>
        <v>6839</v>
      </c>
      <c r="I103">
        <f>SUM(D103:F103)-F103/2</f>
        <v>15316.5</v>
      </c>
      <c r="J103">
        <f>4.5</f>
        <v>4.5</v>
      </c>
      <c r="K103" s="18">
        <f>AVERAGE($B$100:$B$107)</f>
        <v>19660.75</v>
      </c>
    </row>
    <row r="104" spans="1:11" x14ac:dyDescent="0.25">
      <c r="A104" t="str">
        <f>'E10'!$A$11</f>
        <v>T1/25</v>
      </c>
      <c r="B104" s="12">
        <f>_xlfn.AGGREGATE(9,6,'E10'!$B$11:$D$11)</f>
        <v>18849</v>
      </c>
      <c r="C104">
        <f>IF(SUMPRODUCT(MAX(G104:I104+D104:F104/2))&gt;0,SUMPRODUCT(MAX(G104:I104+D104:F104/2)),SUMPRODUCT(MIN(G104:I104+D104:F104/2)))</f>
        <v>18849</v>
      </c>
      <c r="D104" s="12">
        <f>IF(ISNUMBER('E10'!$B$11),'E10'!$B$11,0)</f>
        <v>3588</v>
      </c>
      <c r="E104" s="12">
        <f>IF(ISNUMBER('E10'!$C$11),'E10'!$C$11,0)</f>
        <v>5306</v>
      </c>
      <c r="F104" s="12">
        <f>IF(ISNUMBER('E10'!$D$11),'E10'!$D$11,0)</f>
        <v>9955</v>
      </c>
      <c r="G104">
        <f>SUM(D104:D104)-D104/2</f>
        <v>1794</v>
      </c>
      <c r="H104">
        <f>SUM(D104:E104)-E104/2</f>
        <v>6241</v>
      </c>
      <c r="I104">
        <f>SUM(D104:F104)-F104/2</f>
        <v>13871.5</v>
      </c>
      <c r="J104">
        <f>3.5</f>
        <v>3.5</v>
      </c>
      <c r="K104" s="18">
        <f>AVERAGE($B$100:$B$107)</f>
        <v>19660.75</v>
      </c>
    </row>
    <row r="105" spans="1:11" x14ac:dyDescent="0.25">
      <c r="A105" t="str">
        <f>'E10'!$A$12</f>
        <v>T2/25</v>
      </c>
      <c r="B105" s="12">
        <f>_xlfn.AGGREGATE(9,6,'E10'!$B$12:$D$12)</f>
        <v>18959</v>
      </c>
      <c r="C105">
        <f>IF(SUMPRODUCT(MAX(G105:I105+D105:F105/2))&gt;0,SUMPRODUCT(MAX(G105:I105+D105:F105/2)),SUMPRODUCT(MIN(G105:I105+D105:F105/2)))</f>
        <v>18959</v>
      </c>
      <c r="D105" s="12">
        <f>IF(ISNUMBER('E10'!$B$12),'E10'!$B$12,0)</f>
        <v>3538</v>
      </c>
      <c r="E105" s="12">
        <f>IF(ISNUMBER('E10'!$C$12),'E10'!$C$12,0)</f>
        <v>5367</v>
      </c>
      <c r="F105" s="12">
        <f>IF(ISNUMBER('E10'!$D$12),'E10'!$D$12,0)</f>
        <v>10054</v>
      </c>
      <c r="G105">
        <f>SUM(D105:D105)-D105/2</f>
        <v>1769</v>
      </c>
      <c r="H105">
        <f>SUM(D105:E105)-E105/2</f>
        <v>6221.5</v>
      </c>
      <c r="I105">
        <f>SUM(D105:F105)-F105/2</f>
        <v>13932</v>
      </c>
      <c r="J105">
        <f>2.5</f>
        <v>2.5</v>
      </c>
      <c r="K105" s="18">
        <f>AVERAGE($B$100:$B$107)</f>
        <v>19660.75</v>
      </c>
    </row>
    <row r="106" spans="1:11" x14ac:dyDescent="0.25">
      <c r="A106" t="str">
        <f>'E10'!$A$13</f>
        <v>T3/25</v>
      </c>
      <c r="B106" s="12">
        <f>_xlfn.AGGREGATE(9,6,'E10'!$B$13:$D$13)</f>
        <v>21810</v>
      </c>
      <c r="C106">
        <f>IF(SUMPRODUCT(MAX(G106:I106+D106:F106/2))&gt;0,SUMPRODUCT(MAX(G106:I106+D106:F106/2)),SUMPRODUCT(MIN(G106:I106+D106:F106/2)))</f>
        <v>21810</v>
      </c>
      <c r="D106" s="12">
        <f>IF(ISNUMBER('E10'!$B$13),'E10'!$B$13,0)</f>
        <v>4162</v>
      </c>
      <c r="E106" s="12">
        <f>IF(ISNUMBER('E10'!$C$13),'E10'!$C$13,0)</f>
        <v>6298</v>
      </c>
      <c r="F106" s="12">
        <f>IF(ISNUMBER('E10'!$D$13),'E10'!$D$13,0)</f>
        <v>11350</v>
      </c>
      <c r="G106">
        <f>SUM(D106:D106)-D106/2</f>
        <v>2081</v>
      </c>
      <c r="H106">
        <f>SUM(D106:E106)-E106/2</f>
        <v>7311</v>
      </c>
      <c r="I106">
        <f>SUM(D106:F106)-F106/2</f>
        <v>16135</v>
      </c>
      <c r="J106">
        <f>1.5</f>
        <v>1.5</v>
      </c>
      <c r="K106" s="18">
        <f>AVERAGE($B$100:$B$107)</f>
        <v>19660.75</v>
      </c>
    </row>
    <row r="107" spans="1:11" x14ac:dyDescent="0.25">
      <c r="A107" t="str">
        <f>'E10'!$A$14</f>
        <v>T4/25</v>
      </c>
      <c r="B107" s="12">
        <f>_xlfn.AGGREGATE(9,6,'E10'!$B$14:$D$14)</f>
        <v>23180</v>
      </c>
      <c r="C107">
        <f>IF(SUMPRODUCT(MAX(G107:I107+D107:F107/2))&gt;0,SUMPRODUCT(MAX(G107:I107+D107:F107/2)),SUMPRODUCT(MIN(G107:I107+D107:F107/2)))</f>
        <v>23180</v>
      </c>
      <c r="D107" s="12">
        <f>IF(ISNUMBER('E10'!$B$14),'E10'!$B$14,0)</f>
        <v>4415</v>
      </c>
      <c r="E107" s="12">
        <f>IF(ISNUMBER('E10'!$C$14),'E10'!$C$14,0)</f>
        <v>6800</v>
      </c>
      <c r="F107" s="12">
        <f>IF(ISNUMBER('E10'!$D$14),'E10'!$D$14,0)</f>
        <v>11965</v>
      </c>
      <c r="G107">
        <f>SUM(D107:D107)-D107/2</f>
        <v>2207.5</v>
      </c>
      <c r="H107">
        <f>SUM(D107:E107)-E107/2</f>
        <v>7815</v>
      </c>
      <c r="I107">
        <f>SUM(D107:F107)-F107/2</f>
        <v>17197.5</v>
      </c>
      <c r="J107">
        <f>0.5</f>
        <v>0.5</v>
      </c>
      <c r="K107" s="18">
        <f>AVERAGE($B$100:$B$107)</f>
        <v>19660.75</v>
      </c>
    </row>
    <row r="109" spans="1:11" x14ac:dyDescent="0.25">
      <c r="A109" s="11" t="s">
        <v>169</v>
      </c>
      <c r="B109" s="5" t="s">
        <v>170</v>
      </c>
      <c r="C109" s="5" t="str">
        <f>"'E11'!$A$6:$D$14"</f>
        <v>'E11'!$A$6:$D$14</v>
      </c>
      <c r="D109" s="11" t="s">
        <v>171</v>
      </c>
      <c r="E109" s="5"/>
      <c r="F109" s="5"/>
      <c r="G109" s="5"/>
      <c r="H109" s="5"/>
      <c r="I109" s="5"/>
      <c r="J109" s="5"/>
      <c r="K109" s="5"/>
    </row>
    <row r="110" spans="1:11" x14ac:dyDescent="0.25">
      <c r="A110" t="s">
        <v>60</v>
      </c>
      <c r="B110" t="s">
        <v>61</v>
      </c>
      <c r="C110" t="s">
        <v>62</v>
      </c>
      <c r="D110" t="s">
        <v>159</v>
      </c>
      <c r="E110" t="s">
        <v>160</v>
      </c>
      <c r="F110" t="s">
        <v>161</v>
      </c>
      <c r="G110" t="s">
        <v>162</v>
      </c>
      <c r="H110" t="s">
        <v>163</v>
      </c>
      <c r="I110" t="s">
        <v>164</v>
      </c>
      <c r="J110" t="s">
        <v>63</v>
      </c>
      <c r="K110" t="s">
        <v>64</v>
      </c>
    </row>
    <row r="111" spans="1:11" x14ac:dyDescent="0.25">
      <c r="A111" t="str">
        <f>'E11'!$A$7</f>
        <v>T1/24</v>
      </c>
      <c r="B111" s="12">
        <f>_xlfn.AGGREGATE(9,6,'E11'!$B$7:$D$7)</f>
        <v>17039</v>
      </c>
      <c r="C111">
        <f>1</f>
        <v>1</v>
      </c>
      <c r="D111" s="15">
        <f>IF(AND(ISNUMBER('E11'!$B$7),B111&lt;&gt;0),'E11'!$B$7/B111,0)</f>
        <v>0.18921298198251071</v>
      </c>
      <c r="E111" s="15">
        <f>IF(AND(ISNUMBER('E11'!$C$7),B111&lt;&gt;0),'E11'!$C$7/B111,0)</f>
        <v>0.26404131697869593</v>
      </c>
      <c r="F111" s="15">
        <f>IF(AND(ISNUMBER('E11'!$D$7),B111&lt;&gt;0),'E11'!$D$7/B111,0)</f>
        <v>0.54674570103879339</v>
      </c>
      <c r="G111">
        <f>SUM(D111:D111)-D111/2</f>
        <v>9.4606490991255357E-2</v>
      </c>
      <c r="H111">
        <f>SUM(D111:E111)-E111/2</f>
        <v>0.32123364047185865</v>
      </c>
      <c r="I111">
        <f>SUM(D111:F111)-F111/2</f>
        <v>0.72662714948060336</v>
      </c>
      <c r="J111">
        <f>7.5</f>
        <v>7.5</v>
      </c>
      <c r="K111" t="e">
        <f>NA()</f>
        <v>#N/A</v>
      </c>
    </row>
    <row r="112" spans="1:11" x14ac:dyDescent="0.25">
      <c r="A112" t="str">
        <f>'E11'!$A$8</f>
        <v>T2/24</v>
      </c>
      <c r="B112" s="12">
        <f>_xlfn.AGGREGATE(9,6,'E11'!$B$8:$D$8)</f>
        <v>16954</v>
      </c>
      <c r="C112">
        <f>1</f>
        <v>1</v>
      </c>
      <c r="D112" s="15">
        <f>IF(AND(ISNUMBER('E11'!$B$8),B112&lt;&gt;0),'E11'!$B$8/B112,0)</f>
        <v>0.18974873186268726</v>
      </c>
      <c r="E112" s="15">
        <f>IF(AND(ISNUMBER('E11'!$C$8),B112&lt;&gt;0),'E11'!$C$8/B112,0)</f>
        <v>0.26695765011206796</v>
      </c>
      <c r="F112" s="15">
        <f>IF(AND(ISNUMBER('E11'!$D$8),B112&lt;&gt;0),'E11'!$D$8/B112,0)</f>
        <v>0.54329361802524478</v>
      </c>
      <c r="G112">
        <f>SUM(D112:D112)-D112/2</f>
        <v>9.4874365931343629E-2</v>
      </c>
      <c r="H112">
        <f>SUM(D112:E112)-E112/2</f>
        <v>0.32322755691872124</v>
      </c>
      <c r="I112">
        <f>SUM(D112:F112)-F112/2</f>
        <v>0.72835319098737761</v>
      </c>
      <c r="J112">
        <f>6.5</f>
        <v>6.5</v>
      </c>
      <c r="K112" t="e">
        <f>NA()</f>
        <v>#N/A</v>
      </c>
    </row>
    <row r="113" spans="1:11" x14ac:dyDescent="0.25">
      <c r="A113" t="str">
        <f>'E11'!$A$9</f>
        <v>T3/24</v>
      </c>
      <c r="B113" s="12">
        <f>_xlfn.AGGREGATE(9,6,'E11'!$B$9:$D$9)</f>
        <v>19597</v>
      </c>
      <c r="C113">
        <f>1</f>
        <v>1</v>
      </c>
      <c r="D113" s="15">
        <f>IF(AND(ISNUMBER('E11'!$B$9),B113&lt;&gt;0),'E11'!$B$9/B113,0)</f>
        <v>0.19115170689391234</v>
      </c>
      <c r="E113" s="15">
        <f>IF(AND(ISNUMBER('E11'!$C$9),B113&lt;&gt;0),'E11'!$C$9/B113,0)</f>
        <v>0.27330713884778285</v>
      </c>
      <c r="F113" s="15">
        <f>IF(AND(ISNUMBER('E11'!$D$9),B113&lt;&gt;0),'E11'!$D$9/B113,0)</f>
        <v>0.53554115425830484</v>
      </c>
      <c r="G113">
        <f>SUM(D113:D113)-D113/2</f>
        <v>9.5575853446956169E-2</v>
      </c>
      <c r="H113">
        <f>SUM(D113:E113)-E113/2</f>
        <v>0.32780527631780376</v>
      </c>
      <c r="I113">
        <f>SUM(D113:F113)-F113/2</f>
        <v>0.73222942287084758</v>
      </c>
      <c r="J113">
        <f>5.5</f>
        <v>5.5</v>
      </c>
      <c r="K113" t="e">
        <f>NA()</f>
        <v>#N/A</v>
      </c>
    </row>
    <row r="114" spans="1:11" x14ac:dyDescent="0.25">
      <c r="A114" t="str">
        <f>'E11'!$A$10</f>
        <v>T4/24</v>
      </c>
      <c r="B114" s="12">
        <f>_xlfn.AGGREGATE(9,6,'E11'!$B$10:$D$10)</f>
        <v>20898</v>
      </c>
      <c r="C114">
        <f>1</f>
        <v>1</v>
      </c>
      <c r="D114" s="15">
        <f>IF(AND(ISNUMBER('E11'!$B$10),B114&lt;&gt;0),'E11'!$B$10/B114,0)</f>
        <v>0.18867834242511244</v>
      </c>
      <c r="E114" s="15">
        <f>IF(AND(ISNUMBER('E11'!$C$10),B114&lt;&gt;0),'E11'!$C$10/B114,0)</f>
        <v>0.27715570868025646</v>
      </c>
      <c r="F114" s="15">
        <f>IF(AND(ISNUMBER('E11'!$D$10),B114&lt;&gt;0),'E11'!$D$10/B114,0)</f>
        <v>0.53416594889463109</v>
      </c>
      <c r="G114">
        <f>SUM(D114:D114)-D114/2</f>
        <v>9.4339171212556222E-2</v>
      </c>
      <c r="H114">
        <f>SUM(D114:E114)-E114/2</f>
        <v>0.32725619676524065</v>
      </c>
      <c r="I114">
        <f>SUM(D114:F114)-F114/2</f>
        <v>0.73291702555268445</v>
      </c>
      <c r="J114">
        <f>4.5</f>
        <v>4.5</v>
      </c>
      <c r="K114" t="e">
        <f>NA()</f>
        <v>#N/A</v>
      </c>
    </row>
    <row r="115" spans="1:11" x14ac:dyDescent="0.25">
      <c r="A115" t="str">
        <f>'E11'!$A$11</f>
        <v>T1/25</v>
      </c>
      <c r="B115" s="12">
        <f>_xlfn.AGGREGATE(9,6,'E11'!$B$11:$D$11)</f>
        <v>18849</v>
      </c>
      <c r="C115">
        <f>1</f>
        <v>1</v>
      </c>
      <c r="D115" s="15">
        <f>IF(AND(ISNUMBER('E11'!$B$11),B115&lt;&gt;0),'E11'!$B$11/B115,0)</f>
        <v>0.19035492599076875</v>
      </c>
      <c r="E115" s="15">
        <f>IF(AND(ISNUMBER('E11'!$C$11),B115&lt;&gt;0),'E11'!$C$11/B115,0)</f>
        <v>0.28150034484588043</v>
      </c>
      <c r="F115" s="15">
        <f>IF(AND(ISNUMBER('E11'!$D$11),B115&lt;&gt;0),'E11'!$D$11/B115,0)</f>
        <v>0.52814472916335087</v>
      </c>
      <c r="G115">
        <f>SUM(D115:D115)-D115/2</f>
        <v>9.5177462995384376E-2</v>
      </c>
      <c r="H115">
        <f>SUM(D115:E115)-E115/2</f>
        <v>0.33110509841370894</v>
      </c>
      <c r="I115">
        <f>SUM(D115:F115)-F115/2</f>
        <v>0.73592763541832462</v>
      </c>
      <c r="J115">
        <f>3.5</f>
        <v>3.5</v>
      </c>
      <c r="K115" t="e">
        <f>NA()</f>
        <v>#N/A</v>
      </c>
    </row>
    <row r="116" spans="1:11" x14ac:dyDescent="0.25">
      <c r="A116" t="str">
        <f>'E11'!$A$12</f>
        <v>T2/25</v>
      </c>
      <c r="B116" s="12">
        <f>_xlfn.AGGREGATE(9,6,'E11'!$B$12:$D$12)</f>
        <v>18959</v>
      </c>
      <c r="C116">
        <f>1</f>
        <v>1</v>
      </c>
      <c r="D116" s="15">
        <f>IF(AND(ISNUMBER('E11'!$B$12),B116&lt;&gt;0),'E11'!$B$12/B116,0)</f>
        <v>0.18661321799672978</v>
      </c>
      <c r="E116" s="15">
        <f>IF(AND(ISNUMBER('E11'!$C$12),B116&lt;&gt;0),'E11'!$C$12/B116,0)</f>
        <v>0.28308455087293632</v>
      </c>
      <c r="F116" s="15">
        <f>IF(AND(ISNUMBER('E11'!$D$12),B116&lt;&gt;0),'E11'!$D$12/B116,0)</f>
        <v>0.53030223113033392</v>
      </c>
      <c r="G116">
        <f>SUM(D116:D116)-D116/2</f>
        <v>9.330660899836489E-2</v>
      </c>
      <c r="H116">
        <f>SUM(D116:E116)-E116/2</f>
        <v>0.32815549343319794</v>
      </c>
      <c r="I116">
        <f>SUM(D116:F116)-F116/2</f>
        <v>0.73484888443483309</v>
      </c>
      <c r="J116">
        <f>2.5</f>
        <v>2.5</v>
      </c>
      <c r="K116" t="e">
        <f>NA()</f>
        <v>#N/A</v>
      </c>
    </row>
    <row r="117" spans="1:11" x14ac:dyDescent="0.25">
      <c r="A117" t="str">
        <f>'E11'!$A$13</f>
        <v>T3/25</v>
      </c>
      <c r="B117" s="12">
        <f>_xlfn.AGGREGATE(9,6,'E11'!$B$13:$D$13)</f>
        <v>21810</v>
      </c>
      <c r="C117">
        <f>1</f>
        <v>1</v>
      </c>
      <c r="D117" s="15">
        <f>IF(AND(ISNUMBER('E11'!$B$13),B117&lt;&gt;0),'E11'!$B$13/B117,0)</f>
        <v>0.19082989454378727</v>
      </c>
      <c r="E117" s="15">
        <f>IF(AND(ISNUMBER('E11'!$C$13),B117&lt;&gt;0),'E11'!$C$13/B117,0)</f>
        <v>0.28876662081613941</v>
      </c>
      <c r="F117" s="15">
        <f>IF(AND(ISNUMBER('E11'!$D$13),B117&lt;&gt;0),'E11'!$D$13/B117,0)</f>
        <v>0.52040348464007335</v>
      </c>
      <c r="G117">
        <f>SUM(D117:D117)-D117/2</f>
        <v>9.5414947271893633E-2</v>
      </c>
      <c r="H117">
        <f>SUM(D117:E117)-E117/2</f>
        <v>0.33521320495185691</v>
      </c>
      <c r="I117">
        <f>SUM(D117:F117)-F117/2</f>
        <v>0.73979825767996332</v>
      </c>
      <c r="J117">
        <f>1.5</f>
        <v>1.5</v>
      </c>
      <c r="K117" t="e">
        <f>NA()</f>
        <v>#N/A</v>
      </c>
    </row>
    <row r="118" spans="1:11" x14ac:dyDescent="0.25">
      <c r="A118" t="str">
        <f>'E11'!$A$14</f>
        <v>T4/25</v>
      </c>
      <c r="B118" s="12">
        <f>_xlfn.AGGREGATE(9,6,'E11'!$B$14:$D$14)</f>
        <v>23180</v>
      </c>
      <c r="C118">
        <f>1</f>
        <v>1</v>
      </c>
      <c r="D118" s="15">
        <f>IF(AND(ISNUMBER('E11'!$B$14),B118&lt;&gt;0),'E11'!$B$14/B118,0)</f>
        <v>0.19046591889559966</v>
      </c>
      <c r="E118" s="15">
        <f>IF(AND(ISNUMBER('E11'!$C$14),B118&lt;&gt;0),'E11'!$C$14/B118,0)</f>
        <v>0.29335634167385677</v>
      </c>
      <c r="F118" s="15">
        <f>IF(AND(ISNUMBER('E11'!$D$14),B118&lt;&gt;0),'E11'!$D$14/B118,0)</f>
        <v>0.51617773943054357</v>
      </c>
      <c r="G118">
        <f>SUM(D118:D118)-D118/2</f>
        <v>9.5232959447799831E-2</v>
      </c>
      <c r="H118">
        <f>SUM(D118:E118)-E118/2</f>
        <v>0.33714408973252807</v>
      </c>
      <c r="I118">
        <f>SUM(D118:F118)-F118/2</f>
        <v>0.74191113028472822</v>
      </c>
      <c r="J118">
        <f>0.5</f>
        <v>0.5</v>
      </c>
      <c r="K118" t="e">
        <f>NA()</f>
        <v>#N/A</v>
      </c>
    </row>
    <row r="120" spans="1:11" x14ac:dyDescent="0.25">
      <c r="A120" s="11" t="s">
        <v>176</v>
      </c>
      <c r="B120" s="5" t="s">
        <v>177</v>
      </c>
      <c r="C120" s="5" t="str">
        <f>"'E12'!$A$6:$D$18"</f>
        <v>'E12'!$A$6:$D$18</v>
      </c>
      <c r="D120" s="11" t="s">
        <v>178</v>
      </c>
      <c r="E120" s="5"/>
    </row>
    <row r="121" spans="1:11" x14ac:dyDescent="0.25">
      <c r="A121" t="s">
        <v>60</v>
      </c>
      <c r="B121" t="s">
        <v>61</v>
      </c>
      <c r="C121" t="s">
        <v>62</v>
      </c>
      <c r="D121" t="s">
        <v>63</v>
      </c>
      <c r="E121" t="s">
        <v>64</v>
      </c>
    </row>
    <row r="122" spans="1:11" x14ac:dyDescent="0.25">
      <c r="A122">
        <f>'E12'!$A$7</f>
        <v>45658</v>
      </c>
      <c r="B122" s="12">
        <f>_xlfn.AGGREGATE(9,6,'E12'!$B$7:$C$7)</f>
        <v>2072</v>
      </c>
      <c r="C122">
        <f>IF(SUMIF('E12'!$B$7:$C$7,"&gt;0")&gt;0,SUMIF('E12'!$B$7:$C$7,"&gt;0"),SUMIF('E12'!$B$7:$C$7,"&lt;0"))</f>
        <v>2072</v>
      </c>
      <c r="D122">
        <f>11.5</f>
        <v>11.5</v>
      </c>
      <c r="E122">
        <f>AVERAGE($B$122:$B$133)</f>
        <v>2183.1666666666665</v>
      </c>
    </row>
    <row r="123" spans="1:11" x14ac:dyDescent="0.25">
      <c r="A123">
        <f>'E12'!$A$8</f>
        <v>45689</v>
      </c>
      <c r="B123" s="12">
        <f>_xlfn.AGGREGATE(9,6,'E12'!$B$8:$C$8)</f>
        <v>1976</v>
      </c>
      <c r="C123">
        <f>IF(SUMIF('E12'!$B$8:$C$8,"&gt;0")&gt;0,SUMIF('E12'!$B$8:$C$8,"&gt;0"),SUMIF('E12'!$B$8:$C$8,"&lt;0"))</f>
        <v>1976</v>
      </c>
      <c r="D123">
        <f>10.5</f>
        <v>10.5</v>
      </c>
      <c r="E123">
        <f>AVERAGE($B$122:$B$133)</f>
        <v>2183.1666666666665</v>
      </c>
    </row>
    <row r="124" spans="1:11" x14ac:dyDescent="0.25">
      <c r="A124">
        <f>'E12'!$A$9</f>
        <v>45717</v>
      </c>
      <c r="B124" s="12">
        <f>_xlfn.AGGREGATE(9,6,'E12'!$B$9:$C$9)</f>
        <v>1903</v>
      </c>
      <c r="C124">
        <f>IF(SUMIF('E12'!$B$9:$C$9,"&gt;0")&gt;0,SUMIF('E12'!$B$9:$C$9,"&gt;0"),SUMIF('E12'!$B$9:$C$9,"&lt;0"))</f>
        <v>1903</v>
      </c>
      <c r="D124">
        <f>9.5</f>
        <v>9.5</v>
      </c>
      <c r="E124">
        <f>AVERAGE($B$122:$B$133)</f>
        <v>2183.1666666666665</v>
      </c>
    </row>
    <row r="125" spans="1:11" x14ac:dyDescent="0.25">
      <c r="A125">
        <f>'E12'!$A$10</f>
        <v>45748</v>
      </c>
      <c r="B125" s="12">
        <f>_xlfn.AGGREGATE(9,6,'E12'!$B$10:$C$10)</f>
        <v>1890</v>
      </c>
      <c r="C125">
        <f>IF(SUMIF('E12'!$B$10:$C$10,"&gt;0")&gt;0,SUMIF('E12'!$B$10:$C$10,"&gt;0"),SUMIF('E12'!$B$10:$C$10,"&lt;0"))</f>
        <v>1890</v>
      </c>
      <c r="D125">
        <f>8.5</f>
        <v>8.5</v>
      </c>
      <c r="E125">
        <f>AVERAGE($B$122:$B$133)</f>
        <v>2183.1666666666665</v>
      </c>
    </row>
    <row r="126" spans="1:11" x14ac:dyDescent="0.25">
      <c r="A126">
        <f>'E12'!$A$11</f>
        <v>45778</v>
      </c>
      <c r="B126" s="12">
        <f>_xlfn.AGGREGATE(9,6,'E12'!$B$11:$C$11)</f>
        <v>1950</v>
      </c>
      <c r="C126">
        <f>IF(SUMIF('E12'!$B$11:$C$11,"&gt;0")&gt;0,SUMIF('E12'!$B$11:$C$11,"&gt;0"),SUMIF('E12'!$B$11:$C$11,"&lt;0"))</f>
        <v>1950</v>
      </c>
      <c r="D126">
        <f>7.5</f>
        <v>7.5</v>
      </c>
      <c r="E126">
        <f>AVERAGE($B$122:$B$133)</f>
        <v>2183.1666666666665</v>
      </c>
    </row>
    <row r="127" spans="1:11" x14ac:dyDescent="0.25">
      <c r="A127">
        <f>'E12'!$A$12</f>
        <v>45809</v>
      </c>
      <c r="B127" s="12">
        <f>_xlfn.AGGREGATE(9,6,'E12'!$B$12:$C$12)</f>
        <v>2094</v>
      </c>
      <c r="C127">
        <f>IF(SUMIF('E12'!$B$12:$C$12,"&gt;0")&gt;0,SUMIF('E12'!$B$12:$C$12,"&gt;0"),SUMIF('E12'!$B$12:$C$12,"&lt;0"))</f>
        <v>2094</v>
      </c>
      <c r="D127">
        <f>6.5</f>
        <v>6.5</v>
      </c>
      <c r="E127">
        <f>AVERAGE($B$122:$B$133)</f>
        <v>2183.1666666666665</v>
      </c>
    </row>
    <row r="128" spans="1:11" x14ac:dyDescent="0.25">
      <c r="A128">
        <f>'E12'!$A$13</f>
        <v>45839</v>
      </c>
      <c r="B128" s="12">
        <f>_xlfn.AGGREGATE(9,6,'E12'!$B$13:$C$13)</f>
        <v>2248</v>
      </c>
      <c r="C128">
        <f>IF(SUMIF('E12'!$B$13:$C$13,"&gt;0")&gt;0,SUMIF('E12'!$B$13:$C$13,"&gt;0"),SUMIF('E12'!$B$13:$C$13,"&lt;0"))</f>
        <v>2248</v>
      </c>
      <c r="D128">
        <f>5.5</f>
        <v>5.5</v>
      </c>
      <c r="E128">
        <f>AVERAGE($B$122:$B$133)</f>
        <v>2183.1666666666665</v>
      </c>
    </row>
    <row r="129" spans="1:17" x14ac:dyDescent="0.25">
      <c r="A129">
        <f>'E12'!$A$14</f>
        <v>45870</v>
      </c>
      <c r="B129" s="12">
        <f>_xlfn.AGGREGATE(9,6,'E12'!$B$14:$C$14)</f>
        <v>2332</v>
      </c>
      <c r="C129">
        <f>IF(SUMIF('E12'!$B$14:$C$14,"&gt;0")&gt;0,SUMIF('E12'!$B$14:$C$14,"&gt;0"),SUMIF('E12'!$B$14:$C$14,"&lt;0"))</f>
        <v>2332</v>
      </c>
      <c r="D129">
        <f>4.5</f>
        <v>4.5</v>
      </c>
      <c r="E129">
        <f>AVERAGE($B$122:$B$133)</f>
        <v>2183.1666666666665</v>
      </c>
    </row>
    <row r="130" spans="1:17" x14ac:dyDescent="0.25">
      <c r="A130">
        <f>'E12'!$A$15</f>
        <v>45901</v>
      </c>
      <c r="B130" s="12">
        <f>_xlfn.AGGREGATE(9,6,'E12'!$B$15:$C$15)</f>
        <v>2372</v>
      </c>
      <c r="C130">
        <f>IF(SUMIF('E12'!$B$15:$C$15,"&gt;0")&gt;0,SUMIF('E12'!$B$15:$C$15,"&gt;0"),SUMIF('E12'!$B$15:$C$15,"&lt;0"))</f>
        <v>2372</v>
      </c>
      <c r="D130">
        <f>3.5</f>
        <v>3.5</v>
      </c>
      <c r="E130">
        <f>AVERAGE($B$122:$B$133)</f>
        <v>2183.1666666666665</v>
      </c>
    </row>
    <row r="131" spans="1:17" x14ac:dyDescent="0.25">
      <c r="A131">
        <f>'E12'!$A$16</f>
        <v>45931</v>
      </c>
      <c r="B131" s="12">
        <f>_xlfn.AGGREGATE(9,6,'E12'!$B$16:$C$16)</f>
        <v>2444</v>
      </c>
      <c r="C131">
        <f>IF(SUMIF('E12'!$B$16:$C$16,"&gt;0")&gt;0,SUMIF('E12'!$B$16:$C$16,"&gt;0"),SUMIF('E12'!$B$16:$C$16,"&lt;0"))</f>
        <v>2444</v>
      </c>
      <c r="D131">
        <f>2.5</f>
        <v>2.5</v>
      </c>
      <c r="E131">
        <f>AVERAGE($B$122:$B$133)</f>
        <v>2183.1666666666665</v>
      </c>
    </row>
    <row r="132" spans="1:17" x14ac:dyDescent="0.25">
      <c r="A132">
        <f>'E12'!$A$17</f>
        <v>45962</v>
      </c>
      <c r="B132" s="12">
        <f>_xlfn.AGGREGATE(9,6,'E12'!$B$17:$C$17)</f>
        <v>2467</v>
      </c>
      <c r="C132">
        <f>IF(SUMIF('E12'!$B$17:$C$17,"&gt;0")&gt;0,SUMIF('E12'!$B$17:$C$17,"&gt;0"),SUMIF('E12'!$B$17:$C$17,"&lt;0"))</f>
        <v>2467</v>
      </c>
      <c r="D132">
        <f>1.5</f>
        <v>1.5</v>
      </c>
      <c r="E132">
        <f>AVERAGE($B$122:$B$133)</f>
        <v>2183.1666666666665</v>
      </c>
    </row>
    <row r="133" spans="1:17" x14ac:dyDescent="0.25">
      <c r="A133">
        <f>'E12'!$A$18</f>
        <v>45992</v>
      </c>
      <c r="B133" s="12">
        <f>_xlfn.AGGREGATE(9,6,'E12'!$B$18:$C$18)</f>
        <v>2450</v>
      </c>
      <c r="C133">
        <f>IF(SUMIF('E12'!$B$18:$C$18,"&gt;0")&gt;0,SUMIF('E12'!$B$18:$C$18,"&gt;0"),SUMIF('E12'!$B$18:$C$18,"&lt;0"))</f>
        <v>2450</v>
      </c>
      <c r="D133">
        <f>0.5</f>
        <v>0.5</v>
      </c>
      <c r="E133">
        <f>AVERAGE($B$122:$B$133)</f>
        <v>2183.1666666666665</v>
      </c>
    </row>
    <row r="135" spans="1:17" x14ac:dyDescent="0.25">
      <c r="A135" s="11" t="s">
        <v>185</v>
      </c>
      <c r="B135" s="5" t="s">
        <v>186</v>
      </c>
      <c r="C135" s="5" t="str">
        <f>"'E13'!$A$6:$D$11"</f>
        <v>'E13'!$A$6:$D$11</v>
      </c>
      <c r="D135" s="11" t="s">
        <v>201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25">
      <c r="A136" t="s">
        <v>187</v>
      </c>
      <c r="B136" t="s">
        <v>60</v>
      </c>
      <c r="C136" t="s">
        <v>188</v>
      </c>
      <c r="D136" t="s">
        <v>61</v>
      </c>
      <c r="E136" t="s">
        <v>189</v>
      </c>
      <c r="F136" t="s">
        <v>192</v>
      </c>
      <c r="G136" t="s">
        <v>195</v>
      </c>
      <c r="H136" t="s">
        <v>190</v>
      </c>
      <c r="I136" t="s">
        <v>193</v>
      </c>
      <c r="J136" t="s">
        <v>196</v>
      </c>
      <c r="K136" t="s">
        <v>191</v>
      </c>
      <c r="L136" t="s">
        <v>194</v>
      </c>
      <c r="M136" t="s">
        <v>197</v>
      </c>
      <c r="N136" t="s">
        <v>198</v>
      </c>
      <c r="O136" t="s">
        <v>199</v>
      </c>
      <c r="P136" t="s">
        <v>200</v>
      </c>
      <c r="Q136" t="s">
        <v>64</v>
      </c>
    </row>
    <row r="137" spans="1:17" x14ac:dyDescent="0.25">
      <c r="A137">
        <f>1</f>
        <v>1</v>
      </c>
      <c r="E137">
        <f>0</f>
        <v>0</v>
      </c>
      <c r="F137">
        <f>0</f>
        <v>0</v>
      </c>
      <c r="G137">
        <f>0</f>
        <v>0</v>
      </c>
      <c r="H137" t="e">
        <f>NA()</f>
        <v>#N/A</v>
      </c>
      <c r="I137" t="e">
        <f>NA()</f>
        <v>#N/A</v>
      </c>
      <c r="J137" t="e">
        <f>NA()</f>
        <v>#N/A</v>
      </c>
      <c r="K137" s="15" t="e">
        <f>NA()</f>
        <v>#N/A</v>
      </c>
      <c r="L137" s="15" t="e">
        <f>NA()</f>
        <v>#N/A</v>
      </c>
      <c r="M137" s="15" t="e">
        <f>NA()</f>
        <v>#N/A</v>
      </c>
      <c r="N137" t="e">
        <f>NA()</f>
        <v>#N/A</v>
      </c>
      <c r="O137" s="15" t="e">
        <f>NA()</f>
        <v>#N/A</v>
      </c>
      <c r="P137" t="e">
        <f>NA()</f>
        <v>#N/A</v>
      </c>
      <c r="Q137" t="e">
        <f>NA()</f>
        <v>#N/A</v>
      </c>
    </row>
    <row r="138" spans="1:17" x14ac:dyDescent="0.25">
      <c r="A138">
        <f>1</f>
        <v>1</v>
      </c>
      <c r="E138">
        <f>E139</f>
        <v>0.38160136286201024</v>
      </c>
      <c r="F138">
        <f>F139</f>
        <v>0.35907628241529432</v>
      </c>
      <c r="G138">
        <f>G139</f>
        <v>0.25932235472269544</v>
      </c>
      <c r="H138" t="e">
        <f>NA()</f>
        <v>#N/A</v>
      </c>
      <c r="I138" t="e">
        <f>NA()</f>
        <v>#N/A</v>
      </c>
      <c r="J138" t="e">
        <f>NA()</f>
        <v>#N/A</v>
      </c>
      <c r="K138" s="15" t="e">
        <f>NA()</f>
        <v>#N/A</v>
      </c>
      <c r="L138" s="15" t="e">
        <f>NA()</f>
        <v>#N/A</v>
      </c>
      <c r="M138" s="15" t="e">
        <f>NA()</f>
        <v>#N/A</v>
      </c>
      <c r="N138" t="e">
        <f>NA()</f>
        <v>#N/A</v>
      </c>
      <c r="O138" s="15" t="e">
        <f>NA()</f>
        <v>#N/A</v>
      </c>
      <c r="P138" t="e">
        <f>NA()</f>
        <v>#N/A</v>
      </c>
      <c r="Q138" t="e">
        <f>NA()</f>
        <v>#N/A</v>
      </c>
    </row>
    <row r="139" spans="1:17" x14ac:dyDescent="0.25">
      <c r="A139">
        <f>1+ROUND(1000*IF(SUM($C$137:$C$161)=0,0,(0+SUM($C$137:C139))/2/SUM($C$137:$C$161)),0)</f>
        <v>164</v>
      </c>
      <c r="B139" s="20" t="str">
        <f>IF(A140&gt;A138,IF(ISBLANK('E13'!$A$7),"",'E13'!$A$7),"")</f>
        <v>Sudeste</v>
      </c>
      <c r="C139">
        <f>MAX(0,D139)</f>
        <v>42264</v>
      </c>
      <c r="D139">
        <f>SUMIF('E13'!$B$7:$D$7,"&gt;0")</f>
        <v>42264</v>
      </c>
      <c r="E139">
        <f>IF(D139=0,0,MAX(0,IF(ISNUMBER('E13'!$B$7),'E13'!$B$7,0))/D139)</f>
        <v>0.38160136286201024</v>
      </c>
      <c r="F139">
        <f>IF(D139=0,0,MAX(0,IF(ISNUMBER('E13'!$C$7),'E13'!$C$7,0))/D139)</f>
        <v>0.35907628241529432</v>
      </c>
      <c r="G139">
        <f>IF(D139=0,0,MAX(0,IF(ISNUMBER('E13'!$D$7),'E13'!$D$7,0))/D139)</f>
        <v>0.25932235472269544</v>
      </c>
      <c r="H139">
        <f>SUM(E139:E139)-E139/2</f>
        <v>0.19080068143100512</v>
      </c>
      <c r="I139">
        <f>SUM(E139:F139)-F139/2</f>
        <v>0.5611395040696574</v>
      </c>
      <c r="J139">
        <f>SUM(E139:G139)-G139/2</f>
        <v>0.87033882263865225</v>
      </c>
      <c r="K139" s="15">
        <f>IF(A140&gt;A138,E139,0)</f>
        <v>0.38160136286201024</v>
      </c>
      <c r="L139" s="15">
        <f>IF(A140&gt;A138,F139,0)</f>
        <v>0.35907628241529432</v>
      </c>
      <c r="M139" s="15">
        <f>IF(A140&gt;A138,G139,0)</f>
        <v>0.25932235472269544</v>
      </c>
      <c r="N139">
        <f>1</f>
        <v>1</v>
      </c>
      <c r="O139" s="15">
        <f>IF(A140&gt;A138,IF(SUM($C$137:$C$161)=0,0,C139/SUM($C$137:$C$161)),0)</f>
        <v>0.32583455400508826</v>
      </c>
      <c r="P139">
        <f>0</f>
        <v>0</v>
      </c>
      <c r="Q139" t="e">
        <f>NA()</f>
        <v>#N/A</v>
      </c>
    </row>
    <row r="140" spans="1:17" x14ac:dyDescent="0.25">
      <c r="A140">
        <f>1+ROUND(1000*IF(SUM($C$137:$C$161)=0,0,SUM($C$137:C139)/SUM($C$137:$C$161)),0)</f>
        <v>327</v>
      </c>
      <c r="E140">
        <f>E139</f>
        <v>0.38160136286201024</v>
      </c>
      <c r="F140">
        <f>F139</f>
        <v>0.35907628241529432</v>
      </c>
      <c r="G140">
        <f>G139</f>
        <v>0.25932235472269544</v>
      </c>
      <c r="H140" t="e">
        <f>NA()</f>
        <v>#N/A</v>
      </c>
      <c r="I140" t="e">
        <f>NA()</f>
        <v>#N/A</v>
      </c>
      <c r="J140" t="e">
        <f>NA()</f>
        <v>#N/A</v>
      </c>
      <c r="K140" s="15" t="e">
        <f>NA()</f>
        <v>#N/A</v>
      </c>
      <c r="L140" s="15" t="e">
        <f>NA()</f>
        <v>#N/A</v>
      </c>
      <c r="M140" s="15" t="e">
        <f>NA()</f>
        <v>#N/A</v>
      </c>
      <c r="N140" t="e">
        <f>NA()</f>
        <v>#N/A</v>
      </c>
      <c r="O140" s="15" t="e">
        <f>NA()</f>
        <v>#N/A</v>
      </c>
      <c r="P140" t="e">
        <f>NA()</f>
        <v>#N/A</v>
      </c>
      <c r="Q140" t="e">
        <f>NA()</f>
        <v>#N/A</v>
      </c>
    </row>
    <row r="141" spans="1:17" x14ac:dyDescent="0.25">
      <c r="A141">
        <f>1+ROUND(1000*IF(SUM($C$137:$C$161)=0,0,SUM($C$137:C139)/SUM($C$137:$C$161)),0)</f>
        <v>327</v>
      </c>
      <c r="E141">
        <f>0</f>
        <v>0</v>
      </c>
      <c r="F141">
        <f>0</f>
        <v>0</v>
      </c>
      <c r="G141">
        <f>0</f>
        <v>0</v>
      </c>
      <c r="H141" t="e">
        <f>NA()</f>
        <v>#N/A</v>
      </c>
      <c r="I141" t="e">
        <f>NA()</f>
        <v>#N/A</v>
      </c>
      <c r="J141" t="e">
        <f>NA()</f>
        <v>#N/A</v>
      </c>
      <c r="K141" s="15" t="e">
        <f>NA()</f>
        <v>#N/A</v>
      </c>
      <c r="L141" s="15" t="e">
        <f>NA()</f>
        <v>#N/A</v>
      </c>
      <c r="M141" s="15" t="e">
        <f>NA()</f>
        <v>#N/A</v>
      </c>
      <c r="N141" t="e">
        <f>NA()</f>
        <v>#N/A</v>
      </c>
      <c r="O141" s="15" t="e">
        <f>NA()</f>
        <v>#N/A</v>
      </c>
      <c r="P141" t="e">
        <f>NA()</f>
        <v>#N/A</v>
      </c>
      <c r="Q141" t="e">
        <f>NA()</f>
        <v>#N/A</v>
      </c>
    </row>
    <row r="142" spans="1:17" x14ac:dyDescent="0.25">
      <c r="A142">
        <f>1+ROUND(1000*IF(SUM($C$137:$C$161)=0,0,SUM($C$137:C139)/SUM($C$137:$C$161)),0)</f>
        <v>327</v>
      </c>
      <c r="E142">
        <f>0</f>
        <v>0</v>
      </c>
      <c r="F142">
        <f>0</f>
        <v>0</v>
      </c>
      <c r="G142">
        <f>0</f>
        <v>0</v>
      </c>
      <c r="H142" t="e">
        <f>NA()</f>
        <v>#N/A</v>
      </c>
      <c r="I142" t="e">
        <f>NA()</f>
        <v>#N/A</v>
      </c>
      <c r="J142" t="e">
        <f>NA()</f>
        <v>#N/A</v>
      </c>
      <c r="K142" s="15" t="e">
        <f>NA()</f>
        <v>#N/A</v>
      </c>
      <c r="L142" s="15" t="e">
        <f>NA()</f>
        <v>#N/A</v>
      </c>
      <c r="M142" s="15" t="e">
        <f>NA()</f>
        <v>#N/A</v>
      </c>
      <c r="N142" t="e">
        <f>NA()</f>
        <v>#N/A</v>
      </c>
      <c r="O142" s="15" t="e">
        <f>NA()</f>
        <v>#N/A</v>
      </c>
      <c r="P142" t="e">
        <f>NA()</f>
        <v>#N/A</v>
      </c>
      <c r="Q142" t="e">
        <f>NA()</f>
        <v>#N/A</v>
      </c>
    </row>
    <row r="143" spans="1:17" x14ac:dyDescent="0.25">
      <c r="A143">
        <f>1+ROUND(1000*IF(SUM($C$137:$C$161)=0,0,SUM($C$137:C139)/SUM($C$137:$C$161)),0)</f>
        <v>327</v>
      </c>
      <c r="E143">
        <f>E144</f>
        <v>0.42122905027932961</v>
      </c>
      <c r="F143">
        <f>F144</f>
        <v>0.3184644033806045</v>
      </c>
      <c r="G143">
        <f>G144</f>
        <v>0.26030654634006589</v>
      </c>
      <c r="H143" t="e">
        <f>NA()</f>
        <v>#N/A</v>
      </c>
      <c r="I143" t="e">
        <f>NA()</f>
        <v>#N/A</v>
      </c>
      <c r="J143" t="e">
        <f>NA()</f>
        <v>#N/A</v>
      </c>
      <c r="K143" s="15" t="e">
        <f>NA()</f>
        <v>#N/A</v>
      </c>
      <c r="L143" s="15" t="e">
        <f>NA()</f>
        <v>#N/A</v>
      </c>
      <c r="M143" s="15" t="e">
        <f>NA()</f>
        <v>#N/A</v>
      </c>
      <c r="N143" t="e">
        <f>NA()</f>
        <v>#N/A</v>
      </c>
      <c r="O143" s="15" t="e">
        <f>NA()</f>
        <v>#N/A</v>
      </c>
      <c r="P143" t="e">
        <f>NA()</f>
        <v>#N/A</v>
      </c>
      <c r="Q143" t="e">
        <f>NA()</f>
        <v>#N/A</v>
      </c>
    </row>
    <row r="144" spans="1:17" x14ac:dyDescent="0.25">
      <c r="A144">
        <f>1+ROUND(1000*IF(SUM($C$137:$C$161)=0,0,(SUM($C$137:C139)+SUM($C$137:C144))/2/SUM($C$137:$C$161)),0)</f>
        <v>461</v>
      </c>
      <c r="B144" s="20" t="str">
        <f>IF(A145&gt;A143,IF(ISBLANK('E13'!$A$8),"",'E13'!$A$8),"")</f>
        <v>Sul</v>
      </c>
      <c r="C144">
        <f>MAX(0,D144)</f>
        <v>34905</v>
      </c>
      <c r="D144">
        <f>SUMIF('E13'!$B$8:$D$8,"&gt;0")</f>
        <v>34905</v>
      </c>
      <c r="E144">
        <f>IF(D144=0,0,MAX(0,IF(ISNUMBER('E13'!$B$8),'E13'!$B$8,0))/D144)</f>
        <v>0.42122905027932961</v>
      </c>
      <c r="F144">
        <f>IF(D144=0,0,MAX(0,IF(ISNUMBER('E13'!$C$8),'E13'!$C$8,0))/D144)</f>
        <v>0.3184644033806045</v>
      </c>
      <c r="G144">
        <f>IF(D144=0,0,MAX(0,IF(ISNUMBER('E13'!$D$8),'E13'!$D$8,0))/D144)</f>
        <v>0.26030654634006589</v>
      </c>
      <c r="H144">
        <f>SUM(E144:E144)-E144/2</f>
        <v>0.2106145251396648</v>
      </c>
      <c r="I144">
        <f>SUM(E144:F144)-F144/2</f>
        <v>0.58046125196963183</v>
      </c>
      <c r="J144">
        <f>SUM(E144:G144)-G144/2</f>
        <v>0.869846726829967</v>
      </c>
      <c r="K144" s="15">
        <f>IF(A145&gt;A143,E144,0)</f>
        <v>0.42122905027932961</v>
      </c>
      <c r="L144" s="15">
        <f>IF(A145&gt;A143,F144,0)</f>
        <v>0.3184644033806045</v>
      </c>
      <c r="M144" s="15">
        <f>IF(A145&gt;A143,G144,0)</f>
        <v>0.26030654634006589</v>
      </c>
      <c r="N144">
        <f>1</f>
        <v>1</v>
      </c>
      <c r="O144" s="15">
        <f>IF(A145&gt;A143,IF(SUM($C$137:$C$161)=0,0,C144/SUM($C$137:$C$161)),0)</f>
        <v>0.26910030067072699</v>
      </c>
      <c r="P144">
        <f>0</f>
        <v>0</v>
      </c>
      <c r="Q144" t="e">
        <f>NA()</f>
        <v>#N/A</v>
      </c>
    </row>
    <row r="145" spans="1:17" x14ac:dyDescent="0.25">
      <c r="A145">
        <f>1+ROUND(1000*IF(SUM($C$137:$C$161)=0,0,SUM($C$137:C144)/SUM($C$137:$C$161)),0)</f>
        <v>596</v>
      </c>
      <c r="E145">
        <f>E144</f>
        <v>0.42122905027932961</v>
      </c>
      <c r="F145">
        <f>F144</f>
        <v>0.3184644033806045</v>
      </c>
      <c r="G145">
        <f>G144</f>
        <v>0.26030654634006589</v>
      </c>
      <c r="H145" t="e">
        <f>NA()</f>
        <v>#N/A</v>
      </c>
      <c r="I145" t="e">
        <f>NA()</f>
        <v>#N/A</v>
      </c>
      <c r="J145" t="e">
        <f>NA()</f>
        <v>#N/A</v>
      </c>
      <c r="K145" s="15" t="e">
        <f>NA()</f>
        <v>#N/A</v>
      </c>
      <c r="L145" s="15" t="e">
        <f>NA()</f>
        <v>#N/A</v>
      </c>
      <c r="M145" s="15" t="e">
        <f>NA()</f>
        <v>#N/A</v>
      </c>
      <c r="N145" t="e">
        <f>NA()</f>
        <v>#N/A</v>
      </c>
      <c r="O145" s="15" t="e">
        <f>NA()</f>
        <v>#N/A</v>
      </c>
      <c r="P145" t="e">
        <f>NA()</f>
        <v>#N/A</v>
      </c>
      <c r="Q145" t="e">
        <f>NA()</f>
        <v>#N/A</v>
      </c>
    </row>
    <row r="146" spans="1:17" x14ac:dyDescent="0.25">
      <c r="A146">
        <f>1+ROUND(1000*IF(SUM($C$137:$C$161)=0,0,SUM($C$137:C144)/SUM($C$137:$C$161)),0)</f>
        <v>596</v>
      </c>
      <c r="E146">
        <f>0</f>
        <v>0</v>
      </c>
      <c r="F146">
        <f>0</f>
        <v>0</v>
      </c>
      <c r="G146">
        <f>0</f>
        <v>0</v>
      </c>
      <c r="H146" t="e">
        <f>NA()</f>
        <v>#N/A</v>
      </c>
      <c r="I146" t="e">
        <f>NA()</f>
        <v>#N/A</v>
      </c>
      <c r="J146" t="e">
        <f>NA()</f>
        <v>#N/A</v>
      </c>
      <c r="K146" s="15" t="e">
        <f>NA()</f>
        <v>#N/A</v>
      </c>
      <c r="L146" s="15" t="e">
        <f>NA()</f>
        <v>#N/A</v>
      </c>
      <c r="M146" s="15" t="e">
        <f>NA()</f>
        <v>#N/A</v>
      </c>
      <c r="N146" t="e">
        <f>NA()</f>
        <v>#N/A</v>
      </c>
      <c r="O146" s="15" t="e">
        <f>NA()</f>
        <v>#N/A</v>
      </c>
      <c r="P146" t="e">
        <f>NA()</f>
        <v>#N/A</v>
      </c>
      <c r="Q146" t="e">
        <f>NA()</f>
        <v>#N/A</v>
      </c>
    </row>
    <row r="147" spans="1:17" x14ac:dyDescent="0.25">
      <c r="A147">
        <f>1+ROUND(1000*IF(SUM($C$137:$C$161)=0,0,SUM($C$137:C144)/SUM($C$137:$C$161)),0)</f>
        <v>596</v>
      </c>
      <c r="E147">
        <f>0</f>
        <v>0</v>
      </c>
      <c r="F147">
        <f>0</f>
        <v>0</v>
      </c>
      <c r="G147">
        <f>0</f>
        <v>0</v>
      </c>
      <c r="H147" t="e">
        <f>NA()</f>
        <v>#N/A</v>
      </c>
      <c r="I147" t="e">
        <f>NA()</f>
        <v>#N/A</v>
      </c>
      <c r="J147" t="e">
        <f>NA()</f>
        <v>#N/A</v>
      </c>
      <c r="K147" s="15" t="e">
        <f>NA()</f>
        <v>#N/A</v>
      </c>
      <c r="L147" s="15" t="e">
        <f>NA()</f>
        <v>#N/A</v>
      </c>
      <c r="M147" s="15" t="e">
        <f>NA()</f>
        <v>#N/A</v>
      </c>
      <c r="N147" t="e">
        <f>NA()</f>
        <v>#N/A</v>
      </c>
      <c r="O147" s="15" t="e">
        <f>NA()</f>
        <v>#N/A</v>
      </c>
      <c r="P147" t="e">
        <f>NA()</f>
        <v>#N/A</v>
      </c>
      <c r="Q147" t="e">
        <f>NA()</f>
        <v>#N/A</v>
      </c>
    </row>
    <row r="148" spans="1:17" x14ac:dyDescent="0.25">
      <c r="A148">
        <f>1+ROUND(1000*IF(SUM($C$137:$C$161)=0,0,SUM($C$137:C144)/SUM($C$137:$C$161)),0)</f>
        <v>596</v>
      </c>
      <c r="E148">
        <f>E149</f>
        <v>0.51646365422396856</v>
      </c>
      <c r="F148">
        <f>F149</f>
        <v>0.24711198428290765</v>
      </c>
      <c r="G148">
        <f>G149</f>
        <v>0.23642436149312376</v>
      </c>
      <c r="H148" t="e">
        <f>NA()</f>
        <v>#N/A</v>
      </c>
      <c r="I148" t="e">
        <f>NA()</f>
        <v>#N/A</v>
      </c>
      <c r="J148" t="e">
        <f>NA()</f>
        <v>#N/A</v>
      </c>
      <c r="K148" s="15" t="e">
        <f>NA()</f>
        <v>#N/A</v>
      </c>
      <c r="L148" s="15" t="e">
        <f>NA()</f>
        <v>#N/A</v>
      </c>
      <c r="M148" s="15" t="e">
        <f>NA()</f>
        <v>#N/A</v>
      </c>
      <c r="N148" t="e">
        <f>NA()</f>
        <v>#N/A</v>
      </c>
      <c r="O148" s="15" t="e">
        <f>NA()</f>
        <v>#N/A</v>
      </c>
      <c r="P148" t="e">
        <f>NA()</f>
        <v>#N/A</v>
      </c>
      <c r="Q148" t="e">
        <f>NA()</f>
        <v>#N/A</v>
      </c>
    </row>
    <row r="149" spans="1:17" x14ac:dyDescent="0.25">
      <c r="A149">
        <f>1+ROUND(1000*IF(SUM($C$137:$C$161)=0,0,(SUM($C$137:C144)+SUM($C$137:C149))/2/SUM($C$137:$C$161)),0)</f>
        <v>694</v>
      </c>
      <c r="B149" s="20" t="str">
        <f>IF(A150&gt;A148,IF(ISBLANK('E13'!$A$9),"",'E13'!$A$9),"")</f>
        <v>Nordeste</v>
      </c>
      <c r="C149">
        <f>MAX(0,D149)</f>
        <v>25450</v>
      </c>
      <c r="D149">
        <f>SUMIF('E13'!$B$9:$D$9,"&gt;0")</f>
        <v>25450</v>
      </c>
      <c r="E149">
        <f>IF(D149=0,0,MAX(0,IF(ISNUMBER('E13'!$B$9),'E13'!$B$9,0))/D149)</f>
        <v>0.51646365422396856</v>
      </c>
      <c r="F149">
        <f>IF(D149=0,0,MAX(0,IF(ISNUMBER('E13'!$C$9),'E13'!$C$9,0))/D149)</f>
        <v>0.24711198428290765</v>
      </c>
      <c r="G149">
        <f>IF(D149=0,0,MAX(0,IF(ISNUMBER('E13'!$D$9),'E13'!$D$9,0))/D149)</f>
        <v>0.23642436149312376</v>
      </c>
      <c r="H149">
        <f>SUM(E149:E149)-E149/2</f>
        <v>0.25823182711198428</v>
      </c>
      <c r="I149">
        <f>SUM(E149:F149)-F149/2</f>
        <v>0.6400196463654223</v>
      </c>
      <c r="J149">
        <f>SUM(E149:G149)-G149/2</f>
        <v>0.88178781925343797</v>
      </c>
      <c r="K149" s="15">
        <f>IF(A150&gt;A148,E149,0)</f>
        <v>0.51646365422396856</v>
      </c>
      <c r="L149" s="15">
        <f>IF(A150&gt;A148,F149,0)</f>
        <v>0.24711198428290765</v>
      </c>
      <c r="M149" s="15">
        <f>IF(A150&gt;A148,G149,0)</f>
        <v>0.23642436149312376</v>
      </c>
      <c r="N149">
        <f>1</f>
        <v>1</v>
      </c>
      <c r="O149" s="15">
        <f>IF(A150&gt;A148,IF(SUM($C$137:$C$161)=0,0,C149/SUM($C$137:$C$161)),0)</f>
        <v>0.19620692313622698</v>
      </c>
      <c r="P149">
        <f>0</f>
        <v>0</v>
      </c>
      <c r="Q149" t="e">
        <f>NA()</f>
        <v>#N/A</v>
      </c>
    </row>
    <row r="150" spans="1:17" x14ac:dyDescent="0.25">
      <c r="A150">
        <f>1+ROUND(1000*IF(SUM($C$137:$C$161)=0,0,SUM($C$137:C149)/SUM($C$137:$C$161)),0)</f>
        <v>792</v>
      </c>
      <c r="E150">
        <f>E149</f>
        <v>0.51646365422396856</v>
      </c>
      <c r="F150">
        <f>F149</f>
        <v>0.24711198428290765</v>
      </c>
      <c r="G150">
        <f>G149</f>
        <v>0.23642436149312376</v>
      </c>
      <c r="H150" t="e">
        <f>NA()</f>
        <v>#N/A</v>
      </c>
      <c r="I150" t="e">
        <f>NA()</f>
        <v>#N/A</v>
      </c>
      <c r="J150" t="e">
        <f>NA()</f>
        <v>#N/A</v>
      </c>
      <c r="K150" s="15" t="e">
        <f>NA()</f>
        <v>#N/A</v>
      </c>
      <c r="L150" s="15" t="e">
        <f>NA()</f>
        <v>#N/A</v>
      </c>
      <c r="M150" s="15" t="e">
        <f>NA()</f>
        <v>#N/A</v>
      </c>
      <c r="N150" t="e">
        <f>NA()</f>
        <v>#N/A</v>
      </c>
      <c r="O150" s="15" t="e">
        <f>NA()</f>
        <v>#N/A</v>
      </c>
      <c r="P150" t="e">
        <f>NA()</f>
        <v>#N/A</v>
      </c>
      <c r="Q150" t="e">
        <f>NA()</f>
        <v>#N/A</v>
      </c>
    </row>
    <row r="151" spans="1:17" x14ac:dyDescent="0.25">
      <c r="A151">
        <f>1+ROUND(1000*IF(SUM($C$137:$C$161)=0,0,SUM($C$137:C149)/SUM($C$137:$C$161)),0)</f>
        <v>792</v>
      </c>
      <c r="E151">
        <f>0</f>
        <v>0</v>
      </c>
      <c r="F151">
        <f>0</f>
        <v>0</v>
      </c>
      <c r="G151">
        <f>0</f>
        <v>0</v>
      </c>
      <c r="H151" t="e">
        <f>NA()</f>
        <v>#N/A</v>
      </c>
      <c r="I151" t="e">
        <f>NA()</f>
        <v>#N/A</v>
      </c>
      <c r="J151" t="e">
        <f>NA()</f>
        <v>#N/A</v>
      </c>
      <c r="K151" s="15" t="e">
        <f>NA()</f>
        <v>#N/A</v>
      </c>
      <c r="L151" s="15" t="e">
        <f>NA()</f>
        <v>#N/A</v>
      </c>
      <c r="M151" s="15" t="e">
        <f>NA()</f>
        <v>#N/A</v>
      </c>
      <c r="N151" t="e">
        <f>NA()</f>
        <v>#N/A</v>
      </c>
      <c r="O151" s="15" t="e">
        <f>NA()</f>
        <v>#N/A</v>
      </c>
      <c r="P151" t="e">
        <f>NA()</f>
        <v>#N/A</v>
      </c>
      <c r="Q151" t="e">
        <f>NA()</f>
        <v>#N/A</v>
      </c>
    </row>
    <row r="152" spans="1:17" x14ac:dyDescent="0.25">
      <c r="A152">
        <f>1+ROUND(1000*IF(SUM($C$137:$C$161)=0,0,SUM($C$137:C149)/SUM($C$137:$C$161)),0)</f>
        <v>792</v>
      </c>
      <c r="E152">
        <f>0</f>
        <v>0</v>
      </c>
      <c r="F152">
        <f>0</f>
        <v>0</v>
      </c>
      <c r="G152">
        <f>0</f>
        <v>0</v>
      </c>
      <c r="H152" t="e">
        <f>NA()</f>
        <v>#N/A</v>
      </c>
      <c r="I152" t="e">
        <f>NA()</f>
        <v>#N/A</v>
      </c>
      <c r="J152" t="e">
        <f>NA()</f>
        <v>#N/A</v>
      </c>
      <c r="K152" s="15" t="e">
        <f>NA()</f>
        <v>#N/A</v>
      </c>
      <c r="L152" s="15" t="e">
        <f>NA()</f>
        <v>#N/A</v>
      </c>
      <c r="M152" s="15" t="e">
        <f>NA()</f>
        <v>#N/A</v>
      </c>
      <c r="N152" t="e">
        <f>NA()</f>
        <v>#N/A</v>
      </c>
      <c r="O152" s="15" t="e">
        <f>NA()</f>
        <v>#N/A</v>
      </c>
      <c r="P152" t="e">
        <f>NA()</f>
        <v>#N/A</v>
      </c>
      <c r="Q152" t="e">
        <f>NA()</f>
        <v>#N/A</v>
      </c>
    </row>
    <row r="153" spans="1:17" x14ac:dyDescent="0.25">
      <c r="A153">
        <f>1+ROUND(1000*IF(SUM($C$137:$C$161)=0,0,SUM($C$137:C149)/SUM($C$137:$C$161)),0)</f>
        <v>792</v>
      </c>
      <c r="E153">
        <f>E154</f>
        <v>0.49733801540552786</v>
      </c>
      <c r="F153">
        <f>F154</f>
        <v>0.27599682827367467</v>
      </c>
      <c r="G153">
        <f>G154</f>
        <v>0.22666515632079745</v>
      </c>
      <c r="H153" t="e">
        <f>NA()</f>
        <v>#N/A</v>
      </c>
      <c r="I153" t="e">
        <f>NA()</f>
        <v>#N/A</v>
      </c>
      <c r="J153" t="e">
        <f>NA()</f>
        <v>#N/A</v>
      </c>
      <c r="K153" s="15" t="e">
        <f>NA()</f>
        <v>#N/A</v>
      </c>
      <c r="L153" s="15" t="e">
        <f>NA()</f>
        <v>#N/A</v>
      </c>
      <c r="M153" s="15" t="e">
        <f>NA()</f>
        <v>#N/A</v>
      </c>
      <c r="N153" t="e">
        <f>NA()</f>
        <v>#N/A</v>
      </c>
      <c r="O153" s="15" t="e">
        <f>NA()</f>
        <v>#N/A</v>
      </c>
      <c r="P153" t="e">
        <f>NA()</f>
        <v>#N/A</v>
      </c>
      <c r="Q153" t="e">
        <f>NA()</f>
        <v>#N/A</v>
      </c>
    </row>
    <row r="154" spans="1:17" x14ac:dyDescent="0.25">
      <c r="A154">
        <f>1+ROUND(1000*IF(SUM($C$137:$C$161)=0,0,(SUM($C$137:C149)+SUM($C$137:C154))/2/SUM($C$137:$C$161)),0)</f>
        <v>860</v>
      </c>
      <c r="B154" s="20" t="str">
        <f>IF(A155&gt;A153,IF(ISBLANK('E13'!$A$10),"",'E13'!$A$10),"")</f>
        <v>Centro-Oeste</v>
      </c>
      <c r="C154">
        <f>MAX(0,D154)</f>
        <v>17656</v>
      </c>
      <c r="D154">
        <f>SUMIF('E13'!$B$10:$D$10,"&gt;0")</f>
        <v>17656</v>
      </c>
      <c r="E154">
        <f>IF(D154=0,0,MAX(0,IF(ISNUMBER('E13'!$B$10),'E13'!$B$10,0))/D154)</f>
        <v>0.49733801540552786</v>
      </c>
      <c r="F154">
        <f>IF(D154=0,0,MAX(0,IF(ISNUMBER('E13'!$C$10),'E13'!$C$10,0))/D154)</f>
        <v>0.27599682827367467</v>
      </c>
      <c r="G154">
        <f>IF(D154=0,0,MAX(0,IF(ISNUMBER('E13'!$D$10),'E13'!$D$10,0))/D154)</f>
        <v>0.22666515632079745</v>
      </c>
      <c r="H154">
        <f>SUM(E154:E154)-E154/2</f>
        <v>0.24866900770276393</v>
      </c>
      <c r="I154">
        <f>SUM(E154:F154)-F154/2</f>
        <v>0.63533642954236513</v>
      </c>
      <c r="J154">
        <f>SUM(E154:G154)-G154/2</f>
        <v>0.88666742183960112</v>
      </c>
      <c r="K154" s="15">
        <f>IF(A155&gt;A153,E154,0)</f>
        <v>0.49733801540552786</v>
      </c>
      <c r="L154" s="15">
        <f>IF(A155&gt;A153,F154,0)</f>
        <v>0.27599682827367467</v>
      </c>
      <c r="M154" s="15">
        <f>IF(A155&gt;A153,G154,0)</f>
        <v>0.22666515632079745</v>
      </c>
      <c r="N154">
        <f>1</f>
        <v>1</v>
      </c>
      <c r="O154" s="15">
        <f>IF(A155&gt;A153,IF(SUM($C$137:$C$161)=0,0,C154/SUM($C$137:$C$161)),0)</f>
        <v>0.13611903476987125</v>
      </c>
      <c r="P154">
        <f>0</f>
        <v>0</v>
      </c>
      <c r="Q154" t="e">
        <f>NA()</f>
        <v>#N/A</v>
      </c>
    </row>
    <row r="155" spans="1:17" x14ac:dyDescent="0.25">
      <c r="A155">
        <f>1+ROUND(1000*IF(SUM($C$137:$C$161)=0,0,SUM($C$137:C154)/SUM($C$137:$C$161)),0)</f>
        <v>928</v>
      </c>
      <c r="E155">
        <f>E154</f>
        <v>0.49733801540552786</v>
      </c>
      <c r="F155">
        <f>F154</f>
        <v>0.27599682827367467</v>
      </c>
      <c r="G155">
        <f>G154</f>
        <v>0.22666515632079745</v>
      </c>
      <c r="H155" t="e">
        <f>NA()</f>
        <v>#N/A</v>
      </c>
      <c r="I155" t="e">
        <f>NA()</f>
        <v>#N/A</v>
      </c>
      <c r="J155" t="e">
        <f>NA()</f>
        <v>#N/A</v>
      </c>
      <c r="K155" s="15" t="e">
        <f>NA()</f>
        <v>#N/A</v>
      </c>
      <c r="L155" s="15" t="e">
        <f>NA()</f>
        <v>#N/A</v>
      </c>
      <c r="M155" s="15" t="e">
        <f>NA()</f>
        <v>#N/A</v>
      </c>
      <c r="N155" t="e">
        <f>NA()</f>
        <v>#N/A</v>
      </c>
      <c r="O155" s="15" t="e">
        <f>NA()</f>
        <v>#N/A</v>
      </c>
      <c r="P155" t="e">
        <f>NA()</f>
        <v>#N/A</v>
      </c>
      <c r="Q155" t="e">
        <f>NA()</f>
        <v>#N/A</v>
      </c>
    </row>
    <row r="156" spans="1:17" x14ac:dyDescent="0.25">
      <c r="A156">
        <f>1+ROUND(1000*IF(SUM($C$137:$C$161)=0,0,SUM($C$137:C154)/SUM($C$137:$C$161)),0)</f>
        <v>928</v>
      </c>
      <c r="E156">
        <f>0</f>
        <v>0</v>
      </c>
      <c r="F156">
        <f>0</f>
        <v>0</v>
      </c>
      <c r="G156">
        <f>0</f>
        <v>0</v>
      </c>
      <c r="H156" t="e">
        <f>NA()</f>
        <v>#N/A</v>
      </c>
      <c r="I156" t="e">
        <f>NA()</f>
        <v>#N/A</v>
      </c>
      <c r="J156" t="e">
        <f>NA()</f>
        <v>#N/A</v>
      </c>
      <c r="K156" s="15" t="e">
        <f>NA()</f>
        <v>#N/A</v>
      </c>
      <c r="L156" s="15" t="e">
        <f>NA()</f>
        <v>#N/A</v>
      </c>
      <c r="M156" s="15" t="e">
        <f>NA()</f>
        <v>#N/A</v>
      </c>
      <c r="N156" t="e">
        <f>NA()</f>
        <v>#N/A</v>
      </c>
      <c r="O156" s="15" t="e">
        <f>NA()</f>
        <v>#N/A</v>
      </c>
      <c r="P156" t="e">
        <f>NA()</f>
        <v>#N/A</v>
      </c>
      <c r="Q156" t="e">
        <f>NA()</f>
        <v>#N/A</v>
      </c>
    </row>
    <row r="157" spans="1:17" x14ac:dyDescent="0.25">
      <c r="A157">
        <f>1+ROUND(1000*IF(SUM($C$137:$C$161)=0,0,SUM($C$137:C154)/SUM($C$137:$C$161)),0)</f>
        <v>928</v>
      </c>
      <c r="E157">
        <f>0</f>
        <v>0</v>
      </c>
      <c r="F157">
        <f>0</f>
        <v>0</v>
      </c>
      <c r="G157">
        <f>0</f>
        <v>0</v>
      </c>
      <c r="H157" t="e">
        <f>NA()</f>
        <v>#N/A</v>
      </c>
      <c r="I157" t="e">
        <f>NA()</f>
        <v>#N/A</v>
      </c>
      <c r="J157" t="e">
        <f>NA()</f>
        <v>#N/A</v>
      </c>
      <c r="K157" s="15" t="e">
        <f>NA()</f>
        <v>#N/A</v>
      </c>
      <c r="L157" s="15" t="e">
        <f>NA()</f>
        <v>#N/A</v>
      </c>
      <c r="M157" s="15" t="e">
        <f>NA()</f>
        <v>#N/A</v>
      </c>
      <c r="N157" t="e">
        <f>NA()</f>
        <v>#N/A</v>
      </c>
      <c r="O157" s="15" t="e">
        <f>NA()</f>
        <v>#N/A</v>
      </c>
      <c r="P157" t="e">
        <f>NA()</f>
        <v>#N/A</v>
      </c>
      <c r="Q157" t="e">
        <f>NA()</f>
        <v>#N/A</v>
      </c>
    </row>
    <row r="158" spans="1:17" x14ac:dyDescent="0.25">
      <c r="A158">
        <f>1+ROUND(1000*IF(SUM($C$137:$C$161)=0,0,SUM($C$137:C154)/SUM($C$137:$C$161)),0)</f>
        <v>928</v>
      </c>
      <c r="E158">
        <f>E159</f>
        <v>0.56237413884472709</v>
      </c>
      <c r="F158">
        <f>F159</f>
        <v>0.21388447270800212</v>
      </c>
      <c r="G158">
        <f>G159</f>
        <v>0.22374138844727079</v>
      </c>
      <c r="H158" t="e">
        <f>NA()</f>
        <v>#N/A</v>
      </c>
      <c r="I158" t="e">
        <f>NA()</f>
        <v>#N/A</v>
      </c>
      <c r="J158" t="e">
        <f>NA()</f>
        <v>#N/A</v>
      </c>
      <c r="K158" s="15" t="e">
        <f>NA()</f>
        <v>#N/A</v>
      </c>
      <c r="L158" s="15" t="e">
        <f>NA()</f>
        <v>#N/A</v>
      </c>
      <c r="M158" s="15" t="e">
        <f>NA()</f>
        <v>#N/A</v>
      </c>
      <c r="N158" t="e">
        <f>NA()</f>
        <v>#N/A</v>
      </c>
      <c r="O158" s="15" t="e">
        <f>NA()</f>
        <v>#N/A</v>
      </c>
      <c r="P158" t="e">
        <f>NA()</f>
        <v>#N/A</v>
      </c>
      <c r="Q158" t="e">
        <f>NA()</f>
        <v>#N/A</v>
      </c>
    </row>
    <row r="159" spans="1:17" x14ac:dyDescent="0.25">
      <c r="A159">
        <f>1+ROUND(1000*IF(SUM($C$137:$C$161)=0,0,(SUM($C$137:C154)+SUM($C$137:C159))/2/SUM($C$137:$C$161)),0)</f>
        <v>965</v>
      </c>
      <c r="B159" s="20" t="str">
        <f>IF(A160&gt;A158,IF(ISBLANK('E13'!$A$11),"",'E13'!$A$11),"")</f>
        <v>Norte</v>
      </c>
      <c r="C159">
        <f>MAX(0,D159)</f>
        <v>9435</v>
      </c>
      <c r="D159">
        <f>SUMIF('E13'!$B$11:$D$11,"&gt;0")</f>
        <v>9435</v>
      </c>
      <c r="E159">
        <f>IF(D159=0,0,MAX(0,IF(ISNUMBER('E13'!$B$11),'E13'!$B$11,0))/D159)</f>
        <v>0.56237413884472709</v>
      </c>
      <c r="F159">
        <f>IF(D159=0,0,MAX(0,IF(ISNUMBER('E13'!$C$11),'E13'!$C$11,0))/D159)</f>
        <v>0.21388447270800212</v>
      </c>
      <c r="G159">
        <f>IF(D159=0,0,MAX(0,IF(ISNUMBER('E13'!$D$11),'E13'!$D$11,0))/D159)</f>
        <v>0.22374138844727079</v>
      </c>
      <c r="H159">
        <f>SUM(E159:E159)-E159/2</f>
        <v>0.28118706942236354</v>
      </c>
      <c r="I159">
        <f>SUM(E159:F159)-F159/2</f>
        <v>0.66931637519872822</v>
      </c>
      <c r="J159">
        <f>SUM(E159:G159)-G159/2</f>
        <v>0.88812930577636462</v>
      </c>
      <c r="K159" s="15">
        <f>IF(A160&gt;A158,E159,0)</f>
        <v>0.56237413884472709</v>
      </c>
      <c r="L159" s="15">
        <f>IF(A160&gt;A158,F159,0)</f>
        <v>0.21388447270800212</v>
      </c>
      <c r="M159" s="15">
        <f>IF(A160&gt;A158,G159,0)</f>
        <v>0.22374138844727079</v>
      </c>
      <c r="N159">
        <f>1</f>
        <v>1</v>
      </c>
      <c r="O159" s="15">
        <f>IF(A160&gt;A158,IF(SUM($C$137:$C$161)=0,0,C159/SUM($C$137:$C$161)),0)</f>
        <v>7.2739187418086507E-2</v>
      </c>
      <c r="P159">
        <f>0</f>
        <v>0</v>
      </c>
      <c r="Q159" t="e">
        <f>NA()</f>
        <v>#N/A</v>
      </c>
    </row>
    <row r="160" spans="1:17" x14ac:dyDescent="0.25">
      <c r="A160">
        <f>1+ROUND(1000*IF(SUM($C$137:$C$161)=0,0,SUM($C$137:C159)/SUM($C$137:$C$161)),0)</f>
        <v>1001</v>
      </c>
      <c r="E160">
        <f>E159</f>
        <v>0.56237413884472709</v>
      </c>
      <c r="F160">
        <f>F159</f>
        <v>0.21388447270800212</v>
      </c>
      <c r="G160">
        <f>G159</f>
        <v>0.22374138844727079</v>
      </c>
      <c r="H160" t="e">
        <f>NA()</f>
        <v>#N/A</v>
      </c>
      <c r="I160" t="e">
        <f>NA()</f>
        <v>#N/A</v>
      </c>
      <c r="J160" t="e">
        <f>NA()</f>
        <v>#N/A</v>
      </c>
      <c r="K160" s="15" t="e">
        <f>NA()</f>
        <v>#N/A</v>
      </c>
      <c r="L160" s="15" t="e">
        <f>NA()</f>
        <v>#N/A</v>
      </c>
      <c r="M160" s="15" t="e">
        <f>NA()</f>
        <v>#N/A</v>
      </c>
      <c r="N160" t="e">
        <f>NA()</f>
        <v>#N/A</v>
      </c>
      <c r="O160" s="15" t="e">
        <f>NA()</f>
        <v>#N/A</v>
      </c>
      <c r="P160" t="e">
        <f>NA()</f>
        <v>#N/A</v>
      </c>
      <c r="Q160" t="e">
        <f>NA()</f>
        <v>#N/A</v>
      </c>
    </row>
    <row r="161" spans="1:17" x14ac:dyDescent="0.25">
      <c r="A161">
        <f>1+ROUND(1000*IF(SUM($C$137:$C$161)=0,0,SUM($C$137:C159)/SUM($C$137:$C$161)),0)</f>
        <v>1001</v>
      </c>
      <c r="E161">
        <f>0</f>
        <v>0</v>
      </c>
      <c r="F161">
        <f>0</f>
        <v>0</v>
      </c>
      <c r="G161">
        <f>0</f>
        <v>0</v>
      </c>
      <c r="H161" t="e">
        <f>NA()</f>
        <v>#N/A</v>
      </c>
      <c r="I161" t="e">
        <f>NA()</f>
        <v>#N/A</v>
      </c>
      <c r="J161" t="e">
        <f>NA()</f>
        <v>#N/A</v>
      </c>
      <c r="K161" s="15" t="e">
        <f>NA()</f>
        <v>#N/A</v>
      </c>
      <c r="L161" s="15" t="e">
        <f>NA()</f>
        <v>#N/A</v>
      </c>
      <c r="M161" s="15" t="e">
        <f>NA()</f>
        <v>#N/A</v>
      </c>
      <c r="N161" t="e">
        <f>NA()</f>
        <v>#N/A</v>
      </c>
      <c r="O161" s="15" t="e">
        <f>NA()</f>
        <v>#N/A</v>
      </c>
      <c r="P161" t="e">
        <f>NA()</f>
        <v>#N/A</v>
      </c>
      <c r="Q161" t="e">
        <f>NA()</f>
        <v>#N/A</v>
      </c>
    </row>
    <row r="163" spans="1:17" x14ac:dyDescent="0.25">
      <c r="A163" s="11" t="s">
        <v>206</v>
      </c>
      <c r="B163" s="5" t="s">
        <v>207</v>
      </c>
      <c r="C163" s="5" t="str">
        <f>"'E14'!$A$6:$E$11"</f>
        <v>'E14'!$A$6:$E$11</v>
      </c>
      <c r="D163" s="11" t="s">
        <v>208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25">
      <c r="A164" t="s">
        <v>187</v>
      </c>
      <c r="B164" t="s">
        <v>60</v>
      </c>
      <c r="C164" t="s">
        <v>188</v>
      </c>
      <c r="D164" t="s">
        <v>61</v>
      </c>
      <c r="E164" t="s">
        <v>189</v>
      </c>
      <c r="F164" t="s">
        <v>192</v>
      </c>
      <c r="G164" t="s">
        <v>195</v>
      </c>
      <c r="H164" t="s">
        <v>190</v>
      </c>
      <c r="I164" t="s">
        <v>193</v>
      </c>
      <c r="J164" t="s">
        <v>196</v>
      </c>
      <c r="K164" t="s">
        <v>191</v>
      </c>
      <c r="L164" t="s">
        <v>194</v>
      </c>
      <c r="M164" t="s">
        <v>197</v>
      </c>
      <c r="N164" t="s">
        <v>198</v>
      </c>
      <c r="O164" t="s">
        <v>199</v>
      </c>
      <c r="P164" t="s">
        <v>200</v>
      </c>
      <c r="Q164" t="s">
        <v>64</v>
      </c>
    </row>
    <row r="165" spans="1:17" x14ac:dyDescent="0.25">
      <c r="A165">
        <f>1</f>
        <v>1</v>
      </c>
      <c r="E165">
        <f>0</f>
        <v>0</v>
      </c>
      <c r="F165">
        <f>0</f>
        <v>0</v>
      </c>
      <c r="G165">
        <f>0</f>
        <v>0</v>
      </c>
      <c r="H165" t="e">
        <f>NA()</f>
        <v>#N/A</v>
      </c>
      <c r="I165" t="e">
        <f>NA()</f>
        <v>#N/A</v>
      </c>
      <c r="J165" t="e">
        <f>NA()</f>
        <v>#N/A</v>
      </c>
      <c r="K165" s="12" t="e">
        <f>NA()</f>
        <v>#N/A</v>
      </c>
      <c r="L165" s="12" t="e">
        <f>NA()</f>
        <v>#N/A</v>
      </c>
      <c r="M165" s="12" t="e">
        <f>NA()</f>
        <v>#N/A</v>
      </c>
      <c r="N165" t="e">
        <f>NA()</f>
        <v>#N/A</v>
      </c>
      <c r="O165" s="12" t="e">
        <f>NA()</f>
        <v>#N/A</v>
      </c>
      <c r="P165" t="e">
        <f>NA()</f>
        <v>#N/A</v>
      </c>
      <c r="Q165">
        <f t="shared" ref="Q165:Q189" si="28">IF(SUM($C$165:$C$189)=0,0,SUMPRODUCT($C$165:$C$189,$D$165:$D$189)/SUM($C$165:$C$189))</f>
        <v>16213.875</v>
      </c>
    </row>
    <row r="166" spans="1:17" x14ac:dyDescent="0.25">
      <c r="A166">
        <f>1</f>
        <v>1</v>
      </c>
      <c r="E166">
        <f>E167</f>
        <v>8064</v>
      </c>
      <c r="F166">
        <f>F167</f>
        <v>7588</v>
      </c>
      <c r="G166">
        <f>G167</f>
        <v>5480</v>
      </c>
      <c r="H166" t="e">
        <f>NA()</f>
        <v>#N/A</v>
      </c>
      <c r="I166" t="e">
        <f>NA()</f>
        <v>#N/A</v>
      </c>
      <c r="J166" t="e">
        <f>NA()</f>
        <v>#N/A</v>
      </c>
      <c r="K166" s="12" t="e">
        <f>NA()</f>
        <v>#N/A</v>
      </c>
      <c r="L166" s="12" t="e">
        <f>NA()</f>
        <v>#N/A</v>
      </c>
      <c r="M166" s="12" t="e">
        <f>NA()</f>
        <v>#N/A</v>
      </c>
      <c r="N166" t="e">
        <f>NA()</f>
        <v>#N/A</v>
      </c>
      <c r="O166" s="12" t="e">
        <f>NA()</f>
        <v>#N/A</v>
      </c>
      <c r="P166" t="e">
        <f>NA()</f>
        <v>#N/A</v>
      </c>
      <c r="Q166">
        <f t="shared" si="28"/>
        <v>16213.875</v>
      </c>
    </row>
    <row r="167" spans="1:17" x14ac:dyDescent="0.25">
      <c r="A167">
        <f>1+ROUND(1000*IF(SUM($C$165:$C$189)=0,0,(0+SUM($C$165:C167))/2/SUM($C$165:$C$189)),0)</f>
        <v>126</v>
      </c>
      <c r="B167" s="20" t="str">
        <f>IF(A168&gt;A166,IF(ISBLANK('E14'!$A$7),"",'E14'!$A$7),"")</f>
        <v>Sudeste</v>
      </c>
      <c r="C167">
        <f>IF(ISNUMBER('E14'!$B$7),IF('E14'!$B$7&gt;0,'E14'!$B$7,0),0)</f>
        <v>2</v>
      </c>
      <c r="D167">
        <f>_xlfn.AGGREGATE(9,6,'E14'!$C$7:$E$7)</f>
        <v>21132</v>
      </c>
      <c r="E167">
        <f>IF(ISNUMBER('E14'!$C$7),'E14'!$C$7,0)</f>
        <v>8064</v>
      </c>
      <c r="F167">
        <f>IF(ISNUMBER('E14'!$D$7),'E14'!$D$7,0)</f>
        <v>7588</v>
      </c>
      <c r="G167">
        <f>IF(ISNUMBER('E14'!$E$7),'E14'!$E$7,0)</f>
        <v>5480</v>
      </c>
      <c r="H167">
        <f>SUM(E167:E167)-E167/2</f>
        <v>4032</v>
      </c>
      <c r="I167">
        <f>SUM(E167:F167)-F167/2</f>
        <v>11858</v>
      </c>
      <c r="J167">
        <f>SUM(E167:G167)-G167/2</f>
        <v>18392</v>
      </c>
      <c r="K167" s="12">
        <f>IF(A168&gt;A166,E167,0)</f>
        <v>8064</v>
      </c>
      <c r="L167" s="12">
        <f>IF(A168&gt;A166,F167,0)</f>
        <v>7588</v>
      </c>
      <c r="M167" s="12">
        <f>IF(A168&gt;A166,G167,0)</f>
        <v>5480</v>
      </c>
      <c r="N167">
        <f>D167</f>
        <v>21132</v>
      </c>
      <c r="O167" s="12">
        <f>IF(A168&gt;A166,D167,0)</f>
        <v>21132</v>
      </c>
      <c r="P167">
        <f>0</f>
        <v>0</v>
      </c>
      <c r="Q167">
        <f t="shared" si="28"/>
        <v>16213.875</v>
      </c>
    </row>
    <row r="168" spans="1:17" x14ac:dyDescent="0.25">
      <c r="A168">
        <f>1+ROUND(1000*IF(SUM($C$165:$C$189)=0,0,SUM($C$165:C167)/SUM($C$165:$C$189)),0)</f>
        <v>251</v>
      </c>
      <c r="E168">
        <f>E167</f>
        <v>8064</v>
      </c>
      <c r="F168">
        <f>F167</f>
        <v>7588</v>
      </c>
      <c r="G168">
        <f>G167</f>
        <v>5480</v>
      </c>
      <c r="H168" t="e">
        <f>NA()</f>
        <v>#N/A</v>
      </c>
      <c r="I168" t="e">
        <f>NA()</f>
        <v>#N/A</v>
      </c>
      <c r="J168" t="e">
        <f>NA()</f>
        <v>#N/A</v>
      </c>
      <c r="K168" s="12" t="e">
        <f>NA()</f>
        <v>#N/A</v>
      </c>
      <c r="L168" s="12" t="e">
        <f>NA()</f>
        <v>#N/A</v>
      </c>
      <c r="M168" s="12" t="e">
        <f>NA()</f>
        <v>#N/A</v>
      </c>
      <c r="N168" t="e">
        <f>NA()</f>
        <v>#N/A</v>
      </c>
      <c r="O168" s="12" t="e">
        <f>NA()</f>
        <v>#N/A</v>
      </c>
      <c r="P168" t="e">
        <f>NA()</f>
        <v>#N/A</v>
      </c>
      <c r="Q168">
        <f t="shared" si="28"/>
        <v>16213.875</v>
      </c>
    </row>
    <row r="169" spans="1:17" x14ac:dyDescent="0.25">
      <c r="A169">
        <f>1+ROUND(1000*IF(SUM($C$165:$C$189)=0,0,SUM($C$165:C167)/SUM($C$165:$C$189)),0)</f>
        <v>251</v>
      </c>
      <c r="E169">
        <f>0</f>
        <v>0</v>
      </c>
      <c r="F169">
        <f>0</f>
        <v>0</v>
      </c>
      <c r="G169">
        <f>0</f>
        <v>0</v>
      </c>
      <c r="H169" t="e">
        <f>NA()</f>
        <v>#N/A</v>
      </c>
      <c r="I169" t="e">
        <f>NA()</f>
        <v>#N/A</v>
      </c>
      <c r="J169" t="e">
        <f>NA()</f>
        <v>#N/A</v>
      </c>
      <c r="K169" s="12" t="e">
        <f>NA()</f>
        <v>#N/A</v>
      </c>
      <c r="L169" s="12" t="e">
        <f>NA()</f>
        <v>#N/A</v>
      </c>
      <c r="M169" s="12" t="e">
        <f>NA()</f>
        <v>#N/A</v>
      </c>
      <c r="N169" t="e">
        <f>NA()</f>
        <v>#N/A</v>
      </c>
      <c r="O169" s="12" t="e">
        <f>NA()</f>
        <v>#N/A</v>
      </c>
      <c r="P169" t="e">
        <f>NA()</f>
        <v>#N/A</v>
      </c>
      <c r="Q169">
        <f t="shared" si="28"/>
        <v>16213.875</v>
      </c>
    </row>
    <row r="170" spans="1:17" x14ac:dyDescent="0.25">
      <c r="A170">
        <f>1+ROUND(1000*IF(SUM($C$165:$C$189)=0,0,SUM($C$165:C167)/SUM($C$165:$C$189)),0)</f>
        <v>251</v>
      </c>
      <c r="E170">
        <f>0</f>
        <v>0</v>
      </c>
      <c r="F170">
        <f>0</f>
        <v>0</v>
      </c>
      <c r="G170">
        <f>0</f>
        <v>0</v>
      </c>
      <c r="H170" t="e">
        <f>NA()</f>
        <v>#N/A</v>
      </c>
      <c r="I170" t="e">
        <f>NA()</f>
        <v>#N/A</v>
      </c>
      <c r="J170" t="e">
        <f>NA()</f>
        <v>#N/A</v>
      </c>
      <c r="K170" s="12" t="e">
        <f>NA()</f>
        <v>#N/A</v>
      </c>
      <c r="L170" s="12" t="e">
        <f>NA()</f>
        <v>#N/A</v>
      </c>
      <c r="M170" s="12" t="e">
        <f>NA()</f>
        <v>#N/A</v>
      </c>
      <c r="N170" t="e">
        <f>NA()</f>
        <v>#N/A</v>
      </c>
      <c r="O170" s="12" t="e">
        <f>NA()</f>
        <v>#N/A</v>
      </c>
      <c r="P170" t="e">
        <f>NA()</f>
        <v>#N/A</v>
      </c>
      <c r="Q170">
        <f t="shared" si="28"/>
        <v>16213.875</v>
      </c>
    </row>
    <row r="171" spans="1:17" x14ac:dyDescent="0.25">
      <c r="A171">
        <f>1+ROUND(1000*IF(SUM($C$165:$C$189)=0,0,SUM($C$165:C167)/SUM($C$165:$C$189)),0)</f>
        <v>251</v>
      </c>
      <c r="E171">
        <f>E172</f>
        <v>7352</v>
      </c>
      <c r="F171">
        <f>F172</f>
        <v>5558</v>
      </c>
      <c r="G171">
        <f>G172</f>
        <v>4543</v>
      </c>
      <c r="H171" t="e">
        <f>NA()</f>
        <v>#N/A</v>
      </c>
      <c r="I171" t="e">
        <f>NA()</f>
        <v>#N/A</v>
      </c>
      <c r="J171" t="e">
        <f>NA()</f>
        <v>#N/A</v>
      </c>
      <c r="K171" s="12" t="e">
        <f>NA()</f>
        <v>#N/A</v>
      </c>
      <c r="L171" s="12" t="e">
        <f>NA()</f>
        <v>#N/A</v>
      </c>
      <c r="M171" s="12" t="e">
        <f>NA()</f>
        <v>#N/A</v>
      </c>
      <c r="N171" t="e">
        <f>NA()</f>
        <v>#N/A</v>
      </c>
      <c r="O171" s="12" t="e">
        <f>NA()</f>
        <v>#N/A</v>
      </c>
      <c r="P171" t="e">
        <f>NA()</f>
        <v>#N/A</v>
      </c>
      <c r="Q171">
        <f t="shared" si="28"/>
        <v>16213.875</v>
      </c>
    </row>
    <row r="172" spans="1:17" x14ac:dyDescent="0.25">
      <c r="A172">
        <f>1+ROUND(1000*IF(SUM($C$165:$C$189)=0,0,(SUM($C$165:C167)+SUM($C$165:C172))/2/SUM($C$165:$C$189)),0)</f>
        <v>376</v>
      </c>
      <c r="B172" s="20" t="str">
        <f>IF(A173&gt;A171,IF(ISBLANK('E14'!$A$8),"",'E14'!$A$8),"")</f>
        <v>Sul</v>
      </c>
      <c r="C172">
        <f>IF(ISNUMBER('E14'!$B$8),IF('E14'!$B$8&gt;0,'E14'!$B$8,0),0)</f>
        <v>2</v>
      </c>
      <c r="D172">
        <f>_xlfn.AGGREGATE(9,6,'E14'!$C$8:$E$8)</f>
        <v>17453</v>
      </c>
      <c r="E172">
        <f>IF(ISNUMBER('E14'!$C$8),'E14'!$C$8,0)</f>
        <v>7352</v>
      </c>
      <c r="F172">
        <f>IF(ISNUMBER('E14'!$D$8),'E14'!$D$8,0)</f>
        <v>5558</v>
      </c>
      <c r="G172">
        <f>IF(ISNUMBER('E14'!$E$8),'E14'!$E$8,0)</f>
        <v>4543</v>
      </c>
      <c r="H172">
        <f>SUM(E172:E172)-E172/2</f>
        <v>3676</v>
      </c>
      <c r="I172">
        <f>SUM(E172:F172)-F172/2</f>
        <v>10131</v>
      </c>
      <c r="J172">
        <f>SUM(E172:G172)-G172/2</f>
        <v>15181.5</v>
      </c>
      <c r="K172" s="12">
        <f>IF(A173&gt;A171,E172,0)</f>
        <v>7352</v>
      </c>
      <c r="L172" s="12">
        <f>IF(A173&gt;A171,F172,0)</f>
        <v>5558</v>
      </c>
      <c r="M172" s="12">
        <f>IF(A173&gt;A171,G172,0)</f>
        <v>4543</v>
      </c>
      <c r="N172">
        <f>D172</f>
        <v>17453</v>
      </c>
      <c r="O172" s="12">
        <f>IF(A173&gt;A171,D172,0)</f>
        <v>17453</v>
      </c>
      <c r="P172">
        <f>0</f>
        <v>0</v>
      </c>
      <c r="Q172">
        <f t="shared" si="28"/>
        <v>16213.875</v>
      </c>
    </row>
    <row r="173" spans="1:17" x14ac:dyDescent="0.25">
      <c r="A173">
        <f>1+ROUND(1000*IF(SUM($C$165:$C$189)=0,0,SUM($C$165:C172)/SUM($C$165:$C$189)),0)</f>
        <v>501</v>
      </c>
      <c r="E173">
        <f>E172</f>
        <v>7352</v>
      </c>
      <c r="F173">
        <f>F172</f>
        <v>5558</v>
      </c>
      <c r="G173">
        <f>G172</f>
        <v>4543</v>
      </c>
      <c r="H173" t="e">
        <f>NA()</f>
        <v>#N/A</v>
      </c>
      <c r="I173" t="e">
        <f>NA()</f>
        <v>#N/A</v>
      </c>
      <c r="J173" t="e">
        <f>NA()</f>
        <v>#N/A</v>
      </c>
      <c r="K173" s="12" t="e">
        <f>NA()</f>
        <v>#N/A</v>
      </c>
      <c r="L173" s="12" t="e">
        <f>NA()</f>
        <v>#N/A</v>
      </c>
      <c r="M173" s="12" t="e">
        <f>NA()</f>
        <v>#N/A</v>
      </c>
      <c r="N173" t="e">
        <f>NA()</f>
        <v>#N/A</v>
      </c>
      <c r="O173" s="12" t="e">
        <f>NA()</f>
        <v>#N/A</v>
      </c>
      <c r="P173" t="e">
        <f>NA()</f>
        <v>#N/A</v>
      </c>
      <c r="Q173">
        <f t="shared" si="28"/>
        <v>16213.875</v>
      </c>
    </row>
    <row r="174" spans="1:17" x14ac:dyDescent="0.25">
      <c r="A174">
        <f>1+ROUND(1000*IF(SUM($C$165:$C$189)=0,0,SUM($C$165:C172)/SUM($C$165:$C$189)),0)</f>
        <v>501</v>
      </c>
      <c r="E174">
        <f>0</f>
        <v>0</v>
      </c>
      <c r="F174">
        <f>0</f>
        <v>0</v>
      </c>
      <c r="G174">
        <f>0</f>
        <v>0</v>
      </c>
      <c r="H174" t="e">
        <f>NA()</f>
        <v>#N/A</v>
      </c>
      <c r="I174" t="e">
        <f>NA()</f>
        <v>#N/A</v>
      </c>
      <c r="J174" t="e">
        <f>NA()</f>
        <v>#N/A</v>
      </c>
      <c r="K174" s="12" t="e">
        <f>NA()</f>
        <v>#N/A</v>
      </c>
      <c r="L174" s="12" t="e">
        <f>NA()</f>
        <v>#N/A</v>
      </c>
      <c r="M174" s="12" t="e">
        <f>NA()</f>
        <v>#N/A</v>
      </c>
      <c r="N174" t="e">
        <f>NA()</f>
        <v>#N/A</v>
      </c>
      <c r="O174" s="12" t="e">
        <f>NA()</f>
        <v>#N/A</v>
      </c>
      <c r="P174" t="e">
        <f>NA()</f>
        <v>#N/A</v>
      </c>
      <c r="Q174">
        <f t="shared" si="28"/>
        <v>16213.875</v>
      </c>
    </row>
    <row r="175" spans="1:17" x14ac:dyDescent="0.25">
      <c r="A175">
        <f>1+ROUND(1000*IF(SUM($C$165:$C$189)=0,0,SUM($C$165:C172)/SUM($C$165:$C$189)),0)</f>
        <v>501</v>
      </c>
      <c r="E175">
        <f>0</f>
        <v>0</v>
      </c>
      <c r="F175">
        <f>0</f>
        <v>0</v>
      </c>
      <c r="G175">
        <f>0</f>
        <v>0</v>
      </c>
      <c r="H175" t="e">
        <f>NA()</f>
        <v>#N/A</v>
      </c>
      <c r="I175" t="e">
        <f>NA()</f>
        <v>#N/A</v>
      </c>
      <c r="J175" t="e">
        <f>NA()</f>
        <v>#N/A</v>
      </c>
      <c r="K175" s="12" t="e">
        <f>NA()</f>
        <v>#N/A</v>
      </c>
      <c r="L175" s="12" t="e">
        <f>NA()</f>
        <v>#N/A</v>
      </c>
      <c r="M175" s="12" t="e">
        <f>NA()</f>
        <v>#N/A</v>
      </c>
      <c r="N175" t="e">
        <f>NA()</f>
        <v>#N/A</v>
      </c>
      <c r="O175" s="12" t="e">
        <f>NA()</f>
        <v>#N/A</v>
      </c>
      <c r="P175" t="e">
        <f>NA()</f>
        <v>#N/A</v>
      </c>
      <c r="Q175">
        <f t="shared" si="28"/>
        <v>16213.875</v>
      </c>
    </row>
    <row r="176" spans="1:17" x14ac:dyDescent="0.25">
      <c r="A176">
        <f>1+ROUND(1000*IF(SUM($C$165:$C$189)=0,0,SUM($C$165:C172)/SUM($C$165:$C$189)),0)</f>
        <v>501</v>
      </c>
      <c r="E176">
        <f>E177</f>
        <v>6572</v>
      </c>
      <c r="F176">
        <f>F177</f>
        <v>3145</v>
      </c>
      <c r="G176">
        <f>G177</f>
        <v>3008</v>
      </c>
      <c r="H176" t="e">
        <f>NA()</f>
        <v>#N/A</v>
      </c>
      <c r="I176" t="e">
        <f>NA()</f>
        <v>#N/A</v>
      </c>
      <c r="J176" t="e">
        <f>NA()</f>
        <v>#N/A</v>
      </c>
      <c r="K176" s="12" t="e">
        <f>NA()</f>
        <v>#N/A</v>
      </c>
      <c r="L176" s="12" t="e">
        <f>NA()</f>
        <v>#N/A</v>
      </c>
      <c r="M176" s="12" t="e">
        <f>NA()</f>
        <v>#N/A</v>
      </c>
      <c r="N176" t="e">
        <f>NA()</f>
        <v>#N/A</v>
      </c>
      <c r="O176" s="12" t="e">
        <f>NA()</f>
        <v>#N/A</v>
      </c>
      <c r="P176" t="e">
        <f>NA()</f>
        <v>#N/A</v>
      </c>
      <c r="Q176">
        <f t="shared" si="28"/>
        <v>16213.875</v>
      </c>
    </row>
    <row r="177" spans="1:19" x14ac:dyDescent="0.25">
      <c r="A177">
        <f>1+ROUND(1000*IF(SUM($C$165:$C$189)=0,0,(SUM($C$165:C172)+SUM($C$165:C177))/2/SUM($C$165:$C$189)),0)</f>
        <v>626</v>
      </c>
      <c r="B177" s="20" t="str">
        <f>IF(A178&gt;A176,IF(ISBLANK('E14'!$A$9),"",'E14'!$A$9),"")</f>
        <v>Nordeste</v>
      </c>
      <c r="C177">
        <f>IF(ISNUMBER('E14'!$B$9),IF('E14'!$B$9&gt;0,'E14'!$B$9,0),0)</f>
        <v>2</v>
      </c>
      <c r="D177">
        <f>_xlfn.AGGREGATE(9,6,'E14'!$C$9:$E$9)</f>
        <v>12725</v>
      </c>
      <c r="E177">
        <f>IF(ISNUMBER('E14'!$C$9),'E14'!$C$9,0)</f>
        <v>6572</v>
      </c>
      <c r="F177">
        <f>IF(ISNUMBER('E14'!$D$9),'E14'!$D$9,0)</f>
        <v>3145</v>
      </c>
      <c r="G177">
        <f>IF(ISNUMBER('E14'!$E$9),'E14'!$E$9,0)</f>
        <v>3008</v>
      </c>
      <c r="H177">
        <f>SUM(E177:E177)-E177/2</f>
        <v>3286</v>
      </c>
      <c r="I177">
        <f>SUM(E177:F177)-F177/2</f>
        <v>8144.5</v>
      </c>
      <c r="J177">
        <f>SUM(E177:G177)-G177/2</f>
        <v>11221</v>
      </c>
      <c r="K177" s="12">
        <f>IF(A178&gt;A176,E177,0)</f>
        <v>6572</v>
      </c>
      <c r="L177" s="12">
        <f>IF(A178&gt;A176,F177,0)</f>
        <v>3145</v>
      </c>
      <c r="M177" s="12">
        <f>IF(A178&gt;A176,G177,0)</f>
        <v>3008</v>
      </c>
      <c r="N177">
        <f>D177</f>
        <v>12725</v>
      </c>
      <c r="O177" s="12">
        <f>IF(A178&gt;A176,D177,0)</f>
        <v>12725</v>
      </c>
      <c r="P177">
        <f>0</f>
        <v>0</v>
      </c>
      <c r="Q177">
        <f t="shared" si="28"/>
        <v>16213.875</v>
      </c>
    </row>
    <row r="178" spans="1:19" x14ac:dyDescent="0.25">
      <c r="A178">
        <f>1+ROUND(1000*IF(SUM($C$165:$C$189)=0,0,SUM($C$165:C177)/SUM($C$165:$C$189)),0)</f>
        <v>751</v>
      </c>
      <c r="E178">
        <f>E177</f>
        <v>6572</v>
      </c>
      <c r="F178">
        <f>F177</f>
        <v>3145</v>
      </c>
      <c r="G178">
        <f>G177</f>
        <v>3008</v>
      </c>
      <c r="H178" t="e">
        <f>NA()</f>
        <v>#N/A</v>
      </c>
      <c r="I178" t="e">
        <f>NA()</f>
        <v>#N/A</v>
      </c>
      <c r="J178" t="e">
        <f>NA()</f>
        <v>#N/A</v>
      </c>
      <c r="K178" s="12" t="e">
        <f>NA()</f>
        <v>#N/A</v>
      </c>
      <c r="L178" s="12" t="e">
        <f>NA()</f>
        <v>#N/A</v>
      </c>
      <c r="M178" s="12" t="e">
        <f>NA()</f>
        <v>#N/A</v>
      </c>
      <c r="N178" t="e">
        <f>NA()</f>
        <v>#N/A</v>
      </c>
      <c r="O178" s="12" t="e">
        <f>NA()</f>
        <v>#N/A</v>
      </c>
      <c r="P178" t="e">
        <f>NA()</f>
        <v>#N/A</v>
      </c>
      <c r="Q178">
        <f t="shared" si="28"/>
        <v>16213.875</v>
      </c>
    </row>
    <row r="179" spans="1:19" x14ac:dyDescent="0.25">
      <c r="A179">
        <f>1+ROUND(1000*IF(SUM($C$165:$C$189)=0,0,SUM($C$165:C177)/SUM($C$165:$C$189)),0)</f>
        <v>751</v>
      </c>
      <c r="E179">
        <f>0</f>
        <v>0</v>
      </c>
      <c r="F179">
        <f>0</f>
        <v>0</v>
      </c>
      <c r="G179">
        <f>0</f>
        <v>0</v>
      </c>
      <c r="H179" t="e">
        <f>NA()</f>
        <v>#N/A</v>
      </c>
      <c r="I179" t="e">
        <f>NA()</f>
        <v>#N/A</v>
      </c>
      <c r="J179" t="e">
        <f>NA()</f>
        <v>#N/A</v>
      </c>
      <c r="K179" s="12" t="e">
        <f>NA()</f>
        <v>#N/A</v>
      </c>
      <c r="L179" s="12" t="e">
        <f>NA()</f>
        <v>#N/A</v>
      </c>
      <c r="M179" s="12" t="e">
        <f>NA()</f>
        <v>#N/A</v>
      </c>
      <c r="N179" t="e">
        <f>NA()</f>
        <v>#N/A</v>
      </c>
      <c r="O179" s="12" t="e">
        <f>NA()</f>
        <v>#N/A</v>
      </c>
      <c r="P179" t="e">
        <f>NA()</f>
        <v>#N/A</v>
      </c>
      <c r="Q179">
        <f t="shared" si="28"/>
        <v>16213.875</v>
      </c>
    </row>
    <row r="180" spans="1:19" x14ac:dyDescent="0.25">
      <c r="A180">
        <f>1+ROUND(1000*IF(SUM($C$165:$C$189)=0,0,SUM($C$165:C177)/SUM($C$165:$C$189)),0)</f>
        <v>751</v>
      </c>
      <c r="E180">
        <f>0</f>
        <v>0</v>
      </c>
      <c r="F180">
        <f>0</f>
        <v>0</v>
      </c>
      <c r="G180">
        <f>0</f>
        <v>0</v>
      </c>
      <c r="H180" t="e">
        <f>NA()</f>
        <v>#N/A</v>
      </c>
      <c r="I180" t="e">
        <f>NA()</f>
        <v>#N/A</v>
      </c>
      <c r="J180" t="e">
        <f>NA()</f>
        <v>#N/A</v>
      </c>
      <c r="K180" s="12" t="e">
        <f>NA()</f>
        <v>#N/A</v>
      </c>
      <c r="L180" s="12" t="e">
        <f>NA()</f>
        <v>#N/A</v>
      </c>
      <c r="M180" s="12" t="e">
        <f>NA()</f>
        <v>#N/A</v>
      </c>
      <c r="N180" t="e">
        <f>NA()</f>
        <v>#N/A</v>
      </c>
      <c r="O180" s="12" t="e">
        <f>NA()</f>
        <v>#N/A</v>
      </c>
      <c r="P180" t="e">
        <f>NA()</f>
        <v>#N/A</v>
      </c>
      <c r="Q180">
        <f t="shared" si="28"/>
        <v>16213.875</v>
      </c>
    </row>
    <row r="181" spans="1:19" x14ac:dyDescent="0.25">
      <c r="A181">
        <f>1+ROUND(1000*IF(SUM($C$165:$C$189)=0,0,SUM($C$165:C177)/SUM($C$165:$C$189)),0)</f>
        <v>751</v>
      </c>
      <c r="E181">
        <f>E182</f>
        <v>8781</v>
      </c>
      <c r="F181">
        <f>F182</f>
        <v>4873</v>
      </c>
      <c r="G181">
        <f>G182</f>
        <v>4002</v>
      </c>
      <c r="H181" t="e">
        <f>NA()</f>
        <v>#N/A</v>
      </c>
      <c r="I181" t="e">
        <f>NA()</f>
        <v>#N/A</v>
      </c>
      <c r="J181" t="e">
        <f>NA()</f>
        <v>#N/A</v>
      </c>
      <c r="K181" s="12" t="e">
        <f>NA()</f>
        <v>#N/A</v>
      </c>
      <c r="L181" s="12" t="e">
        <f>NA()</f>
        <v>#N/A</v>
      </c>
      <c r="M181" s="12" t="e">
        <f>NA()</f>
        <v>#N/A</v>
      </c>
      <c r="N181" t="e">
        <f>NA()</f>
        <v>#N/A</v>
      </c>
      <c r="O181" s="12" t="e">
        <f>NA()</f>
        <v>#N/A</v>
      </c>
      <c r="P181" t="e">
        <f>NA()</f>
        <v>#N/A</v>
      </c>
      <c r="Q181">
        <f t="shared" si="28"/>
        <v>16213.875</v>
      </c>
    </row>
    <row r="182" spans="1:19" x14ac:dyDescent="0.25">
      <c r="A182">
        <f>1+ROUND(1000*IF(SUM($C$165:$C$189)=0,0,(SUM($C$165:C177)+SUM($C$165:C182))/2/SUM($C$165:$C$189)),0)</f>
        <v>814</v>
      </c>
      <c r="B182" s="20" t="str">
        <f>IF(A183&gt;A181,IF(ISBLANK('E14'!$A$10),"",'E14'!$A$10),"")</f>
        <v>Centro-Oeste</v>
      </c>
      <c r="C182">
        <f>IF(ISNUMBER('E14'!$B$10),IF('E14'!$B$10&gt;0,'E14'!$B$10,0),0)</f>
        <v>1</v>
      </c>
      <c r="D182">
        <f>_xlfn.AGGREGATE(9,6,'E14'!$C$10:$E$10)</f>
        <v>17656</v>
      </c>
      <c r="E182">
        <f>IF(ISNUMBER('E14'!$C$10),'E14'!$C$10,0)</f>
        <v>8781</v>
      </c>
      <c r="F182">
        <f>IF(ISNUMBER('E14'!$D$10),'E14'!$D$10,0)</f>
        <v>4873</v>
      </c>
      <c r="G182">
        <f>IF(ISNUMBER('E14'!$E$10),'E14'!$E$10,0)</f>
        <v>4002</v>
      </c>
      <c r="H182">
        <f>SUM(E182:E182)-E182/2</f>
        <v>4390.5</v>
      </c>
      <c r="I182">
        <f>SUM(E182:F182)-F182/2</f>
        <v>11217.5</v>
      </c>
      <c r="J182">
        <f>SUM(E182:G182)-G182/2</f>
        <v>15655</v>
      </c>
      <c r="K182" s="12">
        <f>IF(A183&gt;A181,E182,0)</f>
        <v>8781</v>
      </c>
      <c r="L182" s="12">
        <f>IF(A183&gt;A181,F182,0)</f>
        <v>4873</v>
      </c>
      <c r="M182" s="12">
        <f>IF(A183&gt;A181,G182,0)</f>
        <v>4002</v>
      </c>
      <c r="N182">
        <f>D182</f>
        <v>17656</v>
      </c>
      <c r="O182" s="12">
        <f>IF(A183&gt;A181,D182,0)</f>
        <v>17656</v>
      </c>
      <c r="P182">
        <f>0</f>
        <v>0</v>
      </c>
      <c r="Q182">
        <f t="shared" si="28"/>
        <v>16213.875</v>
      </c>
    </row>
    <row r="183" spans="1:19" x14ac:dyDescent="0.25">
      <c r="A183">
        <f>1+ROUND(1000*IF(SUM($C$165:$C$189)=0,0,SUM($C$165:C182)/SUM($C$165:$C$189)),0)</f>
        <v>876</v>
      </c>
      <c r="E183">
        <f>E182</f>
        <v>8781</v>
      </c>
      <c r="F183">
        <f>F182</f>
        <v>4873</v>
      </c>
      <c r="G183">
        <f>G182</f>
        <v>4002</v>
      </c>
      <c r="H183" t="e">
        <f>NA()</f>
        <v>#N/A</v>
      </c>
      <c r="I183" t="e">
        <f>NA()</f>
        <v>#N/A</v>
      </c>
      <c r="J183" t="e">
        <f>NA()</f>
        <v>#N/A</v>
      </c>
      <c r="K183" s="12" t="e">
        <f>NA()</f>
        <v>#N/A</v>
      </c>
      <c r="L183" s="12" t="e">
        <f>NA()</f>
        <v>#N/A</v>
      </c>
      <c r="M183" s="12" t="e">
        <f>NA()</f>
        <v>#N/A</v>
      </c>
      <c r="N183" t="e">
        <f>NA()</f>
        <v>#N/A</v>
      </c>
      <c r="O183" s="12" t="e">
        <f>NA()</f>
        <v>#N/A</v>
      </c>
      <c r="P183" t="e">
        <f>NA()</f>
        <v>#N/A</v>
      </c>
      <c r="Q183">
        <f t="shared" si="28"/>
        <v>16213.875</v>
      </c>
    </row>
    <row r="184" spans="1:19" x14ac:dyDescent="0.25">
      <c r="A184">
        <f>1+ROUND(1000*IF(SUM($C$165:$C$189)=0,0,SUM($C$165:C182)/SUM($C$165:$C$189)),0)</f>
        <v>876</v>
      </c>
      <c r="E184">
        <f>0</f>
        <v>0</v>
      </c>
      <c r="F184">
        <f>0</f>
        <v>0</v>
      </c>
      <c r="G184">
        <f>0</f>
        <v>0</v>
      </c>
      <c r="H184" t="e">
        <f>NA()</f>
        <v>#N/A</v>
      </c>
      <c r="I184" t="e">
        <f>NA()</f>
        <v>#N/A</v>
      </c>
      <c r="J184" t="e">
        <f>NA()</f>
        <v>#N/A</v>
      </c>
      <c r="K184" s="12" t="e">
        <f>NA()</f>
        <v>#N/A</v>
      </c>
      <c r="L184" s="12" t="e">
        <f>NA()</f>
        <v>#N/A</v>
      </c>
      <c r="M184" s="12" t="e">
        <f>NA()</f>
        <v>#N/A</v>
      </c>
      <c r="N184" t="e">
        <f>NA()</f>
        <v>#N/A</v>
      </c>
      <c r="O184" s="12" t="e">
        <f>NA()</f>
        <v>#N/A</v>
      </c>
      <c r="P184" t="e">
        <f>NA()</f>
        <v>#N/A</v>
      </c>
      <c r="Q184">
        <f t="shared" si="28"/>
        <v>16213.875</v>
      </c>
    </row>
    <row r="185" spans="1:19" x14ac:dyDescent="0.25">
      <c r="A185">
        <f>1+ROUND(1000*IF(SUM($C$165:$C$189)=0,0,SUM($C$165:C182)/SUM($C$165:$C$189)),0)</f>
        <v>876</v>
      </c>
      <c r="E185">
        <f>0</f>
        <v>0</v>
      </c>
      <c r="F185">
        <f>0</f>
        <v>0</v>
      </c>
      <c r="G185">
        <f>0</f>
        <v>0</v>
      </c>
      <c r="H185" t="e">
        <f>NA()</f>
        <v>#N/A</v>
      </c>
      <c r="I185" t="e">
        <f>NA()</f>
        <v>#N/A</v>
      </c>
      <c r="J185" t="e">
        <f>NA()</f>
        <v>#N/A</v>
      </c>
      <c r="K185" s="12" t="e">
        <f>NA()</f>
        <v>#N/A</v>
      </c>
      <c r="L185" s="12" t="e">
        <f>NA()</f>
        <v>#N/A</v>
      </c>
      <c r="M185" s="12" t="e">
        <f>NA()</f>
        <v>#N/A</v>
      </c>
      <c r="N185" t="e">
        <f>NA()</f>
        <v>#N/A</v>
      </c>
      <c r="O185" s="12" t="e">
        <f>NA()</f>
        <v>#N/A</v>
      </c>
      <c r="P185" t="e">
        <f>NA()</f>
        <v>#N/A</v>
      </c>
      <c r="Q185">
        <f t="shared" si="28"/>
        <v>16213.875</v>
      </c>
    </row>
    <row r="186" spans="1:19" x14ac:dyDescent="0.25">
      <c r="A186">
        <f>1+ROUND(1000*IF(SUM($C$165:$C$189)=0,0,SUM($C$165:C182)/SUM($C$165:$C$189)),0)</f>
        <v>876</v>
      </c>
      <c r="E186">
        <f>E187</f>
        <v>5306</v>
      </c>
      <c r="F186">
        <f>F187</f>
        <v>2018</v>
      </c>
      <c r="G186">
        <f>G187</f>
        <v>2111</v>
      </c>
      <c r="H186" t="e">
        <f>NA()</f>
        <v>#N/A</v>
      </c>
      <c r="I186" t="e">
        <f>NA()</f>
        <v>#N/A</v>
      </c>
      <c r="J186" t="e">
        <f>NA()</f>
        <v>#N/A</v>
      </c>
      <c r="K186" s="12" t="e">
        <f>NA()</f>
        <v>#N/A</v>
      </c>
      <c r="L186" s="12" t="e">
        <f>NA()</f>
        <v>#N/A</v>
      </c>
      <c r="M186" s="12" t="e">
        <f>NA()</f>
        <v>#N/A</v>
      </c>
      <c r="N186" t="e">
        <f>NA()</f>
        <v>#N/A</v>
      </c>
      <c r="O186" s="12" t="e">
        <f>NA()</f>
        <v>#N/A</v>
      </c>
      <c r="P186" t="e">
        <f>NA()</f>
        <v>#N/A</v>
      </c>
      <c r="Q186">
        <f t="shared" si="28"/>
        <v>16213.875</v>
      </c>
    </row>
    <row r="187" spans="1:19" x14ac:dyDescent="0.25">
      <c r="A187">
        <f>1+ROUND(1000*IF(SUM($C$165:$C$189)=0,0,(SUM($C$165:C182)+SUM($C$165:C187))/2/SUM($C$165:$C$189)),0)</f>
        <v>939</v>
      </c>
      <c r="B187" s="20" t="str">
        <f>IF(A188&gt;A186,IF(ISBLANK('E14'!$A$11),"",'E14'!$A$11),"")</f>
        <v>Norte</v>
      </c>
      <c r="C187">
        <f>IF(ISNUMBER('E14'!$B$11),IF('E14'!$B$11&gt;0,'E14'!$B$11,0),0)</f>
        <v>1</v>
      </c>
      <c r="D187">
        <f>_xlfn.AGGREGATE(9,6,'E14'!$C$11:$E$11)</f>
        <v>9435</v>
      </c>
      <c r="E187">
        <f>IF(ISNUMBER('E14'!$C$11),'E14'!$C$11,0)</f>
        <v>5306</v>
      </c>
      <c r="F187">
        <f>IF(ISNUMBER('E14'!$D$11),'E14'!$D$11,0)</f>
        <v>2018</v>
      </c>
      <c r="G187">
        <f>IF(ISNUMBER('E14'!$E$11),'E14'!$E$11,0)</f>
        <v>2111</v>
      </c>
      <c r="H187">
        <f>SUM(E187:E187)-E187/2</f>
        <v>2653</v>
      </c>
      <c r="I187">
        <f>SUM(E187:F187)-F187/2</f>
        <v>6315</v>
      </c>
      <c r="J187">
        <f>SUM(E187:G187)-G187/2</f>
        <v>8379.5</v>
      </c>
      <c r="K187" s="12">
        <f>IF(A188&gt;A186,E187,0)</f>
        <v>5306</v>
      </c>
      <c r="L187" s="12">
        <f>IF(A188&gt;A186,F187,0)</f>
        <v>2018</v>
      </c>
      <c r="M187" s="12">
        <f>IF(A188&gt;A186,G187,0)</f>
        <v>2111</v>
      </c>
      <c r="N187">
        <f>D187</f>
        <v>9435</v>
      </c>
      <c r="O187" s="12">
        <f>IF(A188&gt;A186,D187,0)</f>
        <v>9435</v>
      </c>
      <c r="P187">
        <f>0</f>
        <v>0</v>
      </c>
      <c r="Q187">
        <f t="shared" si="28"/>
        <v>16213.875</v>
      </c>
    </row>
    <row r="188" spans="1:19" x14ac:dyDescent="0.25">
      <c r="A188">
        <f>1+ROUND(1000*IF(SUM($C$165:$C$189)=0,0,SUM($C$165:C187)/SUM($C$165:$C$189)),0)</f>
        <v>1001</v>
      </c>
      <c r="E188">
        <f>E187</f>
        <v>5306</v>
      </c>
      <c r="F188">
        <f>F187</f>
        <v>2018</v>
      </c>
      <c r="G188">
        <f>G187</f>
        <v>2111</v>
      </c>
      <c r="H188" t="e">
        <f>NA()</f>
        <v>#N/A</v>
      </c>
      <c r="I188" t="e">
        <f>NA()</f>
        <v>#N/A</v>
      </c>
      <c r="J188" t="e">
        <f>NA()</f>
        <v>#N/A</v>
      </c>
      <c r="K188" s="12" t="e">
        <f>NA()</f>
        <v>#N/A</v>
      </c>
      <c r="L188" s="12" t="e">
        <f>NA()</f>
        <v>#N/A</v>
      </c>
      <c r="M188" s="12" t="e">
        <f>NA()</f>
        <v>#N/A</v>
      </c>
      <c r="N188" t="e">
        <f>NA()</f>
        <v>#N/A</v>
      </c>
      <c r="O188" s="12" t="e">
        <f>NA()</f>
        <v>#N/A</v>
      </c>
      <c r="P188" t="e">
        <f>NA()</f>
        <v>#N/A</v>
      </c>
      <c r="Q188">
        <f t="shared" si="28"/>
        <v>16213.875</v>
      </c>
    </row>
    <row r="189" spans="1:19" x14ac:dyDescent="0.25">
      <c r="A189">
        <f>1+ROUND(1000*IF(SUM($C$165:$C$189)=0,0,SUM($C$165:C187)/SUM($C$165:$C$189)),0)</f>
        <v>1001</v>
      </c>
      <c r="E189">
        <f>0</f>
        <v>0</v>
      </c>
      <c r="F189">
        <f>0</f>
        <v>0</v>
      </c>
      <c r="G189">
        <f>0</f>
        <v>0</v>
      </c>
      <c r="H189" t="e">
        <f>NA()</f>
        <v>#N/A</v>
      </c>
      <c r="I189" t="e">
        <f>NA()</f>
        <v>#N/A</v>
      </c>
      <c r="J189" t="e">
        <f>NA()</f>
        <v>#N/A</v>
      </c>
      <c r="K189" s="12" t="e">
        <f>NA()</f>
        <v>#N/A</v>
      </c>
      <c r="L189" s="12" t="e">
        <f>NA()</f>
        <v>#N/A</v>
      </c>
      <c r="M189" s="12" t="e">
        <f>NA()</f>
        <v>#N/A</v>
      </c>
      <c r="N189" t="e">
        <f>NA()</f>
        <v>#N/A</v>
      </c>
      <c r="O189" s="12" t="e">
        <f>NA()</f>
        <v>#N/A</v>
      </c>
      <c r="P189" t="e">
        <f>NA()</f>
        <v>#N/A</v>
      </c>
      <c r="Q189">
        <f t="shared" si="28"/>
        <v>16213.875</v>
      </c>
    </row>
    <row r="191" spans="1:19" x14ac:dyDescent="0.25">
      <c r="A191" s="11" t="s">
        <v>212</v>
      </c>
      <c r="B191" s="5" t="s">
        <v>213</v>
      </c>
      <c r="C191" s="5" t="str">
        <f>"'E15'!$A$6:$C$10"</f>
        <v>'E15'!$A$6:$C$10</v>
      </c>
      <c r="D191" s="11" t="s">
        <v>230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spans="1:19" x14ac:dyDescent="0.25">
      <c r="A192" t="s">
        <v>214</v>
      </c>
      <c r="B192" t="s">
        <v>215</v>
      </c>
      <c r="C192" t="s">
        <v>39</v>
      </c>
      <c r="D192" t="s">
        <v>216</v>
      </c>
      <c r="E192" t="s">
        <v>217</v>
      </c>
      <c r="F192" t="s">
        <v>218</v>
      </c>
      <c r="G192" t="s">
        <v>219</v>
      </c>
      <c r="H192" t="s">
        <v>63</v>
      </c>
      <c r="I192" t="s">
        <v>220</v>
      </c>
      <c r="J192" t="s">
        <v>221</v>
      </c>
      <c r="L192" t="s">
        <v>222</v>
      </c>
      <c r="M192" t="s">
        <v>223</v>
      </c>
      <c r="N192" t="s">
        <v>224</v>
      </c>
      <c r="O192" t="s">
        <v>225</v>
      </c>
      <c r="P192" t="s">
        <v>226</v>
      </c>
      <c r="Q192" t="s">
        <v>227</v>
      </c>
      <c r="R192" t="s">
        <v>228</v>
      </c>
      <c r="S192" t="s">
        <v>229</v>
      </c>
    </row>
    <row r="193" spans="1:19" x14ac:dyDescent="0.25">
      <c r="A193" t="str">
        <f>'E15'!$A$7</f>
        <v>Reforma da fachada (Aurora Centro)</v>
      </c>
      <c r="B193">
        <f>IF(ISNUMBER('E15'!$B$7),'E15'!$B$7,NA())</f>
        <v>46083</v>
      </c>
      <c r="C193">
        <f>IF(ISNUMBER('E15'!$C$7),'E15'!$C$7,NA())</f>
        <v>46108</v>
      </c>
      <c r="D193" t="b">
        <f>AND(ISNUMBER('E15'!$B$7),NOT(ISNUMBER('E15'!$C$7)))</f>
        <v>0</v>
      </c>
      <c r="E193">
        <f>IF(D193,NA(),B193)</f>
        <v>46083</v>
      </c>
      <c r="F193">
        <f>IF(D193,NA(),MAX(0,C193-B193+1))</f>
        <v>26</v>
      </c>
      <c r="G193" t="e">
        <f>IF(D193,B193,NA())</f>
        <v>#N/A</v>
      </c>
      <c r="H193">
        <f>3.5</f>
        <v>3.5</v>
      </c>
      <c r="I193">
        <f>IF(D193,B193,IF(ISNUMBER(B193),C193+1,NA()))</f>
        <v>46109</v>
      </c>
      <c r="J193" s="22">
        <f>IF(ISNUMBER(I193),IF(D193,B193,C193),"")</f>
        <v>46108</v>
      </c>
      <c r="L193" t="str">
        <f>IF($S$193-$R$193&lt;=98,"w",IF($S$193-$R$193&lt;=1100,"m",IF($S$193-$R$193&lt;=3500,"q","y")))</f>
        <v>w</v>
      </c>
      <c r="M193">
        <f>IF($L$193="w",INT($R$193)-WEEKDAY($R$193,3),IF($L$193="m",DATE(YEAR($R$193),MONTH($R$193),1),IF($L$193="q",DATE(YEAR($R$193),3*INT((MONTH($R$193)-1)/3)+1,1),DATE(YEAR($R$193),1,1))))</f>
        <v>46083</v>
      </c>
      <c r="N193">
        <f>IF($L$193="w",INT($S$193)-WEEKDAY($S$193,3)+7,IF($L$193="m",EDATE(DATE(YEAR($S$193),MONTH($S$193),1),1),IF($L$193="q",EDATE(DATE(YEAR($S$193),3*INT((MONTH($S$193)-1)/3)+1,1),3),DATE(YEAR($S$193)+1,1,1))))</f>
        <v>46167</v>
      </c>
      <c r="O193">
        <f>IF(IF($L$193="w",$M$193+7*0,EDATE($M$193,0*IF($L$193="m",1,IF($L$193="q",3,12))))&lt;$N$193,IF($L$193="w",$M$193+7*0,EDATE($M$193,0*IF($L$193="m",1,IF($L$193="q",3,12)))),NA())</f>
        <v>46083</v>
      </c>
      <c r="P193">
        <f>IF(ISNUMBER(O193),4,NA())</f>
        <v>4</v>
      </c>
      <c r="Q193" s="22">
        <f>IF(ISNUMBER(O193),IF($L$193="q","T"&amp;(INT((MONTH(O193)-1)/3)+1)&amp;"/"&amp;YEAR(O193),IF($L$193="y",YEAR(O193),O193)),"")</f>
        <v>46083</v>
      </c>
      <c r="R193">
        <f>_xlfn.AGGREGATE(5,6,$B$193:$B$196)</f>
        <v>46083</v>
      </c>
      <c r="S193">
        <f>_xlfn.AGGREGATE(4,6,$B$193:$B$196,$C$193:$C$196)</f>
        <v>46160</v>
      </c>
    </row>
    <row r="194" spans="1:19" x14ac:dyDescent="0.25">
      <c r="A194" t="str">
        <f>'E15'!$A$8</f>
        <v>Troca do telhado (Porto Sereno)</v>
      </c>
      <c r="B194">
        <f>IF(ISNUMBER('E15'!$B$8),'E15'!$B$8,NA())</f>
        <v>46097</v>
      </c>
      <c r="C194">
        <f>IF(ISNUMBER('E15'!$C$8),'E15'!$C$8,NA())</f>
        <v>46136</v>
      </c>
      <c r="D194" t="b">
        <f>AND(ISNUMBER('E15'!$B$8),NOT(ISNUMBER('E15'!$C$8)))</f>
        <v>0</v>
      </c>
      <c r="E194">
        <f>IF(D194,NA(),B194)</f>
        <v>46097</v>
      </c>
      <c r="F194">
        <f>IF(D194,NA(),MAX(0,C194-B194+1))</f>
        <v>40</v>
      </c>
      <c r="G194" t="e">
        <f>IF(D194,B194,NA())</f>
        <v>#N/A</v>
      </c>
      <c r="H194">
        <f>2.5</f>
        <v>2.5</v>
      </c>
      <c r="I194">
        <f>IF(D194,B194,IF(ISNUMBER(B194),C194+1,NA()))</f>
        <v>46137</v>
      </c>
      <c r="J194" s="22">
        <f>IF(ISNUMBER(I194),IF(D194,B194,C194),"")</f>
        <v>46136</v>
      </c>
      <c r="O194">
        <f>IF(IF($L$193="w",$M$193+7*1,EDATE($M$193,1*IF($L$193="m",1,IF($L$193="q",3,12))))&lt;$N$193,IF($L$193="w",$M$193+7*1,EDATE($M$193,1*IF($L$193="m",1,IF($L$193="q",3,12)))),NA())</f>
        <v>46090</v>
      </c>
      <c r="P194">
        <f>IF(ISNUMBER(O194),4,NA())</f>
        <v>4</v>
      </c>
      <c r="Q194" s="22">
        <f>IF(ISNUMBER(O194),IF($L$193="q","T"&amp;(INT((MONTH(O194)-1)/3)+1)&amp;"/"&amp;YEAR(O194),IF($L$193="y",YEAR(O194),O194)),"")</f>
        <v>46090</v>
      </c>
    </row>
    <row r="195" spans="1:19" x14ac:dyDescent="0.25">
      <c r="A195" t="str">
        <f>'E15'!$A$9</f>
        <v>Novo depósito (Serra Clara)</v>
      </c>
      <c r="B195">
        <f>IF(ISNUMBER('E15'!$B$9),'E15'!$B$9,NA())</f>
        <v>46118</v>
      </c>
      <c r="C195">
        <f>IF(ISNUMBER('E15'!$C$9),'E15'!$C$9,NA())</f>
        <v>46157</v>
      </c>
      <c r="D195" t="b">
        <f>AND(ISNUMBER('E15'!$B$9),NOT(ISNUMBER('E15'!$C$9)))</f>
        <v>0</v>
      </c>
      <c r="E195">
        <f>IF(D195,NA(),B195)</f>
        <v>46118</v>
      </c>
      <c r="F195">
        <f>IF(D195,NA(),MAX(0,C195-B195+1))</f>
        <v>40</v>
      </c>
      <c r="G195" t="e">
        <f>IF(D195,B195,NA())</f>
        <v>#N/A</v>
      </c>
      <c r="H195">
        <f>1.5</f>
        <v>1.5</v>
      </c>
      <c r="I195">
        <f>IF(D195,B195,IF(ISNUMBER(B195),C195+1,NA()))</f>
        <v>46158</v>
      </c>
      <c r="J195" s="22">
        <f>IF(ISNUMBER(I195),IF(D195,B195,C195),"")</f>
        <v>46157</v>
      </c>
      <c r="O195">
        <f>IF(IF($L$193="w",$M$193+7*2,EDATE($M$193,2*IF($L$193="m",1,IF($L$193="q",3,12))))&lt;$N$193,IF($L$193="w",$M$193+7*2,EDATE($M$193,2*IF($L$193="m",1,IF($L$193="q",3,12)))),NA())</f>
        <v>46097</v>
      </c>
      <c r="P195">
        <f>IF(ISNUMBER(O195),4,NA())</f>
        <v>4</v>
      </c>
      <c r="Q195" s="22">
        <f>IF(ISNUMBER(O195),IF($L$193="q","T"&amp;(INT((MONTH(O195)-1)/3)+1)&amp;"/"&amp;YEAR(O195),IF($L$193="y",YEAR(O195),O195)),"")</f>
        <v>46097</v>
      </c>
    </row>
    <row r="196" spans="1:19" x14ac:dyDescent="0.25">
      <c r="A196" t="str">
        <f>'E15'!$A$10</f>
        <v>Inauguração do depósito</v>
      </c>
      <c r="B196">
        <f>IF(ISNUMBER('E15'!$B$10),'E15'!$B$10,NA())</f>
        <v>46160</v>
      </c>
      <c r="C196" t="e">
        <f>IF(ISNUMBER('E15'!$C$10),'E15'!$C$10,NA())</f>
        <v>#N/A</v>
      </c>
      <c r="D196" t="b">
        <f>AND(ISNUMBER('E15'!$B$10),NOT(ISNUMBER('E15'!$C$10)))</f>
        <v>1</v>
      </c>
      <c r="E196" t="e">
        <f>IF(D196,NA(),B196)</f>
        <v>#N/A</v>
      </c>
      <c r="F196" t="e">
        <f>IF(D196,NA(),MAX(0,C196-B196+1))</f>
        <v>#N/A</v>
      </c>
      <c r="G196">
        <f>IF(D196,B196,NA())</f>
        <v>46160</v>
      </c>
      <c r="H196">
        <f>0.5</f>
        <v>0.5</v>
      </c>
      <c r="I196">
        <f>IF(D196,B196,IF(ISNUMBER(B196),C196+1,NA()))</f>
        <v>46160</v>
      </c>
      <c r="J196" s="22">
        <f>IF(ISNUMBER(I196),IF(D196,B196,C196),"")</f>
        <v>46160</v>
      </c>
      <c r="O196">
        <f>IF(IF($L$193="w",$M$193+7*3,EDATE($M$193,3*IF($L$193="m",1,IF($L$193="q",3,12))))&lt;$N$193,IF($L$193="w",$M$193+7*3,EDATE($M$193,3*IF($L$193="m",1,IF($L$193="q",3,12)))),NA())</f>
        <v>46104</v>
      </c>
      <c r="P196">
        <f>IF(ISNUMBER(O196),4,NA())</f>
        <v>4</v>
      </c>
      <c r="Q196" s="22">
        <f>IF(ISNUMBER(O196),IF($L$193="q","T"&amp;(INT((MONTH(O196)-1)/3)+1)&amp;"/"&amp;YEAR(O196),IF($L$193="y",YEAR(O196),O196)),"")</f>
        <v>46104</v>
      </c>
    </row>
    <row r="197" spans="1:19" x14ac:dyDescent="0.25">
      <c r="O197">
        <f>IF(IF($L$193="w",$M$193+7*4,EDATE($M$193,4*IF($L$193="m",1,IF($L$193="q",3,12))))&lt;$N$193,IF($L$193="w",$M$193+7*4,EDATE($M$193,4*IF($L$193="m",1,IF($L$193="q",3,12)))),NA())</f>
        <v>46111</v>
      </c>
      <c r="P197">
        <f>IF(ISNUMBER(O197),4,NA())</f>
        <v>4</v>
      </c>
      <c r="Q197" s="22">
        <f>IF(ISNUMBER(O197),IF($L$193="q","T"&amp;(INT((MONTH(O197)-1)/3)+1)&amp;"/"&amp;YEAR(O197),IF($L$193="y",YEAR(O197),O197)),"")</f>
        <v>46111</v>
      </c>
    </row>
    <row r="198" spans="1:19" x14ac:dyDescent="0.25">
      <c r="O198">
        <f>IF(IF($L$193="w",$M$193+7*5,EDATE($M$193,5*IF($L$193="m",1,IF($L$193="q",3,12))))&lt;$N$193,IF($L$193="w",$M$193+7*5,EDATE($M$193,5*IF($L$193="m",1,IF($L$193="q",3,12)))),NA())</f>
        <v>46118</v>
      </c>
      <c r="P198">
        <f>IF(ISNUMBER(O198),4,NA())</f>
        <v>4</v>
      </c>
      <c r="Q198" s="22">
        <f>IF(ISNUMBER(O198),IF($L$193="q","T"&amp;(INT((MONTH(O198)-1)/3)+1)&amp;"/"&amp;YEAR(O198),IF($L$193="y",YEAR(O198),O198)),"")</f>
        <v>46118</v>
      </c>
    </row>
    <row r="199" spans="1:19" x14ac:dyDescent="0.25">
      <c r="O199">
        <f>IF(IF($L$193="w",$M$193+7*6,EDATE($M$193,6*IF($L$193="m",1,IF($L$193="q",3,12))))&lt;$N$193,IF($L$193="w",$M$193+7*6,EDATE($M$193,6*IF($L$193="m",1,IF($L$193="q",3,12)))),NA())</f>
        <v>46125</v>
      </c>
      <c r="P199">
        <f>IF(ISNUMBER(O199),4,NA())</f>
        <v>4</v>
      </c>
      <c r="Q199" s="22">
        <f>IF(ISNUMBER(O199),IF($L$193="q","T"&amp;(INT((MONTH(O199)-1)/3)+1)&amp;"/"&amp;YEAR(O199),IF($L$193="y",YEAR(O199),O199)),"")</f>
        <v>46125</v>
      </c>
    </row>
    <row r="200" spans="1:19" x14ac:dyDescent="0.25">
      <c r="O200">
        <f>IF(IF($L$193="w",$M$193+7*7,EDATE($M$193,7*IF($L$193="m",1,IF($L$193="q",3,12))))&lt;$N$193,IF($L$193="w",$M$193+7*7,EDATE($M$193,7*IF($L$193="m",1,IF($L$193="q",3,12)))),NA())</f>
        <v>46132</v>
      </c>
      <c r="P200">
        <f>IF(ISNUMBER(O200),4,NA())</f>
        <v>4</v>
      </c>
      <c r="Q200" s="22">
        <f>IF(ISNUMBER(O200),IF($L$193="q","T"&amp;(INT((MONTH(O200)-1)/3)+1)&amp;"/"&amp;YEAR(O200),IF($L$193="y",YEAR(O200),O200)),"")</f>
        <v>46132</v>
      </c>
    </row>
    <row r="201" spans="1:19" x14ac:dyDescent="0.25">
      <c r="O201">
        <f>IF(IF($L$193="w",$M$193+7*8,EDATE($M$193,8*IF($L$193="m",1,IF($L$193="q",3,12))))&lt;$N$193,IF($L$193="w",$M$193+7*8,EDATE($M$193,8*IF($L$193="m",1,IF($L$193="q",3,12)))),NA())</f>
        <v>46139</v>
      </c>
      <c r="P201">
        <f>IF(ISNUMBER(O201),4,NA())</f>
        <v>4</v>
      </c>
      <c r="Q201" s="22">
        <f>IF(ISNUMBER(O201),IF($L$193="q","T"&amp;(INT((MONTH(O201)-1)/3)+1)&amp;"/"&amp;YEAR(O201),IF($L$193="y",YEAR(O201),O201)),"")</f>
        <v>46139</v>
      </c>
    </row>
    <row r="202" spans="1:19" x14ac:dyDescent="0.25">
      <c r="O202">
        <f>IF(IF($L$193="w",$M$193+7*9,EDATE($M$193,9*IF($L$193="m",1,IF($L$193="q",3,12))))&lt;$N$193,IF($L$193="w",$M$193+7*9,EDATE($M$193,9*IF($L$193="m",1,IF($L$193="q",3,12)))),NA())</f>
        <v>46146</v>
      </c>
      <c r="P202">
        <f>IF(ISNUMBER(O202),4,NA())</f>
        <v>4</v>
      </c>
      <c r="Q202" s="22">
        <f>IF(ISNUMBER(O202),IF($L$193="q","T"&amp;(INT((MONTH(O202)-1)/3)+1)&amp;"/"&amp;YEAR(O202),IF($L$193="y",YEAR(O202),O202)),"")</f>
        <v>46146</v>
      </c>
    </row>
    <row r="203" spans="1:19" x14ac:dyDescent="0.25">
      <c r="O203">
        <f>IF(IF($L$193="w",$M$193+7*10,EDATE($M$193,10*IF($L$193="m",1,IF($L$193="q",3,12))))&lt;$N$193,IF($L$193="w",$M$193+7*10,EDATE($M$193,10*IF($L$193="m",1,IF($L$193="q",3,12)))),NA())</f>
        <v>46153</v>
      </c>
      <c r="P203">
        <f>IF(ISNUMBER(O203),4,NA())</f>
        <v>4</v>
      </c>
      <c r="Q203" s="22">
        <f>IF(ISNUMBER(O203),IF($L$193="q","T"&amp;(INT((MONTH(O203)-1)/3)+1)&amp;"/"&amp;YEAR(O203),IF($L$193="y",YEAR(O203),O203)),"")</f>
        <v>46153</v>
      </c>
    </row>
    <row r="204" spans="1:19" x14ac:dyDescent="0.25">
      <c r="O204">
        <f>IF(IF($L$193="w",$M$193+7*11,EDATE($M$193,11*IF($L$193="m",1,IF($L$193="q",3,12))))&lt;$N$193,IF($L$193="w",$M$193+7*11,EDATE($M$193,11*IF($L$193="m",1,IF($L$193="q",3,12)))),NA())</f>
        <v>46160</v>
      </c>
      <c r="P204">
        <f>IF(ISNUMBER(O204),4,NA())</f>
        <v>4</v>
      </c>
      <c r="Q204" s="22">
        <f>IF(ISNUMBER(O204),IF($L$193="q","T"&amp;(INT((MONTH(O204)-1)/3)+1)&amp;"/"&amp;YEAR(O204),IF($L$193="y",YEAR(O204),O204)),"")</f>
        <v>46160</v>
      </c>
    </row>
    <row r="205" spans="1:19" x14ac:dyDescent="0.25">
      <c r="O205" t="e">
        <f>IF(IF($L$193="w",$M$193+7*12,EDATE($M$193,12*IF($L$193="m",1,IF($L$193="q",3,12))))&lt;$N$193,IF($L$193="w",$M$193+7*12,EDATE($M$193,12*IF($L$193="m",1,IF($L$193="q",3,12)))),NA())</f>
        <v>#N/A</v>
      </c>
      <c r="P205" t="e">
        <f>IF(ISNUMBER(O205),4,NA())</f>
        <v>#N/A</v>
      </c>
      <c r="Q205" s="22" t="str">
        <f>IF(ISNUMBER(O205),IF($L$193="q","T"&amp;(INT((MONTH(O205)-1)/3)+1)&amp;"/"&amp;YEAR(O205),IF($L$193="y",YEAR(O205),O205)),"")</f>
        <v/>
      </c>
    </row>
    <row r="206" spans="1:19" x14ac:dyDescent="0.25">
      <c r="O206" t="e">
        <f>IF(IF($L$193="w",$M$193+7*13,EDATE($M$193,13*IF($L$193="m",1,IF($L$193="q",3,12))))&lt;$N$193,IF($L$193="w",$M$193+7*13,EDATE($M$193,13*IF($L$193="m",1,IF($L$193="q",3,12)))),NA())</f>
        <v>#N/A</v>
      </c>
      <c r="P206" t="e">
        <f>IF(ISNUMBER(O206),4,NA())</f>
        <v>#N/A</v>
      </c>
      <c r="Q206" s="22" t="str">
        <f>IF(ISNUMBER(O206),IF($L$193="q","T"&amp;(INT((MONTH(O206)-1)/3)+1)&amp;"/"&amp;YEAR(O206),IF($L$193="y",YEAR(O206),O206)),"")</f>
        <v/>
      </c>
    </row>
    <row r="207" spans="1:19" x14ac:dyDescent="0.25">
      <c r="O207" t="e">
        <f>IF(IF($L$193="w",$M$193+7*14,EDATE($M$193,14*IF($L$193="m",1,IF($L$193="q",3,12))))&lt;$N$193,IF($L$193="w",$M$193+7*14,EDATE($M$193,14*IF($L$193="m",1,IF($L$193="q",3,12)))),NA())</f>
        <v>#N/A</v>
      </c>
      <c r="P207" t="e">
        <f>IF(ISNUMBER(O207),4,NA())</f>
        <v>#N/A</v>
      </c>
      <c r="Q207" s="22" t="str">
        <f>IF(ISNUMBER(O207),IF($L$193="q","T"&amp;(INT((MONTH(O207)-1)/3)+1)&amp;"/"&amp;YEAR(O207),IF($L$193="y",YEAR(O207),O207)),"")</f>
        <v/>
      </c>
    </row>
    <row r="208" spans="1:19" x14ac:dyDescent="0.25">
      <c r="O208" t="e">
        <f>IF(IF($L$193="w",$M$193+7*15,EDATE($M$193,15*IF($L$193="m",1,IF($L$193="q",3,12))))&lt;$N$193,IF($L$193="w",$M$193+7*15,EDATE($M$193,15*IF($L$193="m",1,IF($L$193="q",3,12)))),NA())</f>
        <v>#N/A</v>
      </c>
      <c r="P208" t="e">
        <f>IF(ISNUMBER(O208),4,NA())</f>
        <v>#N/A</v>
      </c>
      <c r="Q208" s="22" t="str">
        <f>IF(ISNUMBER(O208),IF($L$193="q","T"&amp;(INT((MONTH(O208)-1)/3)+1)&amp;"/"&amp;YEAR(O208),IF($L$193="y",YEAR(O208),O208)),"")</f>
        <v/>
      </c>
    </row>
    <row r="209" spans="15:17" x14ac:dyDescent="0.25">
      <c r="O209" t="e">
        <f>IF(IF($L$193="w",$M$193+7*16,EDATE($M$193,16*IF($L$193="m",1,IF($L$193="q",3,12))))&lt;$N$193,IF($L$193="w",$M$193+7*16,EDATE($M$193,16*IF($L$193="m",1,IF($L$193="q",3,12)))),NA())</f>
        <v>#N/A</v>
      </c>
      <c r="P209" t="e">
        <f>IF(ISNUMBER(O209),4,NA())</f>
        <v>#N/A</v>
      </c>
      <c r="Q209" s="22" t="str">
        <f>IF(ISNUMBER(O209),IF($L$193="q","T"&amp;(INT((MONTH(O209)-1)/3)+1)&amp;"/"&amp;YEAR(O209),IF($L$193="y",YEAR(O209),O209)),"")</f>
        <v/>
      </c>
    </row>
    <row r="210" spans="15:17" x14ac:dyDescent="0.25">
      <c r="O210" t="e">
        <f>IF(IF($L$193="w",$M$193+7*17,EDATE($M$193,17*IF($L$193="m",1,IF($L$193="q",3,12))))&lt;$N$193,IF($L$193="w",$M$193+7*17,EDATE($M$193,17*IF($L$193="m",1,IF($L$193="q",3,12)))),NA())</f>
        <v>#N/A</v>
      </c>
      <c r="P210" t="e">
        <f>IF(ISNUMBER(O210),4,NA())</f>
        <v>#N/A</v>
      </c>
      <c r="Q210" s="22" t="str">
        <f>IF(ISNUMBER(O210),IF($L$193="q","T"&amp;(INT((MONTH(O210)-1)/3)+1)&amp;"/"&amp;YEAR(O210),IF($L$193="y",YEAR(O210),O210)),"")</f>
        <v/>
      </c>
    </row>
    <row r="211" spans="15:17" x14ac:dyDescent="0.25">
      <c r="O211" t="e">
        <f>IF(IF($L$193="w",$M$193+7*18,EDATE($M$193,18*IF($L$193="m",1,IF($L$193="q",3,12))))&lt;$N$193,IF($L$193="w",$M$193+7*18,EDATE($M$193,18*IF($L$193="m",1,IF($L$193="q",3,12)))),NA())</f>
        <v>#N/A</v>
      </c>
      <c r="P211" t="e">
        <f>IF(ISNUMBER(O211),4,NA())</f>
        <v>#N/A</v>
      </c>
      <c r="Q211" s="22" t="str">
        <f>IF(ISNUMBER(O211),IF($L$193="q","T"&amp;(INT((MONTH(O211)-1)/3)+1)&amp;"/"&amp;YEAR(O211),IF($L$193="y",YEAR(O211),O211)),"")</f>
        <v/>
      </c>
    </row>
    <row r="212" spans="15:17" x14ac:dyDescent="0.25">
      <c r="O212" t="e">
        <f>IF(IF($L$193="w",$M$193+7*19,EDATE($M$193,19*IF($L$193="m",1,IF($L$193="q",3,12))))&lt;$N$193,IF($L$193="w",$M$193+7*19,EDATE($M$193,19*IF($L$193="m",1,IF($L$193="q",3,12)))),NA())</f>
        <v>#N/A</v>
      </c>
      <c r="P212" t="e">
        <f>IF(ISNUMBER(O212),4,NA())</f>
        <v>#N/A</v>
      </c>
      <c r="Q212" s="22" t="str">
        <f>IF(ISNUMBER(O212),IF($L$193="q","T"&amp;(INT((MONTH(O212)-1)/3)+1)&amp;"/"&amp;YEAR(O212),IF($L$193="y",YEAR(O212),O212)),"")</f>
        <v/>
      </c>
    </row>
    <row r="213" spans="15:17" x14ac:dyDescent="0.25">
      <c r="O213" t="e">
        <f>IF(IF($L$193="w",$M$193+7*20,EDATE($M$193,20*IF($L$193="m",1,IF($L$193="q",3,12))))&lt;$N$193,IF($L$193="w",$M$193+7*20,EDATE($M$193,20*IF($L$193="m",1,IF($L$193="q",3,12)))),NA())</f>
        <v>#N/A</v>
      </c>
      <c r="P213" t="e">
        <f>IF(ISNUMBER(O213),4,NA())</f>
        <v>#N/A</v>
      </c>
      <c r="Q213" s="22" t="str">
        <f>IF(ISNUMBER(O213),IF($L$193="q","T"&amp;(INT((MONTH(O213)-1)/3)+1)&amp;"/"&amp;YEAR(O213),IF($L$193="y",YEAR(O213),O213)),"")</f>
        <v/>
      </c>
    </row>
    <row r="214" spans="15:17" x14ac:dyDescent="0.25">
      <c r="O214" t="e">
        <f>IF(IF($L$193="w",$M$193+7*21,EDATE($M$193,21*IF($L$193="m",1,IF($L$193="q",3,12))))&lt;$N$193,IF($L$193="w",$M$193+7*21,EDATE($M$193,21*IF($L$193="m",1,IF($L$193="q",3,12)))),NA())</f>
        <v>#N/A</v>
      </c>
      <c r="P214" t="e">
        <f>IF(ISNUMBER(O214),4,NA())</f>
        <v>#N/A</v>
      </c>
      <c r="Q214" s="22" t="str">
        <f>IF(ISNUMBER(O214),IF($L$193="q","T"&amp;(INT((MONTH(O214)-1)/3)+1)&amp;"/"&amp;YEAR(O214),IF($L$193="y",YEAR(O214),O214)),"")</f>
        <v/>
      </c>
    </row>
    <row r="215" spans="15:17" x14ac:dyDescent="0.25">
      <c r="O215" t="e">
        <f>IF(IF($L$193="w",$M$193+7*22,EDATE($M$193,22*IF($L$193="m",1,IF($L$193="q",3,12))))&lt;$N$193,IF($L$193="w",$M$193+7*22,EDATE($M$193,22*IF($L$193="m",1,IF($L$193="q",3,12)))),NA())</f>
        <v>#N/A</v>
      </c>
      <c r="P215" t="e">
        <f>IF(ISNUMBER(O215),4,NA())</f>
        <v>#N/A</v>
      </c>
      <c r="Q215" s="22" t="str">
        <f>IF(ISNUMBER(O215),IF($L$193="q","T"&amp;(INT((MONTH(O215)-1)/3)+1)&amp;"/"&amp;YEAR(O215),IF($L$193="y",YEAR(O215),O215)),"")</f>
        <v/>
      </c>
    </row>
    <row r="216" spans="15:17" x14ac:dyDescent="0.25">
      <c r="O216" t="e">
        <f>IF(IF($L$193="w",$M$193+7*23,EDATE($M$193,23*IF($L$193="m",1,IF($L$193="q",3,12))))&lt;$N$193,IF($L$193="w",$M$193+7*23,EDATE($M$193,23*IF($L$193="m",1,IF($L$193="q",3,12)))),NA())</f>
        <v>#N/A</v>
      </c>
      <c r="P216" t="e">
        <f>IF(ISNUMBER(O216),4,NA())</f>
        <v>#N/A</v>
      </c>
      <c r="Q216" s="22" t="str">
        <f>IF(ISNUMBER(O216),IF($L$193="q","T"&amp;(INT((MONTH(O216)-1)/3)+1)&amp;"/"&amp;YEAR(O216),IF($L$193="y",YEAR(O216),O216)),"")</f>
        <v/>
      </c>
    </row>
    <row r="217" spans="15:17" x14ac:dyDescent="0.25">
      <c r="O217" t="e">
        <f>IF(IF($L$193="w",$M$193+7*24,EDATE($M$193,24*IF($L$193="m",1,IF($L$193="q",3,12))))&lt;$N$193,IF($L$193="w",$M$193+7*24,EDATE($M$193,24*IF($L$193="m",1,IF($L$193="q",3,12)))),NA())</f>
        <v>#N/A</v>
      </c>
      <c r="P217" t="e">
        <f>IF(ISNUMBER(O217),4,NA())</f>
        <v>#N/A</v>
      </c>
      <c r="Q217" s="22" t="str">
        <f>IF(ISNUMBER(O217),IF($L$193="q","T"&amp;(INT((MONTH(O217)-1)/3)+1)&amp;"/"&amp;YEAR(O217),IF($L$193="y",YEAR(O217),O217)),"")</f>
        <v/>
      </c>
    </row>
    <row r="218" spans="15:17" x14ac:dyDescent="0.25">
      <c r="O218" t="e">
        <f>IF(IF($L$193="w",$M$193+7*25,EDATE($M$193,25*IF($L$193="m",1,IF($L$193="q",3,12))))&lt;$N$193,IF($L$193="w",$M$193+7*25,EDATE($M$193,25*IF($L$193="m",1,IF($L$193="q",3,12)))),NA())</f>
        <v>#N/A</v>
      </c>
      <c r="P218" t="e">
        <f>IF(ISNUMBER(O218),4,NA())</f>
        <v>#N/A</v>
      </c>
      <c r="Q218" s="22" t="str">
        <f>IF(ISNUMBER(O218),IF($L$193="q","T"&amp;(INT((MONTH(O218)-1)/3)+1)&amp;"/"&amp;YEAR(O218),IF($L$193="y",YEAR(O218),O218)),"")</f>
        <v/>
      </c>
    </row>
    <row r="219" spans="15:17" x14ac:dyDescent="0.25">
      <c r="O219" t="e">
        <f>IF(IF($L$193="w",$M$193+7*26,EDATE($M$193,26*IF($L$193="m",1,IF($L$193="q",3,12))))&lt;$N$193,IF($L$193="w",$M$193+7*26,EDATE($M$193,26*IF($L$193="m",1,IF($L$193="q",3,12)))),NA())</f>
        <v>#N/A</v>
      </c>
      <c r="P219" t="e">
        <f>IF(ISNUMBER(O219),4,NA())</f>
        <v>#N/A</v>
      </c>
      <c r="Q219" s="22" t="str">
        <f>IF(ISNUMBER(O219),IF($L$193="q","T"&amp;(INT((MONTH(O219)-1)/3)+1)&amp;"/"&amp;YEAR(O219),IF($L$193="y",YEAR(O219),O219)),"")</f>
        <v/>
      </c>
    </row>
    <row r="220" spans="15:17" x14ac:dyDescent="0.25">
      <c r="O220" t="e">
        <f>IF(IF($L$193="w",$M$193+7*27,EDATE($M$193,27*IF($L$193="m",1,IF($L$193="q",3,12))))&lt;$N$193,IF($L$193="w",$M$193+7*27,EDATE($M$193,27*IF($L$193="m",1,IF($L$193="q",3,12)))),NA())</f>
        <v>#N/A</v>
      </c>
      <c r="P220" t="e">
        <f>IF(ISNUMBER(O220),4,NA())</f>
        <v>#N/A</v>
      </c>
      <c r="Q220" s="22" t="str">
        <f>IF(ISNUMBER(O220),IF($L$193="q","T"&amp;(INT((MONTH(O220)-1)/3)+1)&amp;"/"&amp;YEAR(O220),IF($L$193="y",YEAR(O220),O220)),"")</f>
        <v/>
      </c>
    </row>
    <row r="221" spans="15:17" x14ac:dyDescent="0.25">
      <c r="O221" t="e">
        <f>IF(IF($L$193="w",$M$193+7*28,EDATE($M$193,28*IF($L$193="m",1,IF($L$193="q",3,12))))&lt;$N$193,IF($L$193="w",$M$193+7*28,EDATE($M$193,28*IF($L$193="m",1,IF($L$193="q",3,12)))),NA())</f>
        <v>#N/A</v>
      </c>
      <c r="P221" t="e">
        <f>IF(ISNUMBER(O221),4,NA())</f>
        <v>#N/A</v>
      </c>
      <c r="Q221" s="22" t="str">
        <f>IF(ISNUMBER(O221),IF($L$193="q","T"&amp;(INT((MONTH(O221)-1)/3)+1)&amp;"/"&amp;YEAR(O221),IF($L$193="y",YEAR(O221),O221)),"")</f>
        <v/>
      </c>
    </row>
    <row r="222" spans="15:17" x14ac:dyDescent="0.25">
      <c r="O222" t="e">
        <f>IF(IF($L$193="w",$M$193+7*29,EDATE($M$193,29*IF($L$193="m",1,IF($L$193="q",3,12))))&lt;$N$193,IF($L$193="w",$M$193+7*29,EDATE($M$193,29*IF($L$193="m",1,IF($L$193="q",3,12)))),NA())</f>
        <v>#N/A</v>
      </c>
      <c r="P222" t="e">
        <f>IF(ISNUMBER(O222),4,NA())</f>
        <v>#N/A</v>
      </c>
      <c r="Q222" s="22" t="str">
        <f>IF(ISNUMBER(O222),IF($L$193="q","T"&amp;(INT((MONTH(O222)-1)/3)+1)&amp;"/"&amp;YEAR(O222),IF($L$193="y",YEAR(O222),O222)),"")</f>
        <v/>
      </c>
    </row>
    <row r="223" spans="15:17" x14ac:dyDescent="0.25">
      <c r="O223" t="e">
        <f>IF(IF($L$193="w",$M$193+7*30,EDATE($M$193,30*IF($L$193="m",1,IF($L$193="q",3,12))))&lt;$N$193,IF($L$193="w",$M$193+7*30,EDATE($M$193,30*IF($L$193="m",1,IF($L$193="q",3,12)))),NA())</f>
        <v>#N/A</v>
      </c>
      <c r="P223" t="e">
        <f>IF(ISNUMBER(O223),4,NA())</f>
        <v>#N/A</v>
      </c>
      <c r="Q223" s="22" t="str">
        <f>IF(ISNUMBER(O223),IF($L$193="q","T"&amp;(INT((MONTH(O223)-1)/3)+1)&amp;"/"&amp;YEAR(O223),IF($L$193="y",YEAR(O223),O223)),"")</f>
        <v/>
      </c>
    </row>
    <row r="224" spans="15:17" x14ac:dyDescent="0.25">
      <c r="O224" t="e">
        <f>IF(IF($L$193="w",$M$193+7*31,EDATE($M$193,31*IF($L$193="m",1,IF($L$193="q",3,12))))&lt;$N$193,IF($L$193="w",$M$193+7*31,EDATE($M$193,31*IF($L$193="m",1,IF($L$193="q",3,12)))),NA())</f>
        <v>#N/A</v>
      </c>
      <c r="P224" t="e">
        <f>IF(ISNUMBER(O224),4,NA())</f>
        <v>#N/A</v>
      </c>
      <c r="Q224" s="22" t="str">
        <f>IF(ISNUMBER(O224),IF($L$193="q","T"&amp;(INT((MONTH(O224)-1)/3)+1)&amp;"/"&amp;YEAR(O224),IF($L$193="y",YEAR(O224),O224)),"")</f>
        <v/>
      </c>
    </row>
    <row r="225" spans="1:19" x14ac:dyDescent="0.25">
      <c r="O225" t="e">
        <f>IF(IF($L$193="w",$M$193+7*32,EDATE($M$193,32*IF($L$193="m",1,IF($L$193="q",3,12))))&lt;$N$193,IF($L$193="w",$M$193+7*32,EDATE($M$193,32*IF($L$193="m",1,IF($L$193="q",3,12)))),NA())</f>
        <v>#N/A</v>
      </c>
      <c r="P225" t="e">
        <f>IF(ISNUMBER(O225),4,NA())</f>
        <v>#N/A</v>
      </c>
      <c r="Q225" s="22" t="str">
        <f>IF(ISNUMBER(O225),IF($L$193="q","T"&amp;(INT((MONTH(O225)-1)/3)+1)&amp;"/"&amp;YEAR(O225),IF($L$193="y",YEAR(O225),O225)),"")</f>
        <v/>
      </c>
    </row>
    <row r="226" spans="1:19" x14ac:dyDescent="0.25">
      <c r="O226" t="e">
        <f>IF(IF($L$193="w",$M$193+7*33,EDATE($M$193,33*IF($L$193="m",1,IF($L$193="q",3,12))))&lt;$N$193,IF($L$193="w",$M$193+7*33,EDATE($M$193,33*IF($L$193="m",1,IF($L$193="q",3,12)))),NA())</f>
        <v>#N/A</v>
      </c>
      <c r="P226" t="e">
        <f>IF(ISNUMBER(O226),4,NA())</f>
        <v>#N/A</v>
      </c>
      <c r="Q226" s="22" t="str">
        <f>IF(ISNUMBER(O226),IF($L$193="q","T"&amp;(INT((MONTH(O226)-1)/3)+1)&amp;"/"&amp;YEAR(O226),IF($L$193="y",YEAR(O226),O226)),"")</f>
        <v/>
      </c>
    </row>
    <row r="227" spans="1:19" x14ac:dyDescent="0.25">
      <c r="O227" t="e">
        <f>IF(IF($L$193="w",$M$193+7*34,EDATE($M$193,34*IF($L$193="m",1,IF($L$193="q",3,12))))&lt;$N$193,IF($L$193="w",$M$193+7*34,EDATE($M$193,34*IF($L$193="m",1,IF($L$193="q",3,12)))),NA())</f>
        <v>#N/A</v>
      </c>
      <c r="P227" t="e">
        <f>IF(ISNUMBER(O227),4,NA())</f>
        <v>#N/A</v>
      </c>
      <c r="Q227" s="22" t="str">
        <f>IF(ISNUMBER(O227),IF($L$193="q","T"&amp;(INT((MONTH(O227)-1)/3)+1)&amp;"/"&amp;YEAR(O227),IF($L$193="y",YEAR(O227),O227)),"")</f>
        <v/>
      </c>
    </row>
    <row r="228" spans="1:19" x14ac:dyDescent="0.25">
      <c r="O228" t="e">
        <f>IF(IF($L$193="w",$M$193+7*35,EDATE($M$193,35*IF($L$193="m",1,IF($L$193="q",3,12))))&lt;$N$193,IF($L$193="w",$M$193+7*35,EDATE($M$193,35*IF($L$193="m",1,IF($L$193="q",3,12)))),NA())</f>
        <v>#N/A</v>
      </c>
      <c r="P228" t="e">
        <f>IF(ISNUMBER(O228),4,NA())</f>
        <v>#N/A</v>
      </c>
      <c r="Q228" s="22" t="str">
        <f>IF(ISNUMBER(O228),IF($L$193="q","T"&amp;(INT((MONTH(O228)-1)/3)+1)&amp;"/"&amp;YEAR(O228),IF($L$193="y",YEAR(O228),O228)),"")</f>
        <v/>
      </c>
    </row>
    <row r="229" spans="1:19" x14ac:dyDescent="0.25">
      <c r="O229" t="e">
        <f>IF(IF($L$193="w",$M$193+7*36,EDATE($M$193,36*IF($L$193="m",1,IF($L$193="q",3,12))))&lt;$N$193,IF($L$193="w",$M$193+7*36,EDATE($M$193,36*IF($L$193="m",1,IF($L$193="q",3,12)))),NA())</f>
        <v>#N/A</v>
      </c>
      <c r="P229" t="e">
        <f>IF(ISNUMBER(O229),4,NA())</f>
        <v>#N/A</v>
      </c>
      <c r="Q229" s="22" t="str">
        <f>IF(ISNUMBER(O229),IF($L$193="q","T"&amp;(INT((MONTH(O229)-1)/3)+1)&amp;"/"&amp;YEAR(O229),IF($L$193="y",YEAR(O229),O229)),"")</f>
        <v/>
      </c>
    </row>
    <row r="230" spans="1:19" x14ac:dyDescent="0.25">
      <c r="O230" t="e">
        <f>IF(IF($L$193="w",$M$193+7*37,EDATE($M$193,37*IF($L$193="m",1,IF($L$193="q",3,12))))&lt;$N$193,IF($L$193="w",$M$193+7*37,EDATE($M$193,37*IF($L$193="m",1,IF($L$193="q",3,12)))),NA())</f>
        <v>#N/A</v>
      </c>
      <c r="P230" t="e">
        <f>IF(ISNUMBER(O230),4,NA())</f>
        <v>#N/A</v>
      </c>
      <c r="Q230" s="22" t="str">
        <f>IF(ISNUMBER(O230),IF($L$193="q","T"&amp;(INT((MONTH(O230)-1)/3)+1)&amp;"/"&amp;YEAR(O230),IF($L$193="y",YEAR(O230),O230)),"")</f>
        <v/>
      </c>
    </row>
    <row r="231" spans="1:19" x14ac:dyDescent="0.25">
      <c r="O231" t="e">
        <f>IF(IF($L$193="w",$M$193+7*38,EDATE($M$193,38*IF($L$193="m",1,IF($L$193="q",3,12))))&lt;$N$193,IF($L$193="w",$M$193+7*38,EDATE($M$193,38*IF($L$193="m",1,IF($L$193="q",3,12)))),NA())</f>
        <v>#N/A</v>
      </c>
      <c r="P231" t="e">
        <f>IF(ISNUMBER(O231),4,NA())</f>
        <v>#N/A</v>
      </c>
      <c r="Q231" s="22" t="str">
        <f>IF(ISNUMBER(O231),IF($L$193="q","T"&amp;(INT((MONTH(O231)-1)/3)+1)&amp;"/"&amp;YEAR(O231),IF($L$193="y",YEAR(O231),O231)),"")</f>
        <v/>
      </c>
    </row>
    <row r="232" spans="1:19" x14ac:dyDescent="0.25">
      <c r="O232" t="e">
        <f>IF(IF($L$193="w",$M$193+7*39,EDATE($M$193,39*IF($L$193="m",1,IF($L$193="q",3,12))))&lt;$N$193,IF($L$193="w",$M$193+7*39,EDATE($M$193,39*IF($L$193="m",1,IF($L$193="q",3,12)))),NA())</f>
        <v>#N/A</v>
      </c>
      <c r="P232" t="e">
        <f>IF(ISNUMBER(O232),4,NA())</f>
        <v>#N/A</v>
      </c>
      <c r="Q232" s="22" t="str">
        <f>IF(ISNUMBER(O232),IF($L$193="q","T"&amp;(INT((MONTH(O232)-1)/3)+1)&amp;"/"&amp;YEAR(O232),IF($L$193="y",YEAR(O232),O232)),"")</f>
        <v/>
      </c>
    </row>
    <row r="234" spans="1:19" x14ac:dyDescent="0.25">
      <c r="A234" s="11" t="s">
        <v>234</v>
      </c>
      <c r="B234" s="5" t="s">
        <v>213</v>
      </c>
      <c r="C234" s="5" t="str">
        <f>"'E16'!$A$6:$C$11"</f>
        <v>'E16'!$A$6:$C$11</v>
      </c>
      <c r="D234" s="11" t="s">
        <v>235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spans="1:19" x14ac:dyDescent="0.25">
      <c r="A235" t="s">
        <v>214</v>
      </c>
      <c r="B235" t="s">
        <v>215</v>
      </c>
      <c r="C235" t="s">
        <v>39</v>
      </c>
      <c r="D235" t="s">
        <v>216</v>
      </c>
      <c r="E235" t="s">
        <v>217</v>
      </c>
      <c r="F235" t="s">
        <v>218</v>
      </c>
      <c r="G235" t="s">
        <v>219</v>
      </c>
      <c r="H235" t="s">
        <v>63</v>
      </c>
      <c r="I235" t="s">
        <v>220</v>
      </c>
      <c r="J235" t="s">
        <v>221</v>
      </c>
      <c r="L235" t="s">
        <v>222</v>
      </c>
      <c r="M235" t="s">
        <v>223</v>
      </c>
      <c r="N235" t="s">
        <v>224</v>
      </c>
      <c r="O235" t="s">
        <v>225</v>
      </c>
      <c r="P235" t="s">
        <v>226</v>
      </c>
      <c r="Q235" t="s">
        <v>227</v>
      </c>
      <c r="R235" t="s">
        <v>228</v>
      </c>
      <c r="S235" t="s">
        <v>229</v>
      </c>
    </row>
    <row r="236" spans="1:19" x14ac:dyDescent="0.25">
      <c r="A236" t="str">
        <f>'E16'!$A$7</f>
        <v>Projeto e licenças</v>
      </c>
      <c r="B236">
        <f>IF(ISNUMBER('E16'!$B$7),'E16'!$B$7,NA())</f>
        <v>46027</v>
      </c>
      <c r="C236">
        <f>IF(ISNUMBER('E16'!$C$7),'E16'!$C$7,NA())</f>
        <v>46108</v>
      </c>
      <c r="D236" t="b">
        <f>AND(ISNUMBER('E16'!$B$7),NOT(ISNUMBER('E16'!$C$7)))</f>
        <v>0</v>
      </c>
      <c r="E236">
        <f>IF(D236,NA(),B236)</f>
        <v>46027</v>
      </c>
      <c r="F236">
        <f>IF(D236,NA(),MAX(0,C236-B236+1))</f>
        <v>82</v>
      </c>
      <c r="G236" t="e">
        <f>IF(D236,B236,NA())</f>
        <v>#N/A</v>
      </c>
      <c r="H236">
        <f>4.5</f>
        <v>4.5</v>
      </c>
      <c r="I236">
        <f>IF(D236,B236,IF(ISNUMBER(B236),C236+1,NA()))</f>
        <v>46109</v>
      </c>
      <c r="J236" s="22">
        <f>IF(ISNUMBER(I236),IF(D236,B236,C236),"")</f>
        <v>46108</v>
      </c>
      <c r="L236" t="str">
        <f>IF($S$236-$R$236&lt;=98,"w",IF($S$236-$R$236&lt;=1100,"m",IF($S$236-$R$236&lt;=3500,"q","y")))</f>
        <v>m</v>
      </c>
      <c r="M236">
        <f>IF($L$236="w",INT($R$236)-WEEKDAY($R$236,3),IF($L$236="m",DATE(YEAR($R$236),MONTH($R$236),1),IF($L$236="q",DATE(YEAR($R$236),3*INT((MONTH($R$236)-1)/3)+1,1),DATE(YEAR($R$236),1,1))))</f>
        <v>46023</v>
      </c>
      <c r="N236">
        <f>IF($L$236="w",INT($S$236)-WEEKDAY($S$236,3)+7,IF($L$236="m",EDATE(DATE(YEAR($S$236),MONTH($S$236),1),1),IF($L$236="q",EDATE(DATE(YEAR($S$236),3*INT((MONTH($S$236)-1)/3)+1,1),3),DATE(YEAR($S$236)+1,1,1))))</f>
        <v>46569</v>
      </c>
      <c r="O236">
        <f>IF(IF($L$236="w",$M$236+7*0,EDATE($M$236,0*IF($L$236="m",1,IF($L$236="q",3,12))))&lt;$N$236,IF($L$236="w",$M$236+7*0,EDATE($M$236,0*IF($L$236="m",1,IF($L$236="q",3,12)))),NA())</f>
        <v>46023</v>
      </c>
      <c r="P236">
        <f>IF(ISNUMBER(O236),5,NA())</f>
        <v>5</v>
      </c>
      <c r="Q236" s="16">
        <f>IF(ISNUMBER(O236),IF($L$236="q","T"&amp;(INT((MONTH(O236)-1)/3)+1)&amp;"/"&amp;YEAR(O236),IF($L$236="y",YEAR(O236),O236)),"")</f>
        <v>46023</v>
      </c>
      <c r="R236">
        <f>_xlfn.AGGREGATE(5,6,$B$236:$B$240)</f>
        <v>46027</v>
      </c>
      <c r="S236">
        <f>_xlfn.AGGREGATE(4,6,$B$236:$B$240,$C$236:$C$240)</f>
        <v>46553</v>
      </c>
    </row>
    <row r="237" spans="1:19" x14ac:dyDescent="0.25">
      <c r="A237" t="str">
        <f>'E16'!$A$8</f>
        <v>Obra civil</v>
      </c>
      <c r="B237">
        <f>IF(ISNUMBER('E16'!$B$8),'E16'!$B$8,NA())</f>
        <v>46118</v>
      </c>
      <c r="C237">
        <f>IF(ISNUMBER('E16'!$C$8),'E16'!$C$8,NA())</f>
        <v>46374</v>
      </c>
      <c r="D237" t="b">
        <f>AND(ISNUMBER('E16'!$B$8),NOT(ISNUMBER('E16'!$C$8)))</f>
        <v>0</v>
      </c>
      <c r="E237">
        <f>IF(D237,NA(),B237)</f>
        <v>46118</v>
      </c>
      <c r="F237">
        <f>IF(D237,NA(),MAX(0,C237-B237+1))</f>
        <v>257</v>
      </c>
      <c r="G237" t="e">
        <f>IF(D237,B237,NA())</f>
        <v>#N/A</v>
      </c>
      <c r="H237">
        <f>3.5</f>
        <v>3.5</v>
      </c>
      <c r="I237">
        <f>IF(D237,B237,IF(ISNUMBER(B237),C237+1,NA()))</f>
        <v>46375</v>
      </c>
      <c r="J237" s="22">
        <f>IF(ISNUMBER(I237),IF(D237,B237,C237),"")</f>
        <v>46374</v>
      </c>
      <c r="O237">
        <f>IF(IF($L$236="w",$M$236+7*1,EDATE($M$236,1*IF($L$236="m",1,IF($L$236="q",3,12))))&lt;$N$236,IF($L$236="w",$M$236+7*1,EDATE($M$236,1*IF($L$236="m",1,IF($L$236="q",3,12)))),NA())</f>
        <v>46054</v>
      </c>
      <c r="P237">
        <f>IF(ISNUMBER(O237),5,NA())</f>
        <v>5</v>
      </c>
      <c r="Q237" s="16">
        <f>IF(ISNUMBER(O237),IF($L$236="q","T"&amp;(INT((MONTH(O237)-1)/3)+1)&amp;"/"&amp;YEAR(O237),IF($L$236="y",YEAR(O237),O237)),"")</f>
        <v>46054</v>
      </c>
    </row>
    <row r="238" spans="1:19" x14ac:dyDescent="0.25">
      <c r="A238" t="str">
        <f>'E16'!$A$9</f>
        <v>Instalações e acabamento</v>
      </c>
      <c r="B238">
        <f>IF(ISNUMBER('E16'!$B$9),'E16'!$B$9,NA())</f>
        <v>46391</v>
      </c>
      <c r="C238">
        <f>IF(ISNUMBER('E16'!$C$9),'E16'!$C$9,NA())</f>
        <v>46507</v>
      </c>
      <c r="D238" t="b">
        <f>AND(ISNUMBER('E16'!$B$9),NOT(ISNUMBER('E16'!$C$9)))</f>
        <v>0</v>
      </c>
      <c r="E238">
        <f>IF(D238,NA(),B238)</f>
        <v>46391</v>
      </c>
      <c r="F238">
        <f>IF(D238,NA(),MAX(0,C238-B238+1))</f>
        <v>117</v>
      </c>
      <c r="G238" t="e">
        <f>IF(D238,B238,NA())</f>
        <v>#N/A</v>
      </c>
      <c r="H238">
        <f>2.5</f>
        <v>2.5</v>
      </c>
      <c r="I238">
        <f>IF(D238,B238,IF(ISNUMBER(B238),C238+1,NA()))</f>
        <v>46508</v>
      </c>
      <c r="J238" s="22">
        <f>IF(ISNUMBER(I238),IF(D238,B238,C238),"")</f>
        <v>46507</v>
      </c>
      <c r="O238">
        <f>IF(IF($L$236="w",$M$236+7*2,EDATE($M$236,2*IF($L$236="m",1,IF($L$236="q",3,12))))&lt;$N$236,IF($L$236="w",$M$236+7*2,EDATE($M$236,2*IF($L$236="m",1,IF($L$236="q",3,12)))),NA())</f>
        <v>46082</v>
      </c>
      <c r="P238">
        <f>IF(ISNUMBER(O238),5,NA())</f>
        <v>5</v>
      </c>
      <c r="Q238" s="16">
        <f>IF(ISNUMBER(O238),IF($L$236="q","T"&amp;(INT((MONTH(O238)-1)/3)+1)&amp;"/"&amp;YEAR(O238),IF($L$236="y",YEAR(O238),O238)),"")</f>
        <v>46082</v>
      </c>
    </row>
    <row r="239" spans="1:19" x14ac:dyDescent="0.25">
      <c r="A239" t="str">
        <f>'E16'!$A$10</f>
        <v>Montagem e estoque</v>
      </c>
      <c r="B239">
        <f>IF(ISNUMBER('E16'!$B$10),'E16'!$B$10,NA())</f>
        <v>46510</v>
      </c>
      <c r="C239">
        <f>IF(ISNUMBER('E16'!$C$10),'E16'!$C$10,NA())</f>
        <v>46549</v>
      </c>
      <c r="D239" t="b">
        <f>AND(ISNUMBER('E16'!$B$10),NOT(ISNUMBER('E16'!$C$10)))</f>
        <v>0</v>
      </c>
      <c r="E239">
        <f>IF(D239,NA(),B239)</f>
        <v>46510</v>
      </c>
      <c r="F239">
        <f>IF(D239,NA(),MAX(0,C239-B239+1))</f>
        <v>40</v>
      </c>
      <c r="G239" t="e">
        <f>IF(D239,B239,NA())</f>
        <v>#N/A</v>
      </c>
      <c r="H239">
        <f>1.5</f>
        <v>1.5</v>
      </c>
      <c r="I239">
        <f>IF(D239,B239,IF(ISNUMBER(B239),C239+1,NA()))</f>
        <v>46550</v>
      </c>
      <c r="J239" s="22">
        <f>IF(ISNUMBER(I239),IF(D239,B239,C239),"")</f>
        <v>46549</v>
      </c>
      <c r="O239">
        <f>IF(IF($L$236="w",$M$236+7*3,EDATE($M$236,3*IF($L$236="m",1,IF($L$236="q",3,12))))&lt;$N$236,IF($L$236="w",$M$236+7*3,EDATE($M$236,3*IF($L$236="m",1,IF($L$236="q",3,12)))),NA())</f>
        <v>46113</v>
      </c>
      <c r="P239">
        <f>IF(ISNUMBER(O239),5,NA())</f>
        <v>5</v>
      </c>
      <c r="Q239" s="16">
        <f>IF(ISNUMBER(O239),IF($L$236="q","T"&amp;(INT((MONTH(O239)-1)/3)+1)&amp;"/"&amp;YEAR(O239),IF($L$236="y",YEAR(O239),O239)),"")</f>
        <v>46113</v>
      </c>
    </row>
    <row r="240" spans="1:19" x14ac:dyDescent="0.25">
      <c r="A240" t="str">
        <f>'E16'!$A$11</f>
        <v>Inauguração</v>
      </c>
      <c r="B240">
        <f>IF(ISNUMBER('E16'!$B$11),'E16'!$B$11,NA())</f>
        <v>46553</v>
      </c>
      <c r="C240" t="e">
        <f>IF(ISNUMBER('E16'!$C$11),'E16'!$C$11,NA())</f>
        <v>#N/A</v>
      </c>
      <c r="D240" t="b">
        <f>AND(ISNUMBER('E16'!$B$11),NOT(ISNUMBER('E16'!$C$11)))</f>
        <v>1</v>
      </c>
      <c r="E240" t="e">
        <f>IF(D240,NA(),B240)</f>
        <v>#N/A</v>
      </c>
      <c r="F240" t="e">
        <f>IF(D240,NA(),MAX(0,C240-B240+1))</f>
        <v>#N/A</v>
      </c>
      <c r="G240">
        <f>IF(D240,B240,NA())</f>
        <v>46553</v>
      </c>
      <c r="H240">
        <f>0.5</f>
        <v>0.5</v>
      </c>
      <c r="I240">
        <f>IF(D240,B240,IF(ISNUMBER(B240),C240+1,NA()))</f>
        <v>46553</v>
      </c>
      <c r="J240" s="22">
        <f>IF(ISNUMBER(I240),IF(D240,B240,C240),"")</f>
        <v>46553</v>
      </c>
      <c r="O240">
        <f>IF(IF($L$236="w",$M$236+7*4,EDATE($M$236,4*IF($L$236="m",1,IF($L$236="q",3,12))))&lt;$N$236,IF($L$236="w",$M$236+7*4,EDATE($M$236,4*IF($L$236="m",1,IF($L$236="q",3,12)))),NA())</f>
        <v>46143</v>
      </c>
      <c r="P240">
        <f>IF(ISNUMBER(O240),5,NA())</f>
        <v>5</v>
      </c>
      <c r="Q240" s="16">
        <f>IF(ISNUMBER(O240),IF($L$236="q","T"&amp;(INT((MONTH(O240)-1)/3)+1)&amp;"/"&amp;YEAR(O240),IF($L$236="y",YEAR(O240),O240)),"")</f>
        <v>46143</v>
      </c>
    </row>
    <row r="241" spans="15:17" x14ac:dyDescent="0.25">
      <c r="O241">
        <f>IF(IF($L$236="w",$M$236+7*5,EDATE($M$236,5*IF($L$236="m",1,IF($L$236="q",3,12))))&lt;$N$236,IF($L$236="w",$M$236+7*5,EDATE($M$236,5*IF($L$236="m",1,IF($L$236="q",3,12)))),NA())</f>
        <v>46174</v>
      </c>
      <c r="P241">
        <f>IF(ISNUMBER(O241),5,NA())</f>
        <v>5</v>
      </c>
      <c r="Q241" s="16">
        <f>IF(ISNUMBER(O241),IF($L$236="q","T"&amp;(INT((MONTH(O241)-1)/3)+1)&amp;"/"&amp;YEAR(O241),IF($L$236="y",YEAR(O241),O241)),"")</f>
        <v>46174</v>
      </c>
    </row>
    <row r="242" spans="15:17" x14ac:dyDescent="0.25">
      <c r="O242">
        <f>IF(IF($L$236="w",$M$236+7*6,EDATE($M$236,6*IF($L$236="m",1,IF($L$236="q",3,12))))&lt;$N$236,IF($L$236="w",$M$236+7*6,EDATE($M$236,6*IF($L$236="m",1,IF($L$236="q",3,12)))),NA())</f>
        <v>46204</v>
      </c>
      <c r="P242">
        <f>IF(ISNUMBER(O242),5,NA())</f>
        <v>5</v>
      </c>
      <c r="Q242" s="16">
        <f>IF(ISNUMBER(O242),IF($L$236="q","T"&amp;(INT((MONTH(O242)-1)/3)+1)&amp;"/"&amp;YEAR(O242),IF($L$236="y",YEAR(O242),O242)),"")</f>
        <v>46204</v>
      </c>
    </row>
    <row r="243" spans="15:17" x14ac:dyDescent="0.25">
      <c r="O243">
        <f>IF(IF($L$236="w",$M$236+7*7,EDATE($M$236,7*IF($L$236="m",1,IF($L$236="q",3,12))))&lt;$N$236,IF($L$236="w",$M$236+7*7,EDATE($M$236,7*IF($L$236="m",1,IF($L$236="q",3,12)))),NA())</f>
        <v>46235</v>
      </c>
      <c r="P243">
        <f>IF(ISNUMBER(O243),5,NA())</f>
        <v>5</v>
      </c>
      <c r="Q243" s="16">
        <f>IF(ISNUMBER(O243),IF($L$236="q","T"&amp;(INT((MONTH(O243)-1)/3)+1)&amp;"/"&amp;YEAR(O243),IF($L$236="y",YEAR(O243),O243)),"")</f>
        <v>46235</v>
      </c>
    </row>
    <row r="244" spans="15:17" x14ac:dyDescent="0.25">
      <c r="O244">
        <f>IF(IF($L$236="w",$M$236+7*8,EDATE($M$236,8*IF($L$236="m",1,IF($L$236="q",3,12))))&lt;$N$236,IF($L$236="w",$M$236+7*8,EDATE($M$236,8*IF($L$236="m",1,IF($L$236="q",3,12)))),NA())</f>
        <v>46266</v>
      </c>
      <c r="P244">
        <f>IF(ISNUMBER(O244),5,NA())</f>
        <v>5</v>
      </c>
      <c r="Q244" s="16">
        <f>IF(ISNUMBER(O244),IF($L$236="q","T"&amp;(INT((MONTH(O244)-1)/3)+1)&amp;"/"&amp;YEAR(O244),IF($L$236="y",YEAR(O244),O244)),"")</f>
        <v>46266</v>
      </c>
    </row>
    <row r="245" spans="15:17" x14ac:dyDescent="0.25">
      <c r="O245">
        <f>IF(IF($L$236="w",$M$236+7*9,EDATE($M$236,9*IF($L$236="m",1,IF($L$236="q",3,12))))&lt;$N$236,IF($L$236="w",$M$236+7*9,EDATE($M$236,9*IF($L$236="m",1,IF($L$236="q",3,12)))),NA())</f>
        <v>46296</v>
      </c>
      <c r="P245">
        <f>IF(ISNUMBER(O245),5,NA())</f>
        <v>5</v>
      </c>
      <c r="Q245" s="16">
        <f>IF(ISNUMBER(O245),IF($L$236="q","T"&amp;(INT((MONTH(O245)-1)/3)+1)&amp;"/"&amp;YEAR(O245),IF($L$236="y",YEAR(O245),O245)),"")</f>
        <v>46296</v>
      </c>
    </row>
    <row r="246" spans="15:17" x14ac:dyDescent="0.25">
      <c r="O246">
        <f>IF(IF($L$236="w",$M$236+7*10,EDATE($M$236,10*IF($L$236="m",1,IF($L$236="q",3,12))))&lt;$N$236,IF($L$236="w",$M$236+7*10,EDATE($M$236,10*IF($L$236="m",1,IF($L$236="q",3,12)))),NA())</f>
        <v>46327</v>
      </c>
      <c r="P246">
        <f>IF(ISNUMBER(O246),5,NA())</f>
        <v>5</v>
      </c>
      <c r="Q246" s="16">
        <f>IF(ISNUMBER(O246),IF($L$236="q","T"&amp;(INT((MONTH(O246)-1)/3)+1)&amp;"/"&amp;YEAR(O246),IF($L$236="y",YEAR(O246),O246)),"")</f>
        <v>46327</v>
      </c>
    </row>
    <row r="247" spans="15:17" x14ac:dyDescent="0.25">
      <c r="O247">
        <f>IF(IF($L$236="w",$M$236+7*11,EDATE($M$236,11*IF($L$236="m",1,IF($L$236="q",3,12))))&lt;$N$236,IF($L$236="w",$M$236+7*11,EDATE($M$236,11*IF($L$236="m",1,IF($L$236="q",3,12)))),NA())</f>
        <v>46357</v>
      </c>
      <c r="P247">
        <f>IF(ISNUMBER(O247),5,NA())</f>
        <v>5</v>
      </c>
      <c r="Q247" s="16">
        <f>IF(ISNUMBER(O247),IF($L$236="q","T"&amp;(INT((MONTH(O247)-1)/3)+1)&amp;"/"&amp;YEAR(O247),IF($L$236="y",YEAR(O247),O247)),"")</f>
        <v>46357</v>
      </c>
    </row>
    <row r="248" spans="15:17" x14ac:dyDescent="0.25">
      <c r="O248">
        <f>IF(IF($L$236="w",$M$236+7*12,EDATE($M$236,12*IF($L$236="m",1,IF($L$236="q",3,12))))&lt;$N$236,IF($L$236="w",$M$236+7*12,EDATE($M$236,12*IF($L$236="m",1,IF($L$236="q",3,12)))),NA())</f>
        <v>46388</v>
      </c>
      <c r="P248">
        <f>IF(ISNUMBER(O248),5,NA())</f>
        <v>5</v>
      </c>
      <c r="Q248" s="16">
        <f>IF(ISNUMBER(O248),IF($L$236="q","T"&amp;(INT((MONTH(O248)-1)/3)+1)&amp;"/"&amp;YEAR(O248),IF($L$236="y",YEAR(O248),O248)),"")</f>
        <v>46388</v>
      </c>
    </row>
    <row r="249" spans="15:17" x14ac:dyDescent="0.25">
      <c r="O249">
        <f>IF(IF($L$236="w",$M$236+7*13,EDATE($M$236,13*IF($L$236="m",1,IF($L$236="q",3,12))))&lt;$N$236,IF($L$236="w",$M$236+7*13,EDATE($M$236,13*IF($L$236="m",1,IF($L$236="q",3,12)))),NA())</f>
        <v>46419</v>
      </c>
      <c r="P249">
        <f>IF(ISNUMBER(O249),5,NA())</f>
        <v>5</v>
      </c>
      <c r="Q249" s="16">
        <f>IF(ISNUMBER(O249),IF($L$236="q","T"&amp;(INT((MONTH(O249)-1)/3)+1)&amp;"/"&amp;YEAR(O249),IF($L$236="y",YEAR(O249),O249)),"")</f>
        <v>46419</v>
      </c>
    </row>
    <row r="250" spans="15:17" x14ac:dyDescent="0.25">
      <c r="O250">
        <f>IF(IF($L$236="w",$M$236+7*14,EDATE($M$236,14*IF($L$236="m",1,IF($L$236="q",3,12))))&lt;$N$236,IF($L$236="w",$M$236+7*14,EDATE($M$236,14*IF($L$236="m",1,IF($L$236="q",3,12)))),NA())</f>
        <v>46447</v>
      </c>
      <c r="P250">
        <f>IF(ISNUMBER(O250),5,NA())</f>
        <v>5</v>
      </c>
      <c r="Q250" s="16">
        <f>IF(ISNUMBER(O250),IF($L$236="q","T"&amp;(INT((MONTH(O250)-1)/3)+1)&amp;"/"&amp;YEAR(O250),IF($L$236="y",YEAR(O250),O250)),"")</f>
        <v>46447</v>
      </c>
    </row>
    <row r="251" spans="15:17" x14ac:dyDescent="0.25">
      <c r="O251">
        <f>IF(IF($L$236="w",$M$236+7*15,EDATE($M$236,15*IF($L$236="m",1,IF($L$236="q",3,12))))&lt;$N$236,IF($L$236="w",$M$236+7*15,EDATE($M$236,15*IF($L$236="m",1,IF($L$236="q",3,12)))),NA())</f>
        <v>46478</v>
      </c>
      <c r="P251">
        <f>IF(ISNUMBER(O251),5,NA())</f>
        <v>5</v>
      </c>
      <c r="Q251" s="16">
        <f>IF(ISNUMBER(O251),IF($L$236="q","T"&amp;(INT((MONTH(O251)-1)/3)+1)&amp;"/"&amp;YEAR(O251),IF($L$236="y",YEAR(O251),O251)),"")</f>
        <v>46478</v>
      </c>
    </row>
    <row r="252" spans="15:17" x14ac:dyDescent="0.25">
      <c r="O252">
        <f>IF(IF($L$236="w",$M$236+7*16,EDATE($M$236,16*IF($L$236="m",1,IF($L$236="q",3,12))))&lt;$N$236,IF($L$236="w",$M$236+7*16,EDATE($M$236,16*IF($L$236="m",1,IF($L$236="q",3,12)))),NA())</f>
        <v>46508</v>
      </c>
      <c r="P252">
        <f>IF(ISNUMBER(O252),5,NA())</f>
        <v>5</v>
      </c>
      <c r="Q252" s="16">
        <f>IF(ISNUMBER(O252),IF($L$236="q","T"&amp;(INT((MONTH(O252)-1)/3)+1)&amp;"/"&amp;YEAR(O252),IF($L$236="y",YEAR(O252),O252)),"")</f>
        <v>46508</v>
      </c>
    </row>
    <row r="253" spans="15:17" x14ac:dyDescent="0.25">
      <c r="O253">
        <f>IF(IF($L$236="w",$M$236+7*17,EDATE($M$236,17*IF($L$236="m",1,IF($L$236="q",3,12))))&lt;$N$236,IF($L$236="w",$M$236+7*17,EDATE($M$236,17*IF($L$236="m",1,IF($L$236="q",3,12)))),NA())</f>
        <v>46539</v>
      </c>
      <c r="P253">
        <f>IF(ISNUMBER(O253),5,NA())</f>
        <v>5</v>
      </c>
      <c r="Q253" s="16">
        <f>IF(ISNUMBER(O253),IF($L$236="q","T"&amp;(INT((MONTH(O253)-1)/3)+1)&amp;"/"&amp;YEAR(O253),IF($L$236="y",YEAR(O253),O253)),"")</f>
        <v>46539</v>
      </c>
    </row>
    <row r="254" spans="15:17" x14ac:dyDescent="0.25">
      <c r="O254" t="e">
        <f>IF(IF($L$236="w",$M$236+7*18,EDATE($M$236,18*IF($L$236="m",1,IF($L$236="q",3,12))))&lt;$N$236,IF($L$236="w",$M$236+7*18,EDATE($M$236,18*IF($L$236="m",1,IF($L$236="q",3,12)))),NA())</f>
        <v>#N/A</v>
      </c>
      <c r="P254" t="e">
        <f>IF(ISNUMBER(O254),5,NA())</f>
        <v>#N/A</v>
      </c>
      <c r="Q254" s="16" t="str">
        <f>IF(ISNUMBER(O254),IF($L$236="q","T"&amp;(INT((MONTH(O254)-1)/3)+1)&amp;"/"&amp;YEAR(O254),IF($L$236="y",YEAR(O254),O254)),"")</f>
        <v/>
      </c>
    </row>
    <row r="255" spans="15:17" x14ac:dyDescent="0.25">
      <c r="O255" t="e">
        <f>IF(IF($L$236="w",$M$236+7*19,EDATE($M$236,19*IF($L$236="m",1,IF($L$236="q",3,12))))&lt;$N$236,IF($L$236="w",$M$236+7*19,EDATE($M$236,19*IF($L$236="m",1,IF($L$236="q",3,12)))),NA())</f>
        <v>#N/A</v>
      </c>
      <c r="P255" t="e">
        <f>IF(ISNUMBER(O255),5,NA())</f>
        <v>#N/A</v>
      </c>
      <c r="Q255" s="16" t="str">
        <f>IF(ISNUMBER(O255),IF($L$236="q","T"&amp;(INT((MONTH(O255)-1)/3)+1)&amp;"/"&amp;YEAR(O255),IF($L$236="y",YEAR(O255),O255)),"")</f>
        <v/>
      </c>
    </row>
    <row r="256" spans="15:17" x14ac:dyDescent="0.25">
      <c r="O256" t="e">
        <f>IF(IF($L$236="w",$M$236+7*20,EDATE($M$236,20*IF($L$236="m",1,IF($L$236="q",3,12))))&lt;$N$236,IF($L$236="w",$M$236+7*20,EDATE($M$236,20*IF($L$236="m",1,IF($L$236="q",3,12)))),NA())</f>
        <v>#N/A</v>
      </c>
      <c r="P256" t="e">
        <f>IF(ISNUMBER(O256),5,NA())</f>
        <v>#N/A</v>
      </c>
      <c r="Q256" s="16" t="str">
        <f>IF(ISNUMBER(O256),IF($L$236="q","T"&amp;(INT((MONTH(O256)-1)/3)+1)&amp;"/"&amp;YEAR(O256),IF($L$236="y",YEAR(O256),O256)),"")</f>
        <v/>
      </c>
    </row>
    <row r="257" spans="15:17" x14ac:dyDescent="0.25">
      <c r="O257" t="e">
        <f>IF(IF($L$236="w",$M$236+7*21,EDATE($M$236,21*IF($L$236="m",1,IF($L$236="q",3,12))))&lt;$N$236,IF($L$236="w",$M$236+7*21,EDATE($M$236,21*IF($L$236="m",1,IF($L$236="q",3,12)))),NA())</f>
        <v>#N/A</v>
      </c>
      <c r="P257" t="e">
        <f>IF(ISNUMBER(O257),5,NA())</f>
        <v>#N/A</v>
      </c>
      <c r="Q257" s="16" t="str">
        <f>IF(ISNUMBER(O257),IF($L$236="q","T"&amp;(INT((MONTH(O257)-1)/3)+1)&amp;"/"&amp;YEAR(O257),IF($L$236="y",YEAR(O257),O257)),"")</f>
        <v/>
      </c>
    </row>
    <row r="258" spans="15:17" x14ac:dyDescent="0.25">
      <c r="O258" t="e">
        <f>IF(IF($L$236="w",$M$236+7*22,EDATE($M$236,22*IF($L$236="m",1,IF($L$236="q",3,12))))&lt;$N$236,IF($L$236="w",$M$236+7*22,EDATE($M$236,22*IF($L$236="m",1,IF($L$236="q",3,12)))),NA())</f>
        <v>#N/A</v>
      </c>
      <c r="P258" t="e">
        <f>IF(ISNUMBER(O258),5,NA())</f>
        <v>#N/A</v>
      </c>
      <c r="Q258" s="16" t="str">
        <f>IF(ISNUMBER(O258),IF($L$236="q","T"&amp;(INT((MONTH(O258)-1)/3)+1)&amp;"/"&amp;YEAR(O258),IF($L$236="y",YEAR(O258),O258)),"")</f>
        <v/>
      </c>
    </row>
    <row r="259" spans="15:17" x14ac:dyDescent="0.25">
      <c r="O259" t="e">
        <f>IF(IF($L$236="w",$M$236+7*23,EDATE($M$236,23*IF($L$236="m",1,IF($L$236="q",3,12))))&lt;$N$236,IF($L$236="w",$M$236+7*23,EDATE($M$236,23*IF($L$236="m",1,IF($L$236="q",3,12)))),NA())</f>
        <v>#N/A</v>
      </c>
      <c r="P259" t="e">
        <f>IF(ISNUMBER(O259),5,NA())</f>
        <v>#N/A</v>
      </c>
      <c r="Q259" s="16" t="str">
        <f>IF(ISNUMBER(O259),IF($L$236="q","T"&amp;(INT((MONTH(O259)-1)/3)+1)&amp;"/"&amp;YEAR(O259),IF($L$236="y",YEAR(O259),O259)),"")</f>
        <v/>
      </c>
    </row>
    <row r="260" spans="15:17" x14ac:dyDescent="0.25">
      <c r="O260" t="e">
        <f>IF(IF($L$236="w",$M$236+7*24,EDATE($M$236,24*IF($L$236="m",1,IF($L$236="q",3,12))))&lt;$N$236,IF($L$236="w",$M$236+7*24,EDATE($M$236,24*IF($L$236="m",1,IF($L$236="q",3,12)))),NA())</f>
        <v>#N/A</v>
      </c>
      <c r="P260" t="e">
        <f>IF(ISNUMBER(O260),5,NA())</f>
        <v>#N/A</v>
      </c>
      <c r="Q260" s="16" t="str">
        <f>IF(ISNUMBER(O260),IF($L$236="q","T"&amp;(INT((MONTH(O260)-1)/3)+1)&amp;"/"&amp;YEAR(O260),IF($L$236="y",YEAR(O260),O260)),"")</f>
        <v/>
      </c>
    </row>
    <row r="261" spans="15:17" x14ac:dyDescent="0.25">
      <c r="O261" t="e">
        <f>IF(IF($L$236="w",$M$236+7*25,EDATE($M$236,25*IF($L$236="m",1,IF($L$236="q",3,12))))&lt;$N$236,IF($L$236="w",$M$236+7*25,EDATE($M$236,25*IF($L$236="m",1,IF($L$236="q",3,12)))),NA())</f>
        <v>#N/A</v>
      </c>
      <c r="P261" t="e">
        <f>IF(ISNUMBER(O261),5,NA())</f>
        <v>#N/A</v>
      </c>
      <c r="Q261" s="16" t="str">
        <f>IF(ISNUMBER(O261),IF($L$236="q","T"&amp;(INT((MONTH(O261)-1)/3)+1)&amp;"/"&amp;YEAR(O261),IF($L$236="y",YEAR(O261),O261)),"")</f>
        <v/>
      </c>
    </row>
    <row r="262" spans="15:17" x14ac:dyDescent="0.25">
      <c r="O262" t="e">
        <f>IF(IF($L$236="w",$M$236+7*26,EDATE($M$236,26*IF($L$236="m",1,IF($L$236="q",3,12))))&lt;$N$236,IF($L$236="w",$M$236+7*26,EDATE($M$236,26*IF($L$236="m",1,IF($L$236="q",3,12)))),NA())</f>
        <v>#N/A</v>
      </c>
      <c r="P262" t="e">
        <f>IF(ISNUMBER(O262),5,NA())</f>
        <v>#N/A</v>
      </c>
      <c r="Q262" s="16" t="str">
        <f>IF(ISNUMBER(O262),IF($L$236="q","T"&amp;(INT((MONTH(O262)-1)/3)+1)&amp;"/"&amp;YEAR(O262),IF($L$236="y",YEAR(O262),O262)),"")</f>
        <v/>
      </c>
    </row>
    <row r="263" spans="15:17" x14ac:dyDescent="0.25">
      <c r="O263" t="e">
        <f>IF(IF($L$236="w",$M$236+7*27,EDATE($M$236,27*IF($L$236="m",1,IF($L$236="q",3,12))))&lt;$N$236,IF($L$236="w",$M$236+7*27,EDATE($M$236,27*IF($L$236="m",1,IF($L$236="q",3,12)))),NA())</f>
        <v>#N/A</v>
      </c>
      <c r="P263" t="e">
        <f>IF(ISNUMBER(O263),5,NA())</f>
        <v>#N/A</v>
      </c>
      <c r="Q263" s="16" t="str">
        <f>IF(ISNUMBER(O263),IF($L$236="q","T"&amp;(INT((MONTH(O263)-1)/3)+1)&amp;"/"&amp;YEAR(O263),IF($L$236="y",YEAR(O263),O263)),"")</f>
        <v/>
      </c>
    </row>
    <row r="264" spans="15:17" x14ac:dyDescent="0.25">
      <c r="O264" t="e">
        <f>IF(IF($L$236="w",$M$236+7*28,EDATE($M$236,28*IF($L$236="m",1,IF($L$236="q",3,12))))&lt;$N$236,IF($L$236="w",$M$236+7*28,EDATE($M$236,28*IF($L$236="m",1,IF($L$236="q",3,12)))),NA())</f>
        <v>#N/A</v>
      </c>
      <c r="P264" t="e">
        <f>IF(ISNUMBER(O264),5,NA())</f>
        <v>#N/A</v>
      </c>
      <c r="Q264" s="16" t="str">
        <f>IF(ISNUMBER(O264),IF($L$236="q","T"&amp;(INT((MONTH(O264)-1)/3)+1)&amp;"/"&amp;YEAR(O264),IF($L$236="y",YEAR(O264),O264)),"")</f>
        <v/>
      </c>
    </row>
    <row r="265" spans="15:17" x14ac:dyDescent="0.25">
      <c r="O265" t="e">
        <f>IF(IF($L$236="w",$M$236+7*29,EDATE($M$236,29*IF($L$236="m",1,IF($L$236="q",3,12))))&lt;$N$236,IF($L$236="w",$M$236+7*29,EDATE($M$236,29*IF($L$236="m",1,IF($L$236="q",3,12)))),NA())</f>
        <v>#N/A</v>
      </c>
      <c r="P265" t="e">
        <f>IF(ISNUMBER(O265),5,NA())</f>
        <v>#N/A</v>
      </c>
      <c r="Q265" s="16" t="str">
        <f>IF(ISNUMBER(O265),IF($L$236="q","T"&amp;(INT((MONTH(O265)-1)/3)+1)&amp;"/"&amp;YEAR(O265),IF($L$236="y",YEAR(O265),O265)),"")</f>
        <v/>
      </c>
    </row>
    <row r="266" spans="15:17" x14ac:dyDescent="0.25">
      <c r="O266" t="e">
        <f>IF(IF($L$236="w",$M$236+7*30,EDATE($M$236,30*IF($L$236="m",1,IF($L$236="q",3,12))))&lt;$N$236,IF($L$236="w",$M$236+7*30,EDATE($M$236,30*IF($L$236="m",1,IF($L$236="q",3,12)))),NA())</f>
        <v>#N/A</v>
      </c>
      <c r="P266" t="e">
        <f>IF(ISNUMBER(O266),5,NA())</f>
        <v>#N/A</v>
      </c>
      <c r="Q266" s="16" t="str">
        <f>IF(ISNUMBER(O266),IF($L$236="q","T"&amp;(INT((MONTH(O266)-1)/3)+1)&amp;"/"&amp;YEAR(O266),IF($L$236="y",YEAR(O266),O266)),"")</f>
        <v/>
      </c>
    </row>
    <row r="267" spans="15:17" x14ac:dyDescent="0.25">
      <c r="O267" t="e">
        <f>IF(IF($L$236="w",$M$236+7*31,EDATE($M$236,31*IF($L$236="m",1,IF($L$236="q",3,12))))&lt;$N$236,IF($L$236="w",$M$236+7*31,EDATE($M$236,31*IF($L$236="m",1,IF($L$236="q",3,12)))),NA())</f>
        <v>#N/A</v>
      </c>
      <c r="P267" t="e">
        <f>IF(ISNUMBER(O267),5,NA())</f>
        <v>#N/A</v>
      </c>
      <c r="Q267" s="16" t="str">
        <f>IF(ISNUMBER(O267),IF($L$236="q","T"&amp;(INT((MONTH(O267)-1)/3)+1)&amp;"/"&amp;YEAR(O267),IF($L$236="y",YEAR(O267),O267)),"")</f>
        <v/>
      </c>
    </row>
    <row r="268" spans="15:17" x14ac:dyDescent="0.25">
      <c r="O268" t="e">
        <f>IF(IF($L$236="w",$M$236+7*32,EDATE($M$236,32*IF($L$236="m",1,IF($L$236="q",3,12))))&lt;$N$236,IF($L$236="w",$M$236+7*32,EDATE($M$236,32*IF($L$236="m",1,IF($L$236="q",3,12)))),NA())</f>
        <v>#N/A</v>
      </c>
      <c r="P268" t="e">
        <f>IF(ISNUMBER(O268),5,NA())</f>
        <v>#N/A</v>
      </c>
      <c r="Q268" s="16" t="str">
        <f>IF(ISNUMBER(O268),IF($L$236="q","T"&amp;(INT((MONTH(O268)-1)/3)+1)&amp;"/"&amp;YEAR(O268),IF($L$236="y",YEAR(O268),O268)),"")</f>
        <v/>
      </c>
    </row>
    <row r="269" spans="15:17" x14ac:dyDescent="0.25">
      <c r="O269" t="e">
        <f>IF(IF($L$236="w",$M$236+7*33,EDATE($M$236,33*IF($L$236="m",1,IF($L$236="q",3,12))))&lt;$N$236,IF($L$236="w",$M$236+7*33,EDATE($M$236,33*IF($L$236="m",1,IF($L$236="q",3,12)))),NA())</f>
        <v>#N/A</v>
      </c>
      <c r="P269" t="e">
        <f>IF(ISNUMBER(O269),5,NA())</f>
        <v>#N/A</v>
      </c>
      <c r="Q269" s="16" t="str">
        <f>IF(ISNUMBER(O269),IF($L$236="q","T"&amp;(INT((MONTH(O269)-1)/3)+1)&amp;"/"&amp;YEAR(O269),IF($L$236="y",YEAR(O269),O269)),"")</f>
        <v/>
      </c>
    </row>
    <row r="270" spans="15:17" x14ac:dyDescent="0.25">
      <c r="O270" t="e">
        <f>IF(IF($L$236="w",$M$236+7*34,EDATE($M$236,34*IF($L$236="m",1,IF($L$236="q",3,12))))&lt;$N$236,IF($L$236="w",$M$236+7*34,EDATE($M$236,34*IF($L$236="m",1,IF($L$236="q",3,12)))),NA())</f>
        <v>#N/A</v>
      </c>
      <c r="P270" t="e">
        <f>IF(ISNUMBER(O270),5,NA())</f>
        <v>#N/A</v>
      </c>
      <c r="Q270" s="16" t="str">
        <f>IF(ISNUMBER(O270),IF($L$236="q","T"&amp;(INT((MONTH(O270)-1)/3)+1)&amp;"/"&amp;YEAR(O270),IF($L$236="y",YEAR(O270),O270)),"")</f>
        <v/>
      </c>
    </row>
    <row r="271" spans="15:17" x14ac:dyDescent="0.25">
      <c r="O271" t="e">
        <f>IF(IF($L$236="w",$M$236+7*35,EDATE($M$236,35*IF($L$236="m",1,IF($L$236="q",3,12))))&lt;$N$236,IF($L$236="w",$M$236+7*35,EDATE($M$236,35*IF($L$236="m",1,IF($L$236="q",3,12)))),NA())</f>
        <v>#N/A</v>
      </c>
      <c r="P271" t="e">
        <f>IF(ISNUMBER(O271),5,NA())</f>
        <v>#N/A</v>
      </c>
      <c r="Q271" s="16" t="str">
        <f>IF(ISNUMBER(O271),IF($L$236="q","T"&amp;(INT((MONTH(O271)-1)/3)+1)&amp;"/"&amp;YEAR(O271),IF($L$236="y",YEAR(O271),O271)),"")</f>
        <v/>
      </c>
    </row>
    <row r="272" spans="15:17" x14ac:dyDescent="0.25">
      <c r="O272" t="e">
        <f>IF(IF($L$236="w",$M$236+7*36,EDATE($M$236,36*IF($L$236="m",1,IF($L$236="q",3,12))))&lt;$N$236,IF($L$236="w",$M$236+7*36,EDATE($M$236,36*IF($L$236="m",1,IF($L$236="q",3,12)))),NA())</f>
        <v>#N/A</v>
      </c>
      <c r="P272" t="e">
        <f>IF(ISNUMBER(O272),5,NA())</f>
        <v>#N/A</v>
      </c>
      <c r="Q272" s="16" t="str">
        <f>IF(ISNUMBER(O272),IF($L$236="q","T"&amp;(INT((MONTH(O272)-1)/3)+1)&amp;"/"&amp;YEAR(O272),IF($L$236="y",YEAR(O272),O272)),"")</f>
        <v/>
      </c>
    </row>
    <row r="273" spans="1:17" x14ac:dyDescent="0.25">
      <c r="O273" t="e">
        <f>IF(IF($L$236="w",$M$236+7*37,EDATE($M$236,37*IF($L$236="m",1,IF($L$236="q",3,12))))&lt;$N$236,IF($L$236="w",$M$236+7*37,EDATE($M$236,37*IF($L$236="m",1,IF($L$236="q",3,12)))),NA())</f>
        <v>#N/A</v>
      </c>
      <c r="P273" t="e">
        <f>IF(ISNUMBER(O273),5,NA())</f>
        <v>#N/A</v>
      </c>
      <c r="Q273" s="16" t="str">
        <f>IF(ISNUMBER(O273),IF($L$236="q","T"&amp;(INT((MONTH(O273)-1)/3)+1)&amp;"/"&amp;YEAR(O273),IF($L$236="y",YEAR(O273),O273)),"")</f>
        <v/>
      </c>
    </row>
    <row r="274" spans="1:17" x14ac:dyDescent="0.25">
      <c r="O274" t="e">
        <f>IF(IF($L$236="w",$M$236+7*38,EDATE($M$236,38*IF($L$236="m",1,IF($L$236="q",3,12))))&lt;$N$236,IF($L$236="w",$M$236+7*38,EDATE($M$236,38*IF($L$236="m",1,IF($L$236="q",3,12)))),NA())</f>
        <v>#N/A</v>
      </c>
      <c r="P274" t="e">
        <f>IF(ISNUMBER(O274),5,NA())</f>
        <v>#N/A</v>
      </c>
      <c r="Q274" s="16" t="str">
        <f>IF(ISNUMBER(O274),IF($L$236="q","T"&amp;(INT((MONTH(O274)-1)/3)+1)&amp;"/"&amp;YEAR(O274),IF($L$236="y",YEAR(O274),O274)),"")</f>
        <v/>
      </c>
    </row>
    <row r="275" spans="1:17" x14ac:dyDescent="0.25">
      <c r="O275" t="e">
        <f>IF(IF($L$236="w",$M$236+7*39,EDATE($M$236,39*IF($L$236="m",1,IF($L$236="q",3,12))))&lt;$N$236,IF($L$236="w",$M$236+7*39,EDATE($M$236,39*IF($L$236="m",1,IF($L$236="q",3,12)))),NA())</f>
        <v>#N/A</v>
      </c>
      <c r="P275" t="e">
        <f>IF(ISNUMBER(O275),5,NA())</f>
        <v>#N/A</v>
      </c>
      <c r="Q275" s="16" t="str">
        <f>IF(ISNUMBER(O275),IF($L$236="q","T"&amp;(INT((MONTH(O275)-1)/3)+1)&amp;"/"&amp;YEAR(O275),IF($L$236="y",YEAR(O275),O275)),"")</f>
        <v/>
      </c>
    </row>
    <row r="277" spans="1:17" x14ac:dyDescent="0.25">
      <c r="A277" s="11" t="s">
        <v>240</v>
      </c>
      <c r="B277" s="5" t="s">
        <v>241</v>
      </c>
      <c r="C277" s="5" t="str">
        <f>"'E17'!$A$6:$B$11"</f>
        <v>'E17'!$A$6:$B$11</v>
      </c>
      <c r="D277" s="11" t="s">
        <v>244</v>
      </c>
    </row>
    <row r="278" spans="1:17" x14ac:dyDescent="0.25">
      <c r="A278" t="s">
        <v>60</v>
      </c>
      <c r="B278" t="s">
        <v>242</v>
      </c>
      <c r="C278" t="s">
        <v>243</v>
      </c>
    </row>
    <row r="279" spans="1:17" x14ac:dyDescent="0.25">
      <c r="A279" t="str">
        <f>'E17'!$A$7</f>
        <v>Sudeste</v>
      </c>
      <c r="B279">
        <f>IF(ISNUMBER('E17'!$B$7),IF('E17'!$B$7&gt;0,'E17'!$B$7,0),0)</f>
        <v>42264</v>
      </c>
      <c r="C279">
        <f>IF(SUM($B$279:$B$283)&gt;0,B279/SUM($B$279:$B$283),0)</f>
        <v>0.32583455400508826</v>
      </c>
    </row>
    <row r="280" spans="1:17" x14ac:dyDescent="0.25">
      <c r="A280" t="str">
        <f>'E17'!$A$8</f>
        <v>Sul</v>
      </c>
      <c r="B280">
        <f>IF(ISNUMBER('E17'!$B$8),IF('E17'!$B$8&gt;0,'E17'!$B$8,0),0)</f>
        <v>34905</v>
      </c>
      <c r="C280">
        <f>IF(SUM($B$279:$B$283)&gt;0,B280/SUM($B$279:$B$283),0)</f>
        <v>0.26910030067072699</v>
      </c>
    </row>
    <row r="281" spans="1:17" x14ac:dyDescent="0.25">
      <c r="A281" t="str">
        <f>'E17'!$A$9</f>
        <v>Nordeste</v>
      </c>
      <c r="B281">
        <f>IF(ISNUMBER('E17'!$B$9),IF('E17'!$B$9&gt;0,'E17'!$B$9,0),0)</f>
        <v>25450</v>
      </c>
      <c r="C281">
        <f>IF(SUM($B$279:$B$283)&gt;0,B281/SUM($B$279:$B$283),0)</f>
        <v>0.19620692313622698</v>
      </c>
    </row>
    <row r="282" spans="1:17" x14ac:dyDescent="0.25">
      <c r="A282" t="str">
        <f>'E17'!$A$10</f>
        <v>Centro-Oeste</v>
      </c>
      <c r="B282">
        <f>IF(ISNUMBER('E17'!$B$10),IF('E17'!$B$10&gt;0,'E17'!$B$10,0),0)</f>
        <v>17656</v>
      </c>
      <c r="C282">
        <f>IF(SUM($B$279:$B$283)&gt;0,B282/SUM($B$279:$B$283),0)</f>
        <v>0.13611903476987125</v>
      </c>
    </row>
    <row r="283" spans="1:17" x14ac:dyDescent="0.25">
      <c r="A283" t="str">
        <f>'E17'!$A$11</f>
        <v>Norte</v>
      </c>
      <c r="B283">
        <f>IF(ISNUMBER('E17'!$B$11),IF('E17'!$B$11&gt;0,'E17'!$B$11,0),0)</f>
        <v>9435</v>
      </c>
      <c r="C283">
        <f>IF(SUM($B$279:$B$283)&gt;0,B283/SUM($B$279:$B$283),0)</f>
        <v>7.2739187418086507E-2</v>
      </c>
    </row>
    <row r="285" spans="1:17" x14ac:dyDescent="0.25">
      <c r="A285" s="11" t="s">
        <v>248</v>
      </c>
      <c r="B285" s="5" t="s">
        <v>249</v>
      </c>
      <c r="C285" s="5" t="str">
        <f>"'E18'!$A$6:$B$11"</f>
        <v>'E18'!$A$6:$B$11</v>
      </c>
      <c r="D285" s="11" t="s">
        <v>250</v>
      </c>
    </row>
    <row r="286" spans="1:17" x14ac:dyDescent="0.25">
      <c r="A286" t="s">
        <v>60</v>
      </c>
      <c r="B286" t="s">
        <v>242</v>
      </c>
      <c r="C286" t="s">
        <v>243</v>
      </c>
    </row>
    <row r="287" spans="1:17" x14ac:dyDescent="0.25">
      <c r="A287" t="str">
        <f>'E18'!$A$7</f>
        <v>Sudeste</v>
      </c>
      <c r="B287">
        <f>IF(ISNUMBER('E18'!$B$7),IF('E18'!$B$7&gt;0,'E18'!$B$7,0),0)</f>
        <v>42264</v>
      </c>
      <c r="C287">
        <f>IF(SUM($B$287:$B$291)&gt;0,B287/SUM($B$287:$B$291),0)</f>
        <v>0.32583455400508826</v>
      </c>
    </row>
    <row r="288" spans="1:17" x14ac:dyDescent="0.25">
      <c r="A288" t="str">
        <f>'E18'!$A$8</f>
        <v>Sul</v>
      </c>
      <c r="B288">
        <f>IF(ISNUMBER('E18'!$B$8),IF('E18'!$B$8&gt;0,'E18'!$B$8,0),0)</f>
        <v>34905</v>
      </c>
      <c r="C288">
        <f>IF(SUM($B$287:$B$291)&gt;0,B288/SUM($B$287:$B$291),0)</f>
        <v>0.26910030067072699</v>
      </c>
    </row>
    <row r="289" spans="1:10" x14ac:dyDescent="0.25">
      <c r="A289" t="str">
        <f>'E18'!$A$9</f>
        <v>Nordeste</v>
      </c>
      <c r="B289">
        <f>IF(ISNUMBER('E18'!$B$9),IF('E18'!$B$9&gt;0,'E18'!$B$9,0),0)</f>
        <v>25450</v>
      </c>
      <c r="C289">
        <f>IF(SUM($B$287:$B$291)&gt;0,B289/SUM($B$287:$B$291),0)</f>
        <v>0.19620692313622698</v>
      </c>
    </row>
    <row r="290" spans="1:10" x14ac:dyDescent="0.25">
      <c r="A290" t="str">
        <f>'E18'!$A$10</f>
        <v>Centro-Oeste</v>
      </c>
      <c r="B290">
        <f>IF(ISNUMBER('E18'!$B$10),IF('E18'!$B$10&gt;0,'E18'!$B$10,0),0)</f>
        <v>17656</v>
      </c>
      <c r="C290">
        <f>IF(SUM($B$287:$B$291)&gt;0,B290/SUM($B$287:$B$291),0)</f>
        <v>0.13611903476987125</v>
      </c>
    </row>
    <row r="291" spans="1:10" x14ac:dyDescent="0.25">
      <c r="A291" t="str">
        <f>'E18'!$A$11</f>
        <v>Norte</v>
      </c>
      <c r="B291">
        <f>IF(ISNUMBER('E18'!$B$11),IF('E18'!$B$11&gt;0,'E18'!$B$11,0),0)</f>
        <v>9435</v>
      </c>
      <c r="C291">
        <f>IF(SUM($B$287:$B$291)&gt;0,B291/SUM($B$287:$B$291),0)</f>
        <v>7.2739187418086507E-2</v>
      </c>
    </row>
    <row r="293" spans="1:10" x14ac:dyDescent="0.25">
      <c r="A293" s="11" t="s">
        <v>254</v>
      </c>
      <c r="B293" s="5" t="s">
        <v>255</v>
      </c>
      <c r="C293" s="5" t="str">
        <f>"'E19'!$A$6:$C$14"</f>
        <v>'E19'!$A$6:$C$14</v>
      </c>
      <c r="D293" s="11" t="s">
        <v>261</v>
      </c>
      <c r="E293" s="5">
        <v>0.38490950451680855</v>
      </c>
      <c r="F293" s="5">
        <f>-($F$295+MAX($D$295:$E$302))</f>
        <v>-22238.876823530911</v>
      </c>
      <c r="G293" s="5">
        <f>$F$295+MAX($D$295:$E$302)</f>
        <v>22238.876823530911</v>
      </c>
      <c r="H293" s="5">
        <v>4</v>
      </c>
      <c r="I293" s="5">
        <v>4</v>
      </c>
      <c r="J293" s="5"/>
    </row>
    <row r="294" spans="1:10" x14ac:dyDescent="0.25">
      <c r="A294" t="s">
        <v>60</v>
      </c>
      <c r="B294" t="s">
        <v>61</v>
      </c>
      <c r="C294" t="s">
        <v>62</v>
      </c>
      <c r="D294" t="s">
        <v>256</v>
      </c>
      <c r="E294" t="s">
        <v>257</v>
      </c>
      <c r="F294" t="s">
        <v>258</v>
      </c>
      <c r="G294" t="s">
        <v>259</v>
      </c>
      <c r="H294" t="s">
        <v>260</v>
      </c>
      <c r="I294" t="s">
        <v>200</v>
      </c>
      <c r="J294" t="s">
        <v>63</v>
      </c>
    </row>
    <row r="295" spans="1:10" x14ac:dyDescent="0.25">
      <c r="A295" s="20" t="str">
        <f>IF(ISBLANK('E19'!$A$7),"",'E19'!$A$7)</f>
        <v>Aurora Centro</v>
      </c>
      <c r="B295" s="12">
        <f>D295+E295</f>
        <v>26200</v>
      </c>
      <c r="C295">
        <f>F295+E295</f>
        <v>17451.876823530911</v>
      </c>
      <c r="D295">
        <f>IF(ISNUMBER('E19'!$B$7),MAX(0,'E19'!$B$7),0)</f>
        <v>14929</v>
      </c>
      <c r="E295">
        <f>IF(ISNUMBER('E19'!$C$7),MAX(0,'E19'!$C$7),0)</f>
        <v>11271</v>
      </c>
      <c r="F295">
        <f>$E$293*MAX($D$295:$E$302)</f>
        <v>6180.8768235309117</v>
      </c>
      <c r="G295">
        <f>-F295</f>
        <v>-6180.8768235309117</v>
      </c>
      <c r="H295">
        <f>-D295</f>
        <v>-14929</v>
      </c>
      <c r="I295">
        <f>0</f>
        <v>0</v>
      </c>
      <c r="J295">
        <f>7.5</f>
        <v>7.5</v>
      </c>
    </row>
    <row r="296" spans="1:10" x14ac:dyDescent="0.25">
      <c r="A296" s="20" t="str">
        <f>IF(ISBLANK('E19'!$A$8),"",'E19'!$A$8)</f>
        <v>Porto Sereno</v>
      </c>
      <c r="B296" s="12">
        <f>D296+E296</f>
        <v>21085</v>
      </c>
      <c r="C296">
        <f>F296+E296</f>
        <v>11207.876823530911</v>
      </c>
      <c r="D296">
        <f>IF(ISNUMBER('E19'!$B$8),MAX(0,'E19'!$B$8),0)</f>
        <v>16058</v>
      </c>
      <c r="E296">
        <f>IF(ISNUMBER('E19'!$C$8),MAX(0,'E19'!$C$8),0)</f>
        <v>5027</v>
      </c>
      <c r="F296">
        <f>$E$293*MAX($D$295:$E$302)</f>
        <v>6180.8768235309117</v>
      </c>
      <c r="G296">
        <f>-F296</f>
        <v>-6180.8768235309117</v>
      </c>
      <c r="H296">
        <f>-D296</f>
        <v>-16058</v>
      </c>
      <c r="I296">
        <f>0</f>
        <v>0</v>
      </c>
      <c r="J296">
        <f>6.5</f>
        <v>6.5</v>
      </c>
    </row>
    <row r="297" spans="1:10" x14ac:dyDescent="0.25">
      <c r="A297" s="20" t="str">
        <f>IF(ISBLANK('E19'!$A$9),"",'E19'!$A$9)</f>
        <v>Campo Dourado</v>
      </c>
      <c r="B297" s="12">
        <f>D297+E297</f>
        <v>17656</v>
      </c>
      <c r="C297">
        <f>F297+E297</f>
        <v>11665.876823530911</v>
      </c>
      <c r="D297">
        <f>IF(ISNUMBER('E19'!$B$9),MAX(0,'E19'!$B$9),0)</f>
        <v>12171</v>
      </c>
      <c r="E297">
        <f>IF(ISNUMBER('E19'!$C$9),MAX(0,'E19'!$C$9),0)</f>
        <v>5485</v>
      </c>
      <c r="F297">
        <f>$E$293*MAX($D$295:$E$302)</f>
        <v>6180.8768235309117</v>
      </c>
      <c r="G297">
        <f>-F297</f>
        <v>-6180.8768235309117</v>
      </c>
      <c r="H297">
        <f>-D297</f>
        <v>-12171</v>
      </c>
      <c r="I297">
        <f>0</f>
        <v>0</v>
      </c>
      <c r="J297">
        <f>5.5</f>
        <v>5.5</v>
      </c>
    </row>
    <row r="298" spans="1:10" x14ac:dyDescent="0.25">
      <c r="A298" s="20" t="str">
        <f>IF(ISBLANK('E19'!$A$10),"",'E19'!$A$10)</f>
        <v>Aurora Norte</v>
      </c>
      <c r="B298" s="12">
        <f>D298+E298</f>
        <v>16064</v>
      </c>
      <c r="C298">
        <f>F298+E298</f>
        <v>11497.876823530911</v>
      </c>
      <c r="D298">
        <f>IF(ISNUMBER('E19'!$B$10),MAX(0,'E19'!$B$10),0)</f>
        <v>10747</v>
      </c>
      <c r="E298">
        <f>IF(ISNUMBER('E19'!$C$10),MAX(0,'E19'!$C$10),0)</f>
        <v>5317</v>
      </c>
      <c r="F298">
        <f>$E$293*MAX($D$295:$E$302)</f>
        <v>6180.8768235309117</v>
      </c>
      <c r="G298">
        <f>-F298</f>
        <v>-6180.8768235309117</v>
      </c>
      <c r="H298">
        <f>-D298</f>
        <v>-10747</v>
      </c>
      <c r="I298">
        <f>0</f>
        <v>0</v>
      </c>
      <c r="J298">
        <f>4.5</f>
        <v>4.5</v>
      </c>
    </row>
    <row r="299" spans="1:10" x14ac:dyDescent="0.25">
      <c r="A299" s="20" t="str">
        <f>IF(ISBLANK('E19'!$A$11),"",'E19'!$A$11)</f>
        <v>Lago Prateado</v>
      </c>
      <c r="B299" s="12">
        <f>D299+E299</f>
        <v>14532</v>
      </c>
      <c r="C299">
        <f>F299+E299</f>
        <v>9251.8768235309108</v>
      </c>
      <c r="D299">
        <f>IF(ISNUMBER('E19'!$B$11),MAX(0,'E19'!$B$11),0)</f>
        <v>11461</v>
      </c>
      <c r="E299">
        <f>IF(ISNUMBER('E19'!$C$11),MAX(0,'E19'!$C$11),0)</f>
        <v>3071</v>
      </c>
      <c r="F299">
        <f>$E$293*MAX($D$295:$E$302)</f>
        <v>6180.8768235309117</v>
      </c>
      <c r="G299">
        <f>-F299</f>
        <v>-6180.8768235309117</v>
      </c>
      <c r="H299">
        <f>-D299</f>
        <v>-11461</v>
      </c>
      <c r="I299">
        <f>0</f>
        <v>0</v>
      </c>
      <c r="J299">
        <f>3.5</f>
        <v>3.5</v>
      </c>
    </row>
    <row r="300" spans="1:10" x14ac:dyDescent="0.25">
      <c r="A300" s="20" t="str">
        <f>IF(ISBLANK('E19'!$A$12),"",'E19'!$A$12)</f>
        <v>Serra Clara</v>
      </c>
      <c r="B300" s="12">
        <f>D300+E300</f>
        <v>13820</v>
      </c>
      <c r="C300">
        <f>F300+E300</f>
        <v>12638.876823530911</v>
      </c>
      <c r="D300">
        <f>IF(ISNUMBER('E19'!$B$12),MAX(0,'E19'!$B$12),0)</f>
        <v>7362</v>
      </c>
      <c r="E300">
        <f>IF(ISNUMBER('E19'!$C$12),MAX(0,'E19'!$C$12),0)</f>
        <v>6458</v>
      </c>
      <c r="F300">
        <f>$E$293*MAX($D$295:$E$302)</f>
        <v>6180.8768235309117</v>
      </c>
      <c r="G300">
        <f>-F300</f>
        <v>-6180.8768235309117</v>
      </c>
      <c r="H300">
        <f>-D300</f>
        <v>-7362</v>
      </c>
      <c r="I300">
        <f>0</f>
        <v>0</v>
      </c>
      <c r="J300">
        <f>2.5</f>
        <v>2.5</v>
      </c>
    </row>
    <row r="301" spans="1:10" x14ac:dyDescent="0.25">
      <c r="A301" s="20" t="str">
        <f>IF(ISBLANK('E19'!$A$13),"",'E19'!$A$13)</f>
        <v>Monte Alvorada</v>
      </c>
      <c r="B301" s="12">
        <f>D301+E301</f>
        <v>10918</v>
      </c>
      <c r="C301">
        <f>F301+E301</f>
        <v>9274.8768235309108</v>
      </c>
      <c r="D301">
        <f>IF(ISNUMBER('E19'!$B$13),MAX(0,'E19'!$B$13),0)</f>
        <v>7824</v>
      </c>
      <c r="E301">
        <f>IF(ISNUMBER('E19'!$C$13),MAX(0,'E19'!$C$13),0)</f>
        <v>3094</v>
      </c>
      <c r="F301">
        <f>$E$293*MAX($D$295:$E$302)</f>
        <v>6180.8768235309117</v>
      </c>
      <c r="G301">
        <f>-F301</f>
        <v>-6180.8768235309117</v>
      </c>
      <c r="H301">
        <f>-D301</f>
        <v>-7824</v>
      </c>
      <c r="I301">
        <f>0</f>
        <v>0</v>
      </c>
      <c r="J301">
        <f>1.5</f>
        <v>1.5</v>
      </c>
    </row>
    <row r="302" spans="1:10" x14ac:dyDescent="0.25">
      <c r="A302" s="20" t="str">
        <f>IF(ISBLANK('E19'!$A$14),"",'E19'!$A$14)</f>
        <v>Rio Turquesa</v>
      </c>
      <c r="B302" s="12">
        <f>D302+E302</f>
        <v>9435</v>
      </c>
      <c r="C302">
        <f>F302+E302</f>
        <v>9379.8768235309108</v>
      </c>
      <c r="D302">
        <f>IF(ISNUMBER('E19'!$B$14),MAX(0,'E19'!$B$14),0)</f>
        <v>6236</v>
      </c>
      <c r="E302">
        <f>IF(ISNUMBER('E19'!$C$14),MAX(0,'E19'!$C$14),0)</f>
        <v>3199</v>
      </c>
      <c r="F302">
        <f>$E$293*MAX($D$295:$E$302)</f>
        <v>6180.8768235309117</v>
      </c>
      <c r="G302">
        <f>-F302</f>
        <v>-6180.8768235309117</v>
      </c>
      <c r="H302">
        <f>-D302</f>
        <v>-6236</v>
      </c>
      <c r="I302">
        <f>0</f>
        <v>0</v>
      </c>
      <c r="J302">
        <f>0.5</f>
        <v>0.5</v>
      </c>
    </row>
    <row r="304" spans="1:10" x14ac:dyDescent="0.25">
      <c r="A304" s="11" t="s">
        <v>266</v>
      </c>
      <c r="B304" s="5" t="s">
        <v>267</v>
      </c>
      <c r="C304" s="5" t="str">
        <f>"'E20'!$A$6:$C$14"</f>
        <v>'E20'!$A$6:$C$14</v>
      </c>
      <c r="D304" s="11" t="s">
        <v>275</v>
      </c>
      <c r="E304" s="5">
        <f>IFERROR(_xlfn.AGGREGATE(1,6,$F$306:$F$313),0)</f>
        <v>265.5</v>
      </c>
      <c r="F304" s="5">
        <f>IFERROR(_xlfn.AGGREGATE(1,6,$G$306:$G$313),0)</f>
        <v>0.31837500000000002</v>
      </c>
      <c r="G304" s="5"/>
      <c r="H304" s="5"/>
    </row>
    <row r="305" spans="1:14" x14ac:dyDescent="0.25">
      <c r="A305" t="s">
        <v>268</v>
      </c>
      <c r="B305" t="s">
        <v>187</v>
      </c>
      <c r="C305" t="s">
        <v>269</v>
      </c>
      <c r="D305" t="s">
        <v>270</v>
      </c>
      <c r="E305" t="s">
        <v>271</v>
      </c>
      <c r="F305" t="s">
        <v>272</v>
      </c>
      <c r="G305" t="s">
        <v>273</v>
      </c>
      <c r="H305" t="s">
        <v>274</v>
      </c>
    </row>
    <row r="306" spans="1:14" x14ac:dyDescent="0.25">
      <c r="A306" s="20" t="str">
        <f>IF(ISBLANK('E20'!$A$7),"",'E20'!$A$7)</f>
        <v>Aurora Centro</v>
      </c>
      <c r="B306">
        <f>IF(ISNUMBER('E20'!$B$7),'E20'!$B$7,NA())</f>
        <v>286</v>
      </c>
      <c r="C306">
        <f>IF(ISNUMBER('E20'!$C$7),'E20'!$C$7,NA())</f>
        <v>0.312</v>
      </c>
      <c r="D306">
        <f>1</f>
        <v>1</v>
      </c>
      <c r="E306" t="str">
        <f>"Margem bruta"</f>
        <v>Margem bruta</v>
      </c>
      <c r="F306">
        <f>IF(AND(E306="Margem bruta",ISNUMBER(B306),ISNUMBER(C306),ISNUMBER(D306)),B306,NA())</f>
        <v>286</v>
      </c>
      <c r="G306">
        <f>IF(AND(E306="Margem bruta",ISNUMBER(B306),ISNUMBER(C306),ISNUMBER(D306)),C306,NA())</f>
        <v>0.312</v>
      </c>
      <c r="H306">
        <f>IF(AND(E306="Margem bruta",ISNUMBER(B306),ISNUMBER(C306),ISNUMBER(D306)),D306,NA())</f>
        <v>1</v>
      </c>
    </row>
    <row r="307" spans="1:14" x14ac:dyDescent="0.25">
      <c r="A307" s="20" t="str">
        <f>IF(ISBLANK('E20'!$A$8),"",'E20'!$A$8)</f>
        <v>Porto Sereno</v>
      </c>
      <c r="B307">
        <f>IF(ISNUMBER('E20'!$B$8),'E20'!$B$8,NA())</f>
        <v>252</v>
      </c>
      <c r="C307">
        <f>IF(ISNUMBER('E20'!$C$8),'E20'!$C$8,NA())</f>
        <v>0.33100000000000002</v>
      </c>
      <c r="D307">
        <f>1</f>
        <v>1</v>
      </c>
      <c r="E307" t="str">
        <f>"Margem bruta"</f>
        <v>Margem bruta</v>
      </c>
      <c r="F307">
        <f>IF(AND(E307="Margem bruta",ISNUMBER(B307),ISNUMBER(C307),ISNUMBER(D307)),B307,NA())</f>
        <v>252</v>
      </c>
      <c r="G307">
        <f>IF(AND(E307="Margem bruta",ISNUMBER(B307),ISNUMBER(C307),ISNUMBER(D307)),C307,NA())</f>
        <v>0.33100000000000002</v>
      </c>
      <c r="H307">
        <f>IF(AND(E307="Margem bruta",ISNUMBER(B307),ISNUMBER(C307),ISNUMBER(D307)),D307,NA())</f>
        <v>1</v>
      </c>
    </row>
    <row r="308" spans="1:14" x14ac:dyDescent="0.25">
      <c r="A308" s="20" t="str">
        <f>IF(ISBLANK('E20'!$A$9),"",'E20'!$A$9)</f>
        <v>Campo Dourado</v>
      </c>
      <c r="B308">
        <f>IF(ISNUMBER('E20'!$B$9),'E20'!$B$9,NA())</f>
        <v>269</v>
      </c>
      <c r="C308">
        <f>IF(ISNUMBER('E20'!$C$9),'E20'!$C$9,NA())</f>
        <v>0.32</v>
      </c>
      <c r="D308">
        <f>1</f>
        <v>1</v>
      </c>
      <c r="E308" t="str">
        <f>"Margem bruta"</f>
        <v>Margem bruta</v>
      </c>
      <c r="F308">
        <f>IF(AND(E308="Margem bruta",ISNUMBER(B308),ISNUMBER(C308),ISNUMBER(D308)),B308,NA())</f>
        <v>269</v>
      </c>
      <c r="G308">
        <f>IF(AND(E308="Margem bruta",ISNUMBER(B308),ISNUMBER(C308),ISNUMBER(D308)),C308,NA())</f>
        <v>0.32</v>
      </c>
      <c r="H308">
        <f>IF(AND(E308="Margem bruta",ISNUMBER(B308),ISNUMBER(C308),ISNUMBER(D308)),D308,NA())</f>
        <v>1</v>
      </c>
    </row>
    <row r="309" spans="1:14" x14ac:dyDescent="0.25">
      <c r="A309" s="20" t="str">
        <f>IF(ISBLANK('E20'!$A$10),"",'E20'!$A$10)</f>
        <v>Aurora Norte</v>
      </c>
      <c r="B309">
        <f>IF(ISNUMBER('E20'!$B$10),'E20'!$B$10,NA())</f>
        <v>274</v>
      </c>
      <c r="C309">
        <f>IF(ISNUMBER('E20'!$C$10),'E20'!$C$10,NA())</f>
        <v>0.32600000000000001</v>
      </c>
      <c r="D309">
        <f>1</f>
        <v>1</v>
      </c>
      <c r="E309" t="str">
        <f>"Margem bruta"</f>
        <v>Margem bruta</v>
      </c>
      <c r="F309">
        <f>IF(AND(E309="Margem bruta",ISNUMBER(B309),ISNUMBER(C309),ISNUMBER(D309)),B309,NA())</f>
        <v>274</v>
      </c>
      <c r="G309">
        <f>IF(AND(E309="Margem bruta",ISNUMBER(B309),ISNUMBER(C309),ISNUMBER(D309)),C309,NA())</f>
        <v>0.32600000000000001</v>
      </c>
      <c r="H309">
        <f>IF(AND(E309="Margem bruta",ISNUMBER(B309),ISNUMBER(C309),ISNUMBER(D309)),D309,NA())</f>
        <v>1</v>
      </c>
    </row>
    <row r="310" spans="1:14" x14ac:dyDescent="0.25">
      <c r="A310" s="20" t="str">
        <f>IF(ISBLANK('E20'!$A$11),"",'E20'!$A$11)</f>
        <v>Lago Prateado</v>
      </c>
      <c r="B310">
        <f>IF(ISNUMBER('E20'!$B$11),'E20'!$B$11,NA())</f>
        <v>244</v>
      </c>
      <c r="C310">
        <f>IF(ISNUMBER('E20'!$C$11),'E20'!$C$11,NA())</f>
        <v>0.33200000000000002</v>
      </c>
      <c r="D310">
        <f>1</f>
        <v>1</v>
      </c>
      <c r="E310" t="str">
        <f>"Margem bruta"</f>
        <v>Margem bruta</v>
      </c>
      <c r="F310">
        <f>IF(AND(E310="Margem bruta",ISNUMBER(B310),ISNUMBER(C310),ISNUMBER(D310)),B310,NA())</f>
        <v>244</v>
      </c>
      <c r="G310">
        <f>IF(AND(E310="Margem bruta",ISNUMBER(B310),ISNUMBER(C310),ISNUMBER(D310)),C310,NA())</f>
        <v>0.33200000000000002</v>
      </c>
      <c r="H310">
        <f>IF(AND(E310="Margem bruta",ISNUMBER(B310),ISNUMBER(C310),ISNUMBER(D310)),D310,NA())</f>
        <v>1</v>
      </c>
    </row>
    <row r="311" spans="1:14" x14ac:dyDescent="0.25">
      <c r="A311" s="20" t="str">
        <f>IF(ISBLANK('E20'!$A$12),"",'E20'!$A$12)</f>
        <v>Serra Clara</v>
      </c>
      <c r="B311">
        <f>IF(ISNUMBER('E20'!$B$12),'E20'!$B$12,NA())</f>
        <v>283</v>
      </c>
      <c r="C311">
        <f>IF(ISNUMBER('E20'!$C$12),'E20'!$C$12,NA())</f>
        <v>0.30099999999999999</v>
      </c>
      <c r="D311">
        <f>1</f>
        <v>1</v>
      </c>
      <c r="E311" t="str">
        <f>"Margem bruta"</f>
        <v>Margem bruta</v>
      </c>
      <c r="F311">
        <f>IF(AND(E311="Margem bruta",ISNUMBER(B311),ISNUMBER(C311),ISNUMBER(D311)),B311,NA())</f>
        <v>283</v>
      </c>
      <c r="G311">
        <f>IF(AND(E311="Margem bruta",ISNUMBER(B311),ISNUMBER(C311),ISNUMBER(D311)),C311,NA())</f>
        <v>0.30099999999999999</v>
      </c>
      <c r="H311">
        <f>IF(AND(E311="Margem bruta",ISNUMBER(B311),ISNUMBER(C311),ISNUMBER(D311)),D311,NA())</f>
        <v>1</v>
      </c>
    </row>
    <row r="312" spans="1:14" x14ac:dyDescent="0.25">
      <c r="A312" s="20" t="str">
        <f>IF(ISBLANK('E20'!$A$13),"",'E20'!$A$13)</f>
        <v>Monte Alvorada</v>
      </c>
      <c r="B312">
        <f>IF(ISNUMBER('E20'!$B$13),'E20'!$B$13,NA())</f>
        <v>257</v>
      </c>
      <c r="C312">
        <f>IF(ISNUMBER('E20'!$C$13),'E20'!$C$13,NA())</f>
        <v>0.31900000000000001</v>
      </c>
      <c r="D312">
        <f>1</f>
        <v>1</v>
      </c>
      <c r="E312" t="str">
        <f>"Margem bruta"</f>
        <v>Margem bruta</v>
      </c>
      <c r="F312">
        <f>IF(AND(E312="Margem bruta",ISNUMBER(B312),ISNUMBER(C312),ISNUMBER(D312)),B312,NA())</f>
        <v>257</v>
      </c>
      <c r="G312">
        <f>IF(AND(E312="Margem bruta",ISNUMBER(B312),ISNUMBER(C312),ISNUMBER(D312)),C312,NA())</f>
        <v>0.31900000000000001</v>
      </c>
      <c r="H312">
        <f>IF(AND(E312="Margem bruta",ISNUMBER(B312),ISNUMBER(C312),ISNUMBER(D312)),D312,NA())</f>
        <v>1</v>
      </c>
    </row>
    <row r="313" spans="1:14" x14ac:dyDescent="0.25">
      <c r="A313" s="20" t="str">
        <f>IF(ISBLANK('E20'!$A$14),"",'E20'!$A$14)</f>
        <v>Rio Turquesa</v>
      </c>
      <c r="B313">
        <f>IF(ISNUMBER('E20'!$B$14),'E20'!$B$14,NA())</f>
        <v>259</v>
      </c>
      <c r="C313">
        <f>IF(ISNUMBER('E20'!$C$14),'E20'!$C$14,NA())</f>
        <v>0.30599999999999999</v>
      </c>
      <c r="D313">
        <f>1</f>
        <v>1</v>
      </c>
      <c r="E313" t="str">
        <f>"Margem bruta"</f>
        <v>Margem bruta</v>
      </c>
      <c r="F313">
        <f>IF(AND(E313="Margem bruta",ISNUMBER(B313),ISNUMBER(C313),ISNUMBER(D313)),B313,NA())</f>
        <v>259</v>
      </c>
      <c r="G313">
        <f>IF(AND(E313="Margem bruta",ISNUMBER(B313),ISNUMBER(C313),ISNUMBER(D313)),C313,NA())</f>
        <v>0.30599999999999999</v>
      </c>
      <c r="H313">
        <f>IF(AND(E313="Margem bruta",ISNUMBER(B313),ISNUMBER(C313),ISNUMBER(D313)),D313,NA())</f>
        <v>1</v>
      </c>
    </row>
    <row r="315" spans="1:14" x14ac:dyDescent="0.25">
      <c r="A315" s="11" t="s">
        <v>279</v>
      </c>
      <c r="B315" s="5" t="s">
        <v>280</v>
      </c>
      <c r="C315" s="5" t="str">
        <f>"'E21'!$A$6:$E$14"</f>
        <v>'E21'!$A$6:$E$14</v>
      </c>
      <c r="D315" s="11" t="s">
        <v>287</v>
      </c>
      <c r="E315" s="5">
        <f>IFERROR(_xlfn.AGGREGATE(1,6,$F$317:$H$324),0)</f>
        <v>302</v>
      </c>
      <c r="F315" s="5">
        <f>IFERROR(_xlfn.AGGREGATE(1,6,$I$317:$K$324),0)</f>
        <v>0.35987499999999994</v>
      </c>
      <c r="G315" s="5"/>
      <c r="H315" s="5"/>
      <c r="I315" s="5"/>
      <c r="J315" s="5"/>
      <c r="K315" s="5"/>
      <c r="L315" s="5"/>
      <c r="M315" s="5"/>
      <c r="N315" s="5"/>
    </row>
    <row r="316" spans="1:14" x14ac:dyDescent="0.25">
      <c r="A316" t="s">
        <v>268</v>
      </c>
      <c r="B316" t="s">
        <v>187</v>
      </c>
      <c r="C316" t="s">
        <v>269</v>
      </c>
      <c r="D316" t="s">
        <v>270</v>
      </c>
      <c r="E316" t="s">
        <v>271</v>
      </c>
      <c r="F316" t="s">
        <v>272</v>
      </c>
      <c r="G316" t="s">
        <v>281</v>
      </c>
      <c r="H316" t="s">
        <v>284</v>
      </c>
      <c r="I316" t="s">
        <v>273</v>
      </c>
      <c r="J316" t="s">
        <v>282</v>
      </c>
      <c r="K316" t="s">
        <v>285</v>
      </c>
      <c r="L316" t="s">
        <v>274</v>
      </c>
      <c r="M316" t="s">
        <v>283</v>
      </c>
      <c r="N316" t="s">
        <v>286</v>
      </c>
    </row>
    <row r="317" spans="1:14" x14ac:dyDescent="0.25">
      <c r="A317" s="20" t="str">
        <f>IF(ISBLANK('E21'!$A$7),"",'E21'!$A$7)</f>
        <v>Cimento e argamassa</v>
      </c>
      <c r="B317">
        <f>IF(ISNUMBER('E21'!$B$7),'E21'!$B$7,NA())</f>
        <v>418</v>
      </c>
      <c r="C317">
        <f>IF(ISNUMBER('E21'!$C$7),'E21'!$C$7,NA())</f>
        <v>0.221</v>
      </c>
      <c r="D317">
        <f>IF(ISNUMBER('E21'!$D$7),IF('E21'!$D$7&gt;0,'E21'!$D$7,NA()),NA())</f>
        <v>43324</v>
      </c>
      <c r="E317" t="str">
        <f>LEFT(IFERROR('E21'!$E$7&amp;"",""),255)</f>
        <v>Construção</v>
      </c>
      <c r="F317">
        <f>IF(AND(E317="Construção",ISNUMBER(B317),ISNUMBER(C317),ISNUMBER(D317)),B317,NA())</f>
        <v>418</v>
      </c>
      <c r="G317" t="e">
        <f>IF(AND(E317="Acabamento",ISNUMBER(B317),ISNUMBER(C317),ISNUMBER(D317)),B317,NA())</f>
        <v>#N/A</v>
      </c>
      <c r="H317" t="e">
        <f>IF(AND(E317="Instalações",ISNUMBER(B317),ISNUMBER(C317),ISNUMBER(D317)),B317,NA())</f>
        <v>#N/A</v>
      </c>
      <c r="I317">
        <f>IF(AND(E317="Construção",ISNUMBER(B317),ISNUMBER(C317),ISNUMBER(D317)),C317,NA())</f>
        <v>0.221</v>
      </c>
      <c r="J317" t="e">
        <f>IF(AND(E317="Acabamento",ISNUMBER(B317),ISNUMBER(C317),ISNUMBER(D317)),C317,NA())</f>
        <v>#N/A</v>
      </c>
      <c r="K317" t="e">
        <f>IF(AND(E317="Instalações",ISNUMBER(B317),ISNUMBER(C317),ISNUMBER(D317)),C317,NA())</f>
        <v>#N/A</v>
      </c>
      <c r="L317">
        <f>IF(AND(E317="Construção",ISNUMBER(B317),ISNUMBER(C317),ISNUMBER(D317)),D317,NA())</f>
        <v>43324</v>
      </c>
      <c r="M317" t="e">
        <f>IF(AND(E317="Acabamento",ISNUMBER(B317),ISNUMBER(C317),ISNUMBER(D317)),D317,NA())</f>
        <v>#N/A</v>
      </c>
      <c r="N317" t="e">
        <f>IF(AND(E317="Instalações",ISNUMBER(B317),ISNUMBER(C317),ISNUMBER(D317)),D317,NA())</f>
        <v>#N/A</v>
      </c>
    </row>
    <row r="318" spans="1:14" x14ac:dyDescent="0.25">
      <c r="A318" s="20" t="str">
        <f>IF(ISBLANK('E21'!$A$8),"",'E21'!$A$8)</f>
        <v>Pisos</v>
      </c>
      <c r="B318">
        <f>IF(ISNUMBER('E21'!$B$8),'E21'!$B$8,NA())</f>
        <v>696</v>
      </c>
      <c r="C318">
        <f>IF(ISNUMBER('E21'!$C$8),'E21'!$C$8,NA())</f>
        <v>0.33800000000000002</v>
      </c>
      <c r="D318">
        <f>IF(ISNUMBER('E21'!$D$8),IF('E21'!$D$8&gt;0,'E21'!$D$8,NA()),NA())</f>
        <v>23770</v>
      </c>
      <c r="E318" t="str">
        <f>LEFT(IFERROR('E21'!$E$8&amp;"",""),255)</f>
        <v>Acabamento</v>
      </c>
      <c r="F318" t="e">
        <f>IF(AND(E318="Construção",ISNUMBER(B318),ISNUMBER(C318),ISNUMBER(D318)),B318,NA())</f>
        <v>#N/A</v>
      </c>
      <c r="G318">
        <f>IF(AND(E318="Acabamento",ISNUMBER(B318),ISNUMBER(C318),ISNUMBER(D318)),B318,NA())</f>
        <v>696</v>
      </c>
      <c r="H318" t="e">
        <f>IF(AND(E318="Instalações",ISNUMBER(B318),ISNUMBER(C318),ISNUMBER(D318)),B318,NA())</f>
        <v>#N/A</v>
      </c>
      <c r="I318" t="e">
        <f>IF(AND(E318="Construção",ISNUMBER(B318),ISNUMBER(C318),ISNUMBER(D318)),C318,NA())</f>
        <v>#N/A</v>
      </c>
      <c r="J318">
        <f>IF(AND(E318="Acabamento",ISNUMBER(B318),ISNUMBER(C318),ISNUMBER(D318)),C318,NA())</f>
        <v>0.33800000000000002</v>
      </c>
      <c r="K318" t="e">
        <f>IF(AND(E318="Instalações",ISNUMBER(B318),ISNUMBER(C318),ISNUMBER(D318)),C318,NA())</f>
        <v>#N/A</v>
      </c>
      <c r="L318" t="e">
        <f>IF(AND(E318="Construção",ISNUMBER(B318),ISNUMBER(C318),ISNUMBER(D318)),D318,NA())</f>
        <v>#N/A</v>
      </c>
      <c r="M318">
        <f>IF(AND(E318="Acabamento",ISNUMBER(B318),ISNUMBER(C318),ISNUMBER(D318)),D318,NA())</f>
        <v>23770</v>
      </c>
      <c r="N318" t="e">
        <f>IF(AND(E318="Instalações",ISNUMBER(B318),ISNUMBER(C318),ISNUMBER(D318)),D318,NA())</f>
        <v>#N/A</v>
      </c>
    </row>
    <row r="319" spans="1:14" x14ac:dyDescent="0.25">
      <c r="A319" s="20" t="str">
        <f>IF(ISBLANK('E21'!$A$9),"",'E21'!$A$9)</f>
        <v>Tintas</v>
      </c>
      <c r="B319">
        <f>IF(ISNUMBER('E21'!$B$9),'E21'!$B$9,NA())</f>
        <v>361</v>
      </c>
      <c r="C319">
        <f>IF(ISNUMBER('E21'!$C$9),'E21'!$C$9,NA())</f>
        <v>0.38100000000000001</v>
      </c>
      <c r="D319">
        <f>IF(ISNUMBER('E21'!$D$9),IF('E21'!$D$9&gt;0,'E21'!$D$9,NA()),NA())</f>
        <v>15702</v>
      </c>
      <c r="E319" t="str">
        <f>LEFT(IFERROR('E21'!$E$9&amp;"",""),255)</f>
        <v>Acabamento</v>
      </c>
      <c r="F319" t="e">
        <f>IF(AND(E319="Construção",ISNUMBER(B319),ISNUMBER(C319),ISNUMBER(D319)),B319,NA())</f>
        <v>#N/A</v>
      </c>
      <c r="G319">
        <f>IF(AND(E319="Acabamento",ISNUMBER(B319),ISNUMBER(C319),ISNUMBER(D319)),B319,NA())</f>
        <v>361</v>
      </c>
      <c r="H319" t="e">
        <f>IF(AND(E319="Instalações",ISNUMBER(B319),ISNUMBER(C319),ISNUMBER(D319)),B319,NA())</f>
        <v>#N/A</v>
      </c>
      <c r="I319" t="e">
        <f>IF(AND(E319="Construção",ISNUMBER(B319),ISNUMBER(C319),ISNUMBER(D319)),C319,NA())</f>
        <v>#N/A</v>
      </c>
      <c r="J319">
        <f>IF(AND(E319="Acabamento",ISNUMBER(B319),ISNUMBER(C319),ISNUMBER(D319)),C319,NA())</f>
        <v>0.38100000000000001</v>
      </c>
      <c r="K319" t="e">
        <f>IF(AND(E319="Instalações",ISNUMBER(B319),ISNUMBER(C319),ISNUMBER(D319)),C319,NA())</f>
        <v>#N/A</v>
      </c>
      <c r="L319" t="e">
        <f>IF(AND(E319="Construção",ISNUMBER(B319),ISNUMBER(C319),ISNUMBER(D319)),D319,NA())</f>
        <v>#N/A</v>
      </c>
      <c r="M319">
        <f>IF(AND(E319="Acabamento",ISNUMBER(B319),ISNUMBER(C319),ISNUMBER(D319)),D319,NA())</f>
        <v>15702</v>
      </c>
      <c r="N319" t="e">
        <f>IF(AND(E319="Instalações",ISNUMBER(B319),ISNUMBER(C319),ISNUMBER(D319)),D319,NA())</f>
        <v>#N/A</v>
      </c>
    </row>
    <row r="320" spans="1:14" x14ac:dyDescent="0.25">
      <c r="A320" s="20" t="str">
        <f>IF(ISBLANK('E21'!$A$10),"",'E21'!$A$10)</f>
        <v>Hidráulica</v>
      </c>
      <c r="B320">
        <f>IF(ISNUMBER('E21'!$B$10),'E21'!$B$10,NA())</f>
        <v>210</v>
      </c>
      <c r="C320">
        <f>IF(ISNUMBER('E21'!$C$10),'E21'!$C$10,NA())</f>
        <v>0.35799999999999998</v>
      </c>
      <c r="D320">
        <f>IF(ISNUMBER('E21'!$D$10),IF('E21'!$D$10&gt;0,'E21'!$D$10,NA()),NA())</f>
        <v>12317</v>
      </c>
      <c r="E320" t="str">
        <f>LEFT(IFERROR('E21'!$E$10&amp;"",""),255)</f>
        <v>Instalações</v>
      </c>
      <c r="F320" t="e">
        <f>IF(AND(E320="Construção",ISNUMBER(B320),ISNUMBER(C320),ISNUMBER(D320)),B320,NA())</f>
        <v>#N/A</v>
      </c>
      <c r="G320" t="e">
        <f>IF(AND(E320="Acabamento",ISNUMBER(B320),ISNUMBER(C320),ISNUMBER(D320)),B320,NA())</f>
        <v>#N/A</v>
      </c>
      <c r="H320">
        <f>IF(AND(E320="Instalações",ISNUMBER(B320),ISNUMBER(C320),ISNUMBER(D320)),B320,NA())</f>
        <v>210</v>
      </c>
      <c r="I320" t="e">
        <f>IF(AND(E320="Construção",ISNUMBER(B320),ISNUMBER(C320),ISNUMBER(D320)),C320,NA())</f>
        <v>#N/A</v>
      </c>
      <c r="J320" t="e">
        <f>IF(AND(E320="Acabamento",ISNUMBER(B320),ISNUMBER(C320),ISNUMBER(D320)),C320,NA())</f>
        <v>#N/A</v>
      </c>
      <c r="K320">
        <f>IF(AND(E320="Instalações",ISNUMBER(B320),ISNUMBER(C320),ISNUMBER(D320)),C320,NA())</f>
        <v>0.35799999999999998</v>
      </c>
      <c r="L320" t="e">
        <f>IF(AND(E320="Construção",ISNUMBER(B320),ISNUMBER(C320),ISNUMBER(D320)),D320,NA())</f>
        <v>#N/A</v>
      </c>
      <c r="M320" t="e">
        <f>IF(AND(E320="Acabamento",ISNUMBER(B320),ISNUMBER(C320),ISNUMBER(D320)),D320,NA())</f>
        <v>#N/A</v>
      </c>
      <c r="N320">
        <f>IF(AND(E320="Instalações",ISNUMBER(B320),ISNUMBER(C320),ISNUMBER(D320)),D320,NA())</f>
        <v>12317</v>
      </c>
    </row>
    <row r="321" spans="1:15" x14ac:dyDescent="0.25">
      <c r="A321" s="20" t="str">
        <f>IF(ISBLANK('E21'!$A$11),"",'E21'!$A$11)</f>
        <v>Elétrica</v>
      </c>
      <c r="B321">
        <f>IF(ISNUMBER('E21'!$B$11),'E21'!$B$11,NA())</f>
        <v>120</v>
      </c>
      <c r="C321">
        <f>IF(ISNUMBER('E21'!$C$11),'E21'!$C$11,NA())</f>
        <v>0.4</v>
      </c>
      <c r="D321">
        <f>IF(ISNUMBER('E21'!$D$11),IF('E21'!$D$11&gt;0,'E21'!$D$11,NA()),NA())</f>
        <v>11549</v>
      </c>
      <c r="E321" t="str">
        <f>LEFT(IFERROR('E21'!$E$11&amp;"",""),255)</f>
        <v>Instalações</v>
      </c>
      <c r="F321" t="e">
        <f>IF(AND(E321="Construção",ISNUMBER(B321),ISNUMBER(C321),ISNUMBER(D321)),B321,NA())</f>
        <v>#N/A</v>
      </c>
      <c r="G321" t="e">
        <f>IF(AND(E321="Acabamento",ISNUMBER(B321),ISNUMBER(C321),ISNUMBER(D321)),B321,NA())</f>
        <v>#N/A</v>
      </c>
      <c r="H321">
        <f>IF(AND(E321="Instalações",ISNUMBER(B321),ISNUMBER(C321),ISNUMBER(D321)),B321,NA())</f>
        <v>120</v>
      </c>
      <c r="I321" t="e">
        <f>IF(AND(E321="Construção",ISNUMBER(B321),ISNUMBER(C321),ISNUMBER(D321)),C321,NA())</f>
        <v>#N/A</v>
      </c>
      <c r="J321" t="e">
        <f>IF(AND(E321="Acabamento",ISNUMBER(B321),ISNUMBER(C321),ISNUMBER(D321)),C321,NA())</f>
        <v>#N/A</v>
      </c>
      <c r="K321">
        <f>IF(AND(E321="Instalações",ISNUMBER(B321),ISNUMBER(C321),ISNUMBER(D321)),C321,NA())</f>
        <v>0.4</v>
      </c>
      <c r="L321" t="e">
        <f>IF(AND(E321="Construção",ISNUMBER(B321),ISNUMBER(C321),ISNUMBER(D321)),D321,NA())</f>
        <v>#N/A</v>
      </c>
      <c r="M321" t="e">
        <f>IF(AND(E321="Acabamento",ISNUMBER(B321),ISNUMBER(C321),ISNUMBER(D321)),D321,NA())</f>
        <v>#N/A</v>
      </c>
      <c r="N321">
        <f>IF(AND(E321="Instalações",ISNUMBER(B321),ISNUMBER(C321),ISNUMBER(D321)),D321,NA())</f>
        <v>11549</v>
      </c>
    </row>
    <row r="322" spans="1:15" x14ac:dyDescent="0.25">
      <c r="A322" s="20" t="str">
        <f>IF(ISBLANK('E21'!$A$12),"",'E21'!$A$12)</f>
        <v>Madeiras</v>
      </c>
      <c r="B322">
        <f>IF(ISNUMBER('E21'!$B$12),'E21'!$B$12,NA())</f>
        <v>377</v>
      </c>
      <c r="C322">
        <f>IF(ISNUMBER('E21'!$C$12),'E21'!$C$12,NA())</f>
        <v>0.29099999999999998</v>
      </c>
      <c r="D322">
        <f>IF(ISNUMBER('E21'!$D$12),IF('E21'!$D$12&gt;0,'E21'!$D$12,NA()),NA())</f>
        <v>9250</v>
      </c>
      <c r="E322" t="str">
        <f>LEFT(IFERROR('E21'!$E$12&amp;"",""),255)</f>
        <v>Construção</v>
      </c>
      <c r="F322">
        <f>IF(AND(E322="Construção",ISNUMBER(B322),ISNUMBER(C322),ISNUMBER(D322)),B322,NA())</f>
        <v>377</v>
      </c>
      <c r="G322" t="e">
        <f>IF(AND(E322="Acabamento",ISNUMBER(B322),ISNUMBER(C322),ISNUMBER(D322)),B322,NA())</f>
        <v>#N/A</v>
      </c>
      <c r="H322" t="e">
        <f>IF(AND(E322="Instalações",ISNUMBER(B322),ISNUMBER(C322),ISNUMBER(D322)),B322,NA())</f>
        <v>#N/A</v>
      </c>
      <c r="I322">
        <f>IF(AND(E322="Construção",ISNUMBER(B322),ISNUMBER(C322),ISNUMBER(D322)),C322,NA())</f>
        <v>0.29099999999999998</v>
      </c>
      <c r="J322" t="e">
        <f>IF(AND(E322="Acabamento",ISNUMBER(B322),ISNUMBER(C322),ISNUMBER(D322)),C322,NA())</f>
        <v>#N/A</v>
      </c>
      <c r="K322" t="e">
        <f>IF(AND(E322="Instalações",ISNUMBER(B322),ISNUMBER(C322),ISNUMBER(D322)),C322,NA())</f>
        <v>#N/A</v>
      </c>
      <c r="L322">
        <f>IF(AND(E322="Construção",ISNUMBER(B322),ISNUMBER(C322),ISNUMBER(D322)),D322,NA())</f>
        <v>9250</v>
      </c>
      <c r="M322" t="e">
        <f>IF(AND(E322="Acabamento",ISNUMBER(B322),ISNUMBER(C322),ISNUMBER(D322)),D322,NA())</f>
        <v>#N/A</v>
      </c>
      <c r="N322" t="e">
        <f>IF(AND(E322="Instalações",ISNUMBER(B322),ISNUMBER(C322),ISNUMBER(D322)),D322,NA())</f>
        <v>#N/A</v>
      </c>
    </row>
    <row r="323" spans="1:15" x14ac:dyDescent="0.25">
      <c r="A323" s="20" t="str">
        <f>IF(ISBLANK('E21'!$A$13),"",'E21'!$A$13)</f>
        <v>Ferramentas</v>
      </c>
      <c r="B323">
        <f>IF(ISNUMBER('E21'!$B$13),'E21'!$B$13,NA())</f>
        <v>160</v>
      </c>
      <c r="C323">
        <f>IF(ISNUMBER('E21'!$C$13),'E21'!$C$13,NA())</f>
        <v>0.42899999999999999</v>
      </c>
      <c r="D323">
        <f>IF(ISNUMBER('E21'!$D$13),IF('E21'!$D$13&gt;0,'E21'!$D$13,NA()),NA())</f>
        <v>8310</v>
      </c>
      <c r="E323" t="str">
        <f>LEFT(IFERROR('E21'!$E$13&amp;"",""),255)</f>
        <v>Instalações</v>
      </c>
      <c r="F323" t="e">
        <f>IF(AND(E323="Construção",ISNUMBER(B323),ISNUMBER(C323),ISNUMBER(D323)),B323,NA())</f>
        <v>#N/A</v>
      </c>
      <c r="G323" t="e">
        <f>IF(AND(E323="Acabamento",ISNUMBER(B323),ISNUMBER(C323),ISNUMBER(D323)),B323,NA())</f>
        <v>#N/A</v>
      </c>
      <c r="H323">
        <f>IF(AND(E323="Instalações",ISNUMBER(B323),ISNUMBER(C323),ISNUMBER(D323)),B323,NA())</f>
        <v>160</v>
      </c>
      <c r="I323" t="e">
        <f>IF(AND(E323="Construção",ISNUMBER(B323),ISNUMBER(C323),ISNUMBER(D323)),C323,NA())</f>
        <v>#N/A</v>
      </c>
      <c r="J323" t="e">
        <f>IF(AND(E323="Acabamento",ISNUMBER(B323),ISNUMBER(C323),ISNUMBER(D323)),C323,NA())</f>
        <v>#N/A</v>
      </c>
      <c r="K323">
        <f>IF(AND(E323="Instalações",ISNUMBER(B323),ISNUMBER(C323),ISNUMBER(D323)),C323,NA())</f>
        <v>0.42899999999999999</v>
      </c>
      <c r="L323" t="e">
        <f>IF(AND(E323="Construção",ISNUMBER(B323),ISNUMBER(C323),ISNUMBER(D323)),D323,NA())</f>
        <v>#N/A</v>
      </c>
      <c r="M323" t="e">
        <f>IF(AND(E323="Acabamento",ISNUMBER(B323),ISNUMBER(C323),ISNUMBER(D323)),D323,NA())</f>
        <v>#N/A</v>
      </c>
      <c r="N323">
        <f>IF(AND(E323="Instalações",ISNUMBER(B323),ISNUMBER(C323),ISNUMBER(D323)),D323,NA())</f>
        <v>8310</v>
      </c>
    </row>
    <row r="324" spans="1:15" x14ac:dyDescent="0.25">
      <c r="A324" s="20" t="str">
        <f>IF(ISBLANK('E21'!$A$14),"",'E21'!$A$14)</f>
        <v>Ferragens</v>
      </c>
      <c r="B324">
        <f>IF(ISNUMBER('E21'!$B$14),'E21'!$B$14,NA())</f>
        <v>74</v>
      </c>
      <c r="C324">
        <f>IF(ISNUMBER('E21'!$C$14),'E21'!$C$14,NA())</f>
        <v>0.46100000000000002</v>
      </c>
      <c r="D324">
        <f>IF(ISNUMBER('E21'!$D$14),IF('E21'!$D$14&gt;0,'E21'!$D$14,NA()),NA())</f>
        <v>5488</v>
      </c>
      <c r="E324" t="str">
        <f>LEFT(IFERROR('E21'!$E$14&amp;"",""),255)</f>
        <v>Construção</v>
      </c>
      <c r="F324">
        <f>IF(AND(E324="Construção",ISNUMBER(B324),ISNUMBER(C324),ISNUMBER(D324)),B324,NA())</f>
        <v>74</v>
      </c>
      <c r="G324" t="e">
        <f>IF(AND(E324="Acabamento",ISNUMBER(B324),ISNUMBER(C324),ISNUMBER(D324)),B324,NA())</f>
        <v>#N/A</v>
      </c>
      <c r="H324" t="e">
        <f>IF(AND(E324="Instalações",ISNUMBER(B324),ISNUMBER(C324),ISNUMBER(D324)),B324,NA())</f>
        <v>#N/A</v>
      </c>
      <c r="I324">
        <f>IF(AND(E324="Construção",ISNUMBER(B324),ISNUMBER(C324),ISNUMBER(D324)),C324,NA())</f>
        <v>0.46100000000000002</v>
      </c>
      <c r="J324" t="e">
        <f>IF(AND(E324="Acabamento",ISNUMBER(B324),ISNUMBER(C324),ISNUMBER(D324)),C324,NA())</f>
        <v>#N/A</v>
      </c>
      <c r="K324" t="e">
        <f>IF(AND(E324="Instalações",ISNUMBER(B324),ISNUMBER(C324),ISNUMBER(D324)),C324,NA())</f>
        <v>#N/A</v>
      </c>
      <c r="L324">
        <f>IF(AND(E324="Construção",ISNUMBER(B324),ISNUMBER(C324),ISNUMBER(D324)),D324,NA())</f>
        <v>5488</v>
      </c>
      <c r="M324" t="e">
        <f>IF(AND(E324="Acabamento",ISNUMBER(B324),ISNUMBER(C324),ISNUMBER(D324)),D324,NA())</f>
        <v>#N/A</v>
      </c>
      <c r="N324" t="e">
        <f>IF(AND(E324="Instalações",ISNUMBER(B324),ISNUMBER(C324),ISNUMBER(D324)),D324,NA())</f>
        <v>#N/A</v>
      </c>
    </row>
    <row r="326" spans="1:15" x14ac:dyDescent="0.25">
      <c r="A326" s="11" t="s">
        <v>292</v>
      </c>
      <c r="B326" s="5" t="s">
        <v>59</v>
      </c>
      <c r="C326" s="5" t="str">
        <f>"'E22'!$A$6:$D$8"</f>
        <v>'E22'!$A$6:$D$8</v>
      </c>
      <c r="D326" s="11" t="s">
        <v>293</v>
      </c>
      <c r="E326" s="5"/>
    </row>
    <row r="327" spans="1:15" x14ac:dyDescent="0.25">
      <c r="A327" t="s">
        <v>60</v>
      </c>
      <c r="B327" t="s">
        <v>61</v>
      </c>
      <c r="C327" t="s">
        <v>62</v>
      </c>
      <c r="D327" t="s">
        <v>63</v>
      </c>
      <c r="E327" t="s">
        <v>64</v>
      </c>
    </row>
    <row r="328" spans="1:15" x14ac:dyDescent="0.25">
      <c r="A328" s="21">
        <f>'E22'!$A$7</f>
        <v>2024</v>
      </c>
      <c r="B328" s="12">
        <f>_xlfn.AGGREGATE(9,6,'E22'!$B$7:$D$7)</f>
        <v>74489</v>
      </c>
      <c r="C328">
        <f>IF(SUMIF('E22'!$B$7:$D$7,"&gt;0")&gt;0,SUMIF('E22'!$B$7:$D$7,"&gt;0"),SUMIF('E22'!$B$7:$D$7,"&lt;0"))</f>
        <v>74489</v>
      </c>
      <c r="D328">
        <f>1.5</f>
        <v>1.5</v>
      </c>
      <c r="E328">
        <f>AVERAGE($B$328:$B$329)</f>
        <v>78642.5</v>
      </c>
    </row>
    <row r="329" spans="1:15" x14ac:dyDescent="0.25">
      <c r="A329" s="21">
        <f>'E22'!$A$8</f>
        <v>2025</v>
      </c>
      <c r="B329" s="12">
        <f>_xlfn.AGGREGATE(9,6,'E22'!$B$8:$D$8)</f>
        <v>82796</v>
      </c>
      <c r="C329">
        <f>IF(SUMIF('E22'!$B$8:$D$8,"&gt;0")&gt;0,SUMIF('E22'!$B$8:$D$8,"&gt;0"),SUMIF('E22'!$B$8:$D$8,"&lt;0"))</f>
        <v>82796</v>
      </c>
      <c r="D329">
        <f>0.5</f>
        <v>0.5</v>
      </c>
      <c r="E329">
        <f>AVERAGE($B$328:$B$329)</f>
        <v>78642.5</v>
      </c>
    </row>
    <row r="331" spans="1:15" x14ac:dyDescent="0.25">
      <c r="A331" s="11" t="s">
        <v>297</v>
      </c>
      <c r="B331" s="5" t="s">
        <v>76</v>
      </c>
      <c r="C331" s="5" t="str">
        <f>"'E23'!$A$6:$D$11"</f>
        <v>'E23'!$A$6:$D$11</v>
      </c>
      <c r="D331" s="11" t="s">
        <v>306</v>
      </c>
      <c r="E331" s="5"/>
      <c r="F331" s="5"/>
      <c r="G331" s="5"/>
      <c r="H331" s="5"/>
    </row>
    <row r="332" spans="1:15" x14ac:dyDescent="0.25">
      <c r="A332" t="s">
        <v>60</v>
      </c>
      <c r="B332" t="s">
        <v>61</v>
      </c>
      <c r="C332" t="s">
        <v>62</v>
      </c>
      <c r="D332" t="s">
        <v>77</v>
      </c>
      <c r="E332" t="s">
        <v>78</v>
      </c>
      <c r="F332" t="s">
        <v>298</v>
      </c>
      <c r="G332" t="s">
        <v>63</v>
      </c>
      <c r="H332" t="s">
        <v>64</v>
      </c>
      <c r="I332" t="s">
        <v>305</v>
      </c>
      <c r="J332" t="s">
        <v>299</v>
      </c>
      <c r="K332" t="s">
        <v>300</v>
      </c>
      <c r="L332" t="s">
        <v>301</v>
      </c>
      <c r="M332" t="s">
        <v>302</v>
      </c>
      <c r="N332" t="s">
        <v>303</v>
      </c>
      <c r="O332" t="s">
        <v>304</v>
      </c>
    </row>
    <row r="333" spans="1:15" x14ac:dyDescent="0.25">
      <c r="A333" t="str">
        <f>'E23'!$A$7</f>
        <v>Sudeste</v>
      </c>
      <c r="B333" s="12">
        <f>_xlfn.AGGREGATE(9,6,'E23'!$B$7:$D$7)</f>
        <v>42264</v>
      </c>
      <c r="C333">
        <f>1</f>
        <v>1</v>
      </c>
      <c r="D333" s="15">
        <f>IF(AND(ISNUMBER('E23'!$B$7),B333&lt;&gt;0),'E23'!$B$7/B333,0)</f>
        <v>0.38160136286201024</v>
      </c>
      <c r="E333" s="15">
        <f>IF(AND(ISNUMBER('E23'!$C$7),B333&lt;&gt;0),'E23'!$C$7/B333,0)</f>
        <v>0.35907628241529432</v>
      </c>
      <c r="F333" s="15">
        <f>IF(AND(ISNUMBER('E23'!$D$7),B333&lt;&gt;0),'E23'!$D$7/B333,0)</f>
        <v>0.25932235472269544</v>
      </c>
      <c r="G333">
        <f>4.5</f>
        <v>4.5</v>
      </c>
      <c r="H333" t="e">
        <f>NA()</f>
        <v>#N/A</v>
      </c>
      <c r="I333">
        <v>2</v>
      </c>
      <c r="J333" s="15">
        <f>D333</f>
        <v>0.38160136286201024</v>
      </c>
      <c r="K333" s="15">
        <f>E333</f>
        <v>0.35907628241529432</v>
      </c>
      <c r="L333" s="15">
        <f>F333</f>
        <v>0.25932235472269544</v>
      </c>
      <c r="M333" s="15">
        <f>ROUND(J333,I333)+POWER(10,-I333)*(IF(ROUND((ROUND(SUM(J333:L333),I333)-SUMPRODUCT(ROUND(J333:L333,I333)))/POWER(10,-I333),0)&gt;0,--((SUMPRODUCT(--(ROUND((J333:L333-ROUND(J333:L333,I333))/POWER(10,-I333),9)&gt;ROUND((J333-ROUND(J333,I333))/POWER(10,-I333),9)))+SUMPRODUCT(--(ROUND((J333-ROUND(J333,I333))/POWER(10,-I333),9)=ROUND((J333-ROUND(J333,I333))/POWER(10,-I333),9))))&lt;=ROUND((ROUND(SUM(J333:L333),I333)-SUMPRODUCT(ROUND(J333:L333,I333)))/POWER(10,-I333),0)),0)-IF(ROUND((ROUND(SUM(J333:L333),I333)-SUMPRODUCT(ROUND(J333:L333,I333)))/POWER(10,-I333),0)&lt;0,--((SUMPRODUCT(--(ROUND((J333:L333-ROUND(J333:L333,I333))/POWER(10,-I333),9)&lt;ROUND((J333-ROUND(J333,I333))/POWER(10,-I333),9)))+SUMPRODUCT(--(ROUND((J333-ROUND(J333,I333))/POWER(10,-I333),9)=ROUND((J333-ROUND(J333,I333))/POWER(10,-I333),9))))&lt;=-ROUND((ROUND(SUM(J333:L333),I333)-SUMPRODUCT(ROUND(J333:L333,I333)))/POWER(10,-I333),0)),0))</f>
        <v>0.38</v>
      </c>
      <c r="N333" s="15">
        <f>ROUND(K333,I333)+POWER(10,-I333)*(IF(ROUND((ROUND(SUM(J333:L333),I333)-SUMPRODUCT(ROUND(J333:L333,I333)))/POWER(10,-I333),0)&gt;0,--((SUMPRODUCT(--(ROUND((J333:L333-ROUND(J333:L333,I333))/POWER(10,-I333),9)&gt;ROUND((K333-ROUND(K333,I333))/POWER(10,-I333),9)))+SUMPRODUCT(--(ROUND((J333:K333-ROUND(J333:K333,I333))/POWER(10,-I333),9)=ROUND((K333-ROUND(K333,I333))/POWER(10,-I333),9))))&lt;=ROUND((ROUND(SUM(J333:L333),I333)-SUMPRODUCT(ROUND(J333:L333,I333)))/POWER(10,-I333),0)),0)-IF(ROUND((ROUND(SUM(J333:L333),I333)-SUMPRODUCT(ROUND(J333:L333,I333)))/POWER(10,-I333),0)&lt;0,--((SUMPRODUCT(--(ROUND((J333:L333-ROUND(J333:L333,I333))/POWER(10,-I333),9)&lt;ROUND((K333-ROUND(K333,I333))/POWER(10,-I333),9)))+SUMPRODUCT(--(ROUND((J333:K333-ROUND(J333:K333,I333))/POWER(10,-I333),9)=ROUND((K333-ROUND(K333,I333))/POWER(10,-I333),9))))&lt;=-ROUND((ROUND(SUM(J333:L333),I333)-SUMPRODUCT(ROUND(J333:L333,I333)))/POWER(10,-I333),0)),0))</f>
        <v>0.36</v>
      </c>
      <c r="O333" s="15">
        <f>ROUND(L333,I333)+POWER(10,-I333)*(IF(ROUND((ROUND(SUM(J333:L333),I333)-SUMPRODUCT(ROUND(J333:L333,I333)))/POWER(10,-I333),0)&gt;0,--((SUMPRODUCT(--(ROUND((J333:L333-ROUND(J333:L333,I333))/POWER(10,-I333),9)&gt;ROUND((L333-ROUND(L333,I333))/POWER(10,-I333),9)))+SUMPRODUCT(--(ROUND((J333:L333-ROUND(J333:L333,I333))/POWER(10,-I333),9)=ROUND((L333-ROUND(L333,I333))/POWER(10,-I333),9))))&lt;=ROUND((ROUND(SUM(J333:L333),I333)-SUMPRODUCT(ROUND(J333:L333,I333)))/POWER(10,-I333),0)),0)-IF(ROUND((ROUND(SUM(J333:L333),I333)-SUMPRODUCT(ROUND(J333:L333,I333)))/POWER(10,-I333),0)&lt;0,--((SUMPRODUCT(--(ROUND((J333:L333-ROUND(J333:L333,I333))/POWER(10,-I333),9)&lt;ROUND((L333-ROUND(L333,I333))/POWER(10,-I333),9)))+SUMPRODUCT(--(ROUND((J333:L333-ROUND(J333:L333,I333))/POWER(10,-I333),9)=ROUND((L333-ROUND(L333,I333))/POWER(10,-I333),9))))&lt;=-ROUND((ROUND(SUM(J333:L333),I333)-SUMPRODUCT(ROUND(J333:L333,I333)))/POWER(10,-I333),0)),0))</f>
        <v>0.26</v>
      </c>
    </row>
    <row r="334" spans="1:15" x14ac:dyDescent="0.25">
      <c r="A334" t="str">
        <f>'E23'!$A$8</f>
        <v>Sul</v>
      </c>
      <c r="B334" s="12">
        <f>_xlfn.AGGREGATE(9,6,'E23'!$B$8:$D$8)</f>
        <v>34905</v>
      </c>
      <c r="C334">
        <f>1</f>
        <v>1</v>
      </c>
      <c r="D334" s="15">
        <f>IF(AND(ISNUMBER('E23'!$B$8),B334&lt;&gt;0),'E23'!$B$8/B334,0)</f>
        <v>0.42122905027932961</v>
      </c>
      <c r="E334" s="15">
        <f>IF(AND(ISNUMBER('E23'!$C$8),B334&lt;&gt;0),'E23'!$C$8/B334,0)</f>
        <v>0.3184644033806045</v>
      </c>
      <c r="F334" s="15">
        <f>IF(AND(ISNUMBER('E23'!$D$8),B334&lt;&gt;0),'E23'!$D$8/B334,0)</f>
        <v>0.26030654634006589</v>
      </c>
      <c r="G334">
        <f>3.5</f>
        <v>3.5</v>
      </c>
      <c r="H334" t="e">
        <f>NA()</f>
        <v>#N/A</v>
      </c>
      <c r="I334">
        <v>2</v>
      </c>
      <c r="J334" s="15">
        <f>D334</f>
        <v>0.42122905027932961</v>
      </c>
      <c r="K334" s="15">
        <f>E334</f>
        <v>0.3184644033806045</v>
      </c>
      <c r="L334" s="15">
        <f>F334</f>
        <v>0.26030654634006589</v>
      </c>
      <c r="M334" s="15">
        <f>ROUND(J334,I334)+POWER(10,-I334)*(IF(ROUND((ROUND(SUM(J334:L334),I334)-SUMPRODUCT(ROUND(J334:L334,I334)))/POWER(10,-I334),0)&gt;0,--((SUMPRODUCT(--(ROUND((J334:L334-ROUND(J334:L334,I334))/POWER(10,-I334),9)&gt;ROUND((J334-ROUND(J334,I334))/POWER(10,-I334),9)))+SUMPRODUCT(--(ROUND((J334-ROUND(J334,I334))/POWER(10,-I334),9)=ROUND((J334-ROUND(J334,I334))/POWER(10,-I334),9))))&lt;=ROUND((ROUND(SUM(J334:L334),I334)-SUMPRODUCT(ROUND(J334:L334,I334)))/POWER(10,-I334),0)),0)-IF(ROUND((ROUND(SUM(J334:L334),I334)-SUMPRODUCT(ROUND(J334:L334,I334)))/POWER(10,-I334),0)&lt;0,--((SUMPRODUCT(--(ROUND((J334:L334-ROUND(J334:L334,I334))/POWER(10,-I334),9)&lt;ROUND((J334-ROUND(J334,I334))/POWER(10,-I334),9)))+SUMPRODUCT(--(ROUND((J334-ROUND(J334,I334))/POWER(10,-I334),9)=ROUND((J334-ROUND(J334,I334))/POWER(10,-I334),9))))&lt;=-ROUND((ROUND(SUM(J334:L334),I334)-SUMPRODUCT(ROUND(J334:L334,I334)))/POWER(10,-I334),0)),0))</f>
        <v>0.42</v>
      </c>
      <c r="N334" s="15">
        <f>ROUND(K334,I334)+POWER(10,-I334)*(IF(ROUND((ROUND(SUM(J334:L334),I334)-SUMPRODUCT(ROUND(J334:L334,I334)))/POWER(10,-I334),0)&gt;0,--((SUMPRODUCT(--(ROUND((J334:L334-ROUND(J334:L334,I334))/POWER(10,-I334),9)&gt;ROUND((K334-ROUND(K334,I334))/POWER(10,-I334),9)))+SUMPRODUCT(--(ROUND((J334:K334-ROUND(J334:K334,I334))/POWER(10,-I334),9)=ROUND((K334-ROUND(K334,I334))/POWER(10,-I334),9))))&lt;=ROUND((ROUND(SUM(J334:L334),I334)-SUMPRODUCT(ROUND(J334:L334,I334)))/POWER(10,-I334),0)),0)-IF(ROUND((ROUND(SUM(J334:L334),I334)-SUMPRODUCT(ROUND(J334:L334,I334)))/POWER(10,-I334),0)&lt;0,--((SUMPRODUCT(--(ROUND((J334:L334-ROUND(J334:L334,I334))/POWER(10,-I334),9)&lt;ROUND((K334-ROUND(K334,I334))/POWER(10,-I334),9)))+SUMPRODUCT(--(ROUND((J334:K334-ROUND(J334:K334,I334))/POWER(10,-I334),9)=ROUND((K334-ROUND(K334,I334))/POWER(10,-I334),9))))&lt;=-ROUND((ROUND(SUM(J334:L334),I334)-SUMPRODUCT(ROUND(J334:L334,I334)))/POWER(10,-I334),0)),0))</f>
        <v>0.32</v>
      </c>
      <c r="O334" s="15">
        <f>ROUND(L334,I334)+POWER(10,-I334)*(IF(ROUND((ROUND(SUM(J334:L334),I334)-SUMPRODUCT(ROUND(J334:L334,I334)))/POWER(10,-I334),0)&gt;0,--((SUMPRODUCT(--(ROUND((J334:L334-ROUND(J334:L334,I334))/POWER(10,-I334),9)&gt;ROUND((L334-ROUND(L334,I334))/POWER(10,-I334),9)))+SUMPRODUCT(--(ROUND((J334:L334-ROUND(J334:L334,I334))/POWER(10,-I334),9)=ROUND((L334-ROUND(L334,I334))/POWER(10,-I334),9))))&lt;=ROUND((ROUND(SUM(J334:L334),I334)-SUMPRODUCT(ROUND(J334:L334,I334)))/POWER(10,-I334),0)),0)-IF(ROUND((ROUND(SUM(J334:L334),I334)-SUMPRODUCT(ROUND(J334:L334,I334)))/POWER(10,-I334),0)&lt;0,--((SUMPRODUCT(--(ROUND((J334:L334-ROUND(J334:L334,I334))/POWER(10,-I334),9)&lt;ROUND((L334-ROUND(L334,I334))/POWER(10,-I334),9)))+SUMPRODUCT(--(ROUND((J334:L334-ROUND(J334:L334,I334))/POWER(10,-I334),9)=ROUND((L334-ROUND(L334,I334))/POWER(10,-I334),9))))&lt;=-ROUND((ROUND(SUM(J334:L334),I334)-SUMPRODUCT(ROUND(J334:L334,I334)))/POWER(10,-I334),0)),0))</f>
        <v>0.26</v>
      </c>
    </row>
    <row r="335" spans="1:15" x14ac:dyDescent="0.25">
      <c r="A335" t="str">
        <f>'E23'!$A$9</f>
        <v>Nordeste</v>
      </c>
      <c r="B335" s="12">
        <f>_xlfn.AGGREGATE(9,6,'E23'!$B$9:$D$9)</f>
        <v>25450</v>
      </c>
      <c r="C335">
        <f>1</f>
        <v>1</v>
      </c>
      <c r="D335" s="15">
        <f>IF(AND(ISNUMBER('E23'!$B$9),B335&lt;&gt;0),'E23'!$B$9/B335,0)</f>
        <v>0.51646365422396856</v>
      </c>
      <c r="E335" s="15">
        <f>IF(AND(ISNUMBER('E23'!$C$9),B335&lt;&gt;0),'E23'!$C$9/B335,0)</f>
        <v>0.24711198428290765</v>
      </c>
      <c r="F335" s="15">
        <f>IF(AND(ISNUMBER('E23'!$D$9),B335&lt;&gt;0),'E23'!$D$9/B335,0)</f>
        <v>0.23642436149312376</v>
      </c>
      <c r="G335">
        <f>2.5</f>
        <v>2.5</v>
      </c>
      <c r="H335" t="e">
        <f>NA()</f>
        <v>#N/A</v>
      </c>
      <c r="I335">
        <v>2</v>
      </c>
      <c r="J335" s="15">
        <f>D335</f>
        <v>0.51646365422396856</v>
      </c>
      <c r="K335" s="15">
        <f>E335</f>
        <v>0.24711198428290765</v>
      </c>
      <c r="L335" s="15">
        <f>F335</f>
        <v>0.23642436149312376</v>
      </c>
      <c r="M335" s="15">
        <f>ROUND(J335,I335)+POWER(10,-I335)*(IF(ROUND((ROUND(SUM(J335:L335),I335)-SUMPRODUCT(ROUND(J335:L335,I335)))/POWER(10,-I335),0)&gt;0,--((SUMPRODUCT(--(ROUND((J335:L335-ROUND(J335:L335,I335))/POWER(10,-I335),9)&gt;ROUND((J335-ROUND(J335,I335))/POWER(10,-I335),9)))+SUMPRODUCT(--(ROUND((J335-ROUND(J335,I335))/POWER(10,-I335),9)=ROUND((J335-ROUND(J335,I335))/POWER(10,-I335),9))))&lt;=ROUND((ROUND(SUM(J335:L335),I335)-SUMPRODUCT(ROUND(J335:L335,I335)))/POWER(10,-I335),0)),0)-IF(ROUND((ROUND(SUM(J335:L335),I335)-SUMPRODUCT(ROUND(J335:L335,I335)))/POWER(10,-I335),0)&lt;0,--((SUMPRODUCT(--(ROUND((J335:L335-ROUND(J335:L335,I335))/POWER(10,-I335),9)&lt;ROUND((J335-ROUND(J335,I335))/POWER(10,-I335),9)))+SUMPRODUCT(--(ROUND((J335-ROUND(J335,I335))/POWER(10,-I335),9)=ROUND((J335-ROUND(J335,I335))/POWER(10,-I335),9))))&lt;=-ROUND((ROUND(SUM(J335:L335),I335)-SUMPRODUCT(ROUND(J335:L335,I335)))/POWER(10,-I335),0)),0))</f>
        <v>0.52</v>
      </c>
      <c r="N335" s="15">
        <f>ROUND(K335,I335)+POWER(10,-I335)*(IF(ROUND((ROUND(SUM(J335:L335),I335)-SUMPRODUCT(ROUND(J335:L335,I335)))/POWER(10,-I335),0)&gt;0,--((SUMPRODUCT(--(ROUND((J335:L335-ROUND(J335:L335,I335))/POWER(10,-I335),9)&gt;ROUND((K335-ROUND(K335,I335))/POWER(10,-I335),9)))+SUMPRODUCT(--(ROUND((J335:K335-ROUND(J335:K335,I335))/POWER(10,-I335),9)=ROUND((K335-ROUND(K335,I335))/POWER(10,-I335),9))))&lt;=ROUND((ROUND(SUM(J335:L335),I335)-SUMPRODUCT(ROUND(J335:L335,I335)))/POWER(10,-I335),0)),0)-IF(ROUND((ROUND(SUM(J335:L335),I335)-SUMPRODUCT(ROUND(J335:L335,I335)))/POWER(10,-I335),0)&lt;0,--((SUMPRODUCT(--(ROUND((J335:L335-ROUND(J335:L335,I335))/POWER(10,-I335),9)&lt;ROUND((K335-ROUND(K335,I335))/POWER(10,-I335),9)))+SUMPRODUCT(--(ROUND((J335:K335-ROUND(J335:K335,I335))/POWER(10,-I335),9)=ROUND((K335-ROUND(K335,I335))/POWER(10,-I335),9))))&lt;=-ROUND((ROUND(SUM(J335:L335),I335)-SUMPRODUCT(ROUND(J335:L335,I335)))/POWER(10,-I335),0)),0))</f>
        <v>0.25</v>
      </c>
      <c r="O335" s="15">
        <f>ROUND(L335,I335)+POWER(10,-I335)*(IF(ROUND((ROUND(SUM(J335:L335),I335)-SUMPRODUCT(ROUND(J335:L335,I335)))/POWER(10,-I335),0)&gt;0,--((SUMPRODUCT(--(ROUND((J335:L335-ROUND(J335:L335,I335))/POWER(10,-I335),9)&gt;ROUND((L335-ROUND(L335,I335))/POWER(10,-I335),9)))+SUMPRODUCT(--(ROUND((J335:L335-ROUND(J335:L335,I335))/POWER(10,-I335),9)=ROUND((L335-ROUND(L335,I335))/POWER(10,-I335),9))))&lt;=ROUND((ROUND(SUM(J335:L335),I335)-SUMPRODUCT(ROUND(J335:L335,I335)))/POWER(10,-I335),0)),0)-IF(ROUND((ROUND(SUM(J335:L335),I335)-SUMPRODUCT(ROUND(J335:L335,I335)))/POWER(10,-I335),0)&lt;0,--((SUMPRODUCT(--(ROUND((J335:L335-ROUND(J335:L335,I335))/POWER(10,-I335),9)&lt;ROUND((L335-ROUND(L335,I335))/POWER(10,-I335),9)))+SUMPRODUCT(--(ROUND((J335:L335-ROUND(J335:L335,I335))/POWER(10,-I335),9)=ROUND((L335-ROUND(L335,I335))/POWER(10,-I335),9))))&lt;=-ROUND((ROUND(SUM(J335:L335),I335)-SUMPRODUCT(ROUND(J335:L335,I335)))/POWER(10,-I335),0)),0))</f>
        <v>0.22999999999999998</v>
      </c>
    </row>
    <row r="336" spans="1:15" x14ac:dyDescent="0.25">
      <c r="A336" t="str">
        <f>'E23'!$A$10</f>
        <v>Centro-Oeste</v>
      </c>
      <c r="B336" s="12">
        <f>_xlfn.AGGREGATE(9,6,'E23'!$B$10:$D$10)</f>
        <v>17656</v>
      </c>
      <c r="C336">
        <f>1</f>
        <v>1</v>
      </c>
      <c r="D336" s="15">
        <f>IF(AND(ISNUMBER('E23'!$B$10),B336&lt;&gt;0),'E23'!$B$10/B336,0)</f>
        <v>0.49733801540552786</v>
      </c>
      <c r="E336" s="15">
        <f>IF(AND(ISNUMBER('E23'!$C$10),B336&lt;&gt;0),'E23'!$C$10/B336,0)</f>
        <v>0.27599682827367467</v>
      </c>
      <c r="F336" s="15">
        <f>IF(AND(ISNUMBER('E23'!$D$10),B336&lt;&gt;0),'E23'!$D$10/B336,0)</f>
        <v>0.22666515632079745</v>
      </c>
      <c r="G336">
        <f>1.5</f>
        <v>1.5</v>
      </c>
      <c r="H336" t="e">
        <f>NA()</f>
        <v>#N/A</v>
      </c>
      <c r="I336">
        <v>2</v>
      </c>
      <c r="J336" s="15">
        <f>D336</f>
        <v>0.49733801540552786</v>
      </c>
      <c r="K336" s="15">
        <f>E336</f>
        <v>0.27599682827367467</v>
      </c>
      <c r="L336" s="15">
        <f>F336</f>
        <v>0.22666515632079745</v>
      </c>
      <c r="M336" s="15">
        <f>ROUND(J336,I336)+POWER(10,-I336)*(IF(ROUND((ROUND(SUM(J336:L336),I336)-SUMPRODUCT(ROUND(J336:L336,I336)))/POWER(10,-I336),0)&gt;0,--((SUMPRODUCT(--(ROUND((J336:L336-ROUND(J336:L336,I336))/POWER(10,-I336),9)&gt;ROUND((J336-ROUND(J336,I336))/POWER(10,-I336),9)))+SUMPRODUCT(--(ROUND((J336-ROUND(J336,I336))/POWER(10,-I336),9)=ROUND((J336-ROUND(J336,I336))/POWER(10,-I336),9))))&lt;=ROUND((ROUND(SUM(J336:L336),I336)-SUMPRODUCT(ROUND(J336:L336,I336)))/POWER(10,-I336),0)),0)-IF(ROUND((ROUND(SUM(J336:L336),I336)-SUMPRODUCT(ROUND(J336:L336,I336)))/POWER(10,-I336),0)&lt;0,--((SUMPRODUCT(--(ROUND((J336:L336-ROUND(J336:L336,I336))/POWER(10,-I336),9)&lt;ROUND((J336-ROUND(J336,I336))/POWER(10,-I336),9)))+SUMPRODUCT(--(ROUND((J336-ROUND(J336,I336))/POWER(10,-I336),9)=ROUND((J336-ROUND(J336,I336))/POWER(10,-I336),9))))&lt;=-ROUND((ROUND(SUM(J336:L336),I336)-SUMPRODUCT(ROUND(J336:L336,I336)))/POWER(10,-I336),0)),0))</f>
        <v>0.5</v>
      </c>
      <c r="N336" s="15">
        <f>ROUND(K336,I336)+POWER(10,-I336)*(IF(ROUND((ROUND(SUM(J336:L336),I336)-SUMPRODUCT(ROUND(J336:L336,I336)))/POWER(10,-I336),0)&gt;0,--((SUMPRODUCT(--(ROUND((J336:L336-ROUND(J336:L336,I336))/POWER(10,-I336),9)&gt;ROUND((K336-ROUND(K336,I336))/POWER(10,-I336),9)))+SUMPRODUCT(--(ROUND((J336:K336-ROUND(J336:K336,I336))/POWER(10,-I336),9)=ROUND((K336-ROUND(K336,I336))/POWER(10,-I336),9))))&lt;=ROUND((ROUND(SUM(J336:L336),I336)-SUMPRODUCT(ROUND(J336:L336,I336)))/POWER(10,-I336),0)),0)-IF(ROUND((ROUND(SUM(J336:L336),I336)-SUMPRODUCT(ROUND(J336:L336,I336)))/POWER(10,-I336),0)&lt;0,--((SUMPRODUCT(--(ROUND((J336:L336-ROUND(J336:L336,I336))/POWER(10,-I336),9)&lt;ROUND((K336-ROUND(K336,I336))/POWER(10,-I336),9)))+SUMPRODUCT(--(ROUND((J336:K336-ROUND(J336:K336,I336))/POWER(10,-I336),9)=ROUND((K336-ROUND(K336,I336))/POWER(10,-I336),9))))&lt;=-ROUND((ROUND(SUM(J336:L336),I336)-SUMPRODUCT(ROUND(J336:L336,I336)))/POWER(10,-I336),0)),0))</f>
        <v>0.27</v>
      </c>
      <c r="O336" s="15">
        <f>ROUND(L336,I336)+POWER(10,-I336)*(IF(ROUND((ROUND(SUM(J336:L336),I336)-SUMPRODUCT(ROUND(J336:L336,I336)))/POWER(10,-I336),0)&gt;0,--((SUMPRODUCT(--(ROUND((J336:L336-ROUND(J336:L336,I336))/POWER(10,-I336),9)&gt;ROUND((L336-ROUND(L336,I336))/POWER(10,-I336),9)))+SUMPRODUCT(--(ROUND((J336:L336-ROUND(J336:L336,I336))/POWER(10,-I336),9)=ROUND((L336-ROUND(L336,I336))/POWER(10,-I336),9))))&lt;=ROUND((ROUND(SUM(J336:L336),I336)-SUMPRODUCT(ROUND(J336:L336,I336)))/POWER(10,-I336),0)),0)-IF(ROUND((ROUND(SUM(J336:L336),I336)-SUMPRODUCT(ROUND(J336:L336,I336)))/POWER(10,-I336),0)&lt;0,--((SUMPRODUCT(--(ROUND((J336:L336-ROUND(J336:L336,I336))/POWER(10,-I336),9)&lt;ROUND((L336-ROUND(L336,I336))/POWER(10,-I336),9)))+SUMPRODUCT(--(ROUND((J336:L336-ROUND(J336:L336,I336))/POWER(10,-I336),9)=ROUND((L336-ROUND(L336,I336))/POWER(10,-I336),9))))&lt;=-ROUND((ROUND(SUM(J336:L336),I336)-SUMPRODUCT(ROUND(J336:L336,I336)))/POWER(10,-I336),0)),0))</f>
        <v>0.23</v>
      </c>
    </row>
    <row r="337" spans="1:15" x14ac:dyDescent="0.25">
      <c r="A337" t="str">
        <f>'E23'!$A$11</f>
        <v>Norte</v>
      </c>
      <c r="B337" s="12">
        <f>_xlfn.AGGREGATE(9,6,'E23'!$B$11:$D$11)</f>
        <v>9435</v>
      </c>
      <c r="C337">
        <f>1</f>
        <v>1</v>
      </c>
      <c r="D337" s="15">
        <f>IF(AND(ISNUMBER('E23'!$B$11),B337&lt;&gt;0),'E23'!$B$11/B337,0)</f>
        <v>0.56237413884472709</v>
      </c>
      <c r="E337" s="15">
        <f>IF(AND(ISNUMBER('E23'!$C$11),B337&lt;&gt;0),'E23'!$C$11/B337,0)</f>
        <v>0.21388447270800212</v>
      </c>
      <c r="F337" s="15">
        <f>IF(AND(ISNUMBER('E23'!$D$11),B337&lt;&gt;0),'E23'!$D$11/B337,0)</f>
        <v>0.22374138844727079</v>
      </c>
      <c r="G337">
        <f>0.5</f>
        <v>0.5</v>
      </c>
      <c r="H337" t="e">
        <f>NA()</f>
        <v>#N/A</v>
      </c>
      <c r="I337">
        <v>2</v>
      </c>
      <c r="J337" s="15">
        <f>D337</f>
        <v>0.56237413884472709</v>
      </c>
      <c r="K337" s="15">
        <f>E337</f>
        <v>0.21388447270800212</v>
      </c>
      <c r="L337" s="15">
        <f>F337</f>
        <v>0.22374138844727079</v>
      </c>
      <c r="M337" s="15">
        <f>ROUND(J337,I337)+POWER(10,-I337)*(IF(ROUND((ROUND(SUM(J337:L337),I337)-SUMPRODUCT(ROUND(J337:L337,I337)))/POWER(10,-I337),0)&gt;0,--((SUMPRODUCT(--(ROUND((J337:L337-ROUND(J337:L337,I337))/POWER(10,-I337),9)&gt;ROUND((J337-ROUND(J337,I337))/POWER(10,-I337),9)))+SUMPRODUCT(--(ROUND((J337-ROUND(J337,I337))/POWER(10,-I337),9)=ROUND((J337-ROUND(J337,I337))/POWER(10,-I337),9))))&lt;=ROUND((ROUND(SUM(J337:L337),I337)-SUMPRODUCT(ROUND(J337:L337,I337)))/POWER(10,-I337),0)),0)-IF(ROUND((ROUND(SUM(J337:L337),I337)-SUMPRODUCT(ROUND(J337:L337,I337)))/POWER(10,-I337),0)&lt;0,--((SUMPRODUCT(--(ROUND((J337:L337-ROUND(J337:L337,I337))/POWER(10,-I337),9)&lt;ROUND((J337-ROUND(J337,I337))/POWER(10,-I337),9)))+SUMPRODUCT(--(ROUND((J337-ROUND(J337,I337))/POWER(10,-I337),9)=ROUND((J337-ROUND(J337,I337))/POWER(10,-I337),9))))&lt;=-ROUND((ROUND(SUM(J337:L337),I337)-SUMPRODUCT(ROUND(J337:L337,I337)))/POWER(10,-I337),0)),0))</f>
        <v>0.56000000000000005</v>
      </c>
      <c r="N337" s="15">
        <f>ROUND(K337,I337)+POWER(10,-I337)*(IF(ROUND((ROUND(SUM(J337:L337),I337)-SUMPRODUCT(ROUND(J337:L337,I337)))/POWER(10,-I337),0)&gt;0,--((SUMPRODUCT(--(ROUND((J337:L337-ROUND(J337:L337,I337))/POWER(10,-I337),9)&gt;ROUND((K337-ROUND(K337,I337))/POWER(10,-I337),9)))+SUMPRODUCT(--(ROUND((J337:K337-ROUND(J337:K337,I337))/POWER(10,-I337),9)=ROUND((K337-ROUND(K337,I337))/POWER(10,-I337),9))))&lt;=ROUND((ROUND(SUM(J337:L337),I337)-SUMPRODUCT(ROUND(J337:L337,I337)))/POWER(10,-I337),0)),0)-IF(ROUND((ROUND(SUM(J337:L337),I337)-SUMPRODUCT(ROUND(J337:L337,I337)))/POWER(10,-I337),0)&lt;0,--((SUMPRODUCT(--(ROUND((J337:L337-ROUND(J337:L337,I337))/POWER(10,-I337),9)&lt;ROUND((K337-ROUND(K337,I337))/POWER(10,-I337),9)))+SUMPRODUCT(--(ROUND((J337:K337-ROUND(J337:K337,I337))/POWER(10,-I337),9)=ROUND((K337-ROUND(K337,I337))/POWER(10,-I337),9))))&lt;=-ROUND((ROUND(SUM(J337:L337),I337)-SUMPRODUCT(ROUND(J337:L337,I337)))/POWER(10,-I337),0)),0))</f>
        <v>0.22</v>
      </c>
      <c r="O337" s="15">
        <f>ROUND(L337,I337)+POWER(10,-I337)*(IF(ROUND((ROUND(SUM(J337:L337),I337)-SUMPRODUCT(ROUND(J337:L337,I337)))/POWER(10,-I337),0)&gt;0,--((SUMPRODUCT(--(ROUND((J337:L337-ROUND(J337:L337,I337))/POWER(10,-I337),9)&gt;ROUND((L337-ROUND(L337,I337))/POWER(10,-I337),9)))+SUMPRODUCT(--(ROUND((J337:L337-ROUND(J337:L337,I337))/POWER(10,-I337),9)=ROUND((L337-ROUND(L337,I337))/POWER(10,-I337),9))))&lt;=ROUND((ROUND(SUM(J337:L337),I337)-SUMPRODUCT(ROUND(J337:L337,I337)))/POWER(10,-I337),0)),0)-IF(ROUND((ROUND(SUM(J337:L337),I337)-SUMPRODUCT(ROUND(J337:L337,I337)))/POWER(10,-I337),0)&lt;0,--((SUMPRODUCT(--(ROUND((J337:L337-ROUND(J337:L337,I337))/POWER(10,-I337),9)&lt;ROUND((L337-ROUND(L337,I337))/POWER(10,-I337),9)))+SUMPRODUCT(--(ROUND((J337:L337-ROUND(J337:L337,I337))/POWER(10,-I337),9)=ROUND((L337-ROUND(L337,I337))/POWER(10,-I337),9))))&lt;=-ROUND((ROUND(SUM(J337:L337),I337)-SUMPRODUCT(ROUND(J337:L337,I337)))/POWER(10,-I337),0)),0))</f>
        <v>0.22</v>
      </c>
    </row>
    <row r="339" spans="1:15" x14ac:dyDescent="0.25">
      <c r="A339" s="11" t="s">
        <v>314</v>
      </c>
      <c r="B339" s="5" t="s">
        <v>59</v>
      </c>
      <c r="C339" s="5" t="str">
        <f>"'E24'!$A$6:$C$14"</f>
        <v>'E24'!$A$6:$C$14</v>
      </c>
      <c r="D339" s="11" t="s">
        <v>316</v>
      </c>
      <c r="E339" s="5"/>
      <c r="F339">
        <v>37000</v>
      </c>
    </row>
    <row r="340" spans="1:15" x14ac:dyDescent="0.25">
      <c r="A340" t="s">
        <v>60</v>
      </c>
      <c r="B340" t="s">
        <v>61</v>
      </c>
      <c r="C340" t="s">
        <v>62</v>
      </c>
      <c r="D340" t="s">
        <v>63</v>
      </c>
      <c r="E340" t="s">
        <v>64</v>
      </c>
      <c r="F340" t="s">
        <v>315</v>
      </c>
    </row>
    <row r="341" spans="1:15" x14ac:dyDescent="0.25">
      <c r="A341" t="str">
        <f>'E24'!$A$7</f>
        <v>Cimento e argamassa</v>
      </c>
      <c r="B341" s="12">
        <f>_xlfn.AGGREGATE(9,6,'E24'!$B$7:$C$7)</f>
        <v>43324</v>
      </c>
      <c r="C341">
        <f>IF(SUMIF('E24'!$B$7:$C$7,"&gt;0")&gt;0,SUMIF('E24'!$B$7:$C$7,"&gt;0"),SUMIF('E24'!$B$7:$C$7,"&lt;0"))</f>
        <v>43324</v>
      </c>
      <c r="D341">
        <f>7.5</f>
        <v>7.5</v>
      </c>
      <c r="E341">
        <f>AVERAGE($B$341:$B$348)</f>
        <v>16213.75</v>
      </c>
      <c r="F341">
        <f>MIN(C341,$F$339)</f>
        <v>37000</v>
      </c>
    </row>
    <row r="342" spans="1:15" x14ac:dyDescent="0.25">
      <c r="A342" t="str">
        <f>'E24'!$A$8</f>
        <v>Pisos</v>
      </c>
      <c r="B342" s="12">
        <f>_xlfn.AGGREGATE(9,6,'E24'!$B$8:$C$8)</f>
        <v>23770</v>
      </c>
      <c r="C342">
        <f>IF(SUMIF('E24'!$B$8:$C$8,"&gt;0")&gt;0,SUMIF('E24'!$B$8:$C$8,"&gt;0"),SUMIF('E24'!$B$8:$C$8,"&lt;0"))</f>
        <v>23770</v>
      </c>
      <c r="D342">
        <f>6.5</f>
        <v>6.5</v>
      </c>
      <c r="E342">
        <f>AVERAGE($B$341:$B$348)</f>
        <v>16213.75</v>
      </c>
      <c r="F342">
        <f>MIN(C342,$F$339)</f>
        <v>23770</v>
      </c>
    </row>
    <row r="343" spans="1:15" x14ac:dyDescent="0.25">
      <c r="A343" t="str">
        <f>'E24'!$A$9</f>
        <v>Tintas</v>
      </c>
      <c r="B343" s="12">
        <f>_xlfn.AGGREGATE(9,6,'E24'!$B$9:$C$9)</f>
        <v>15702</v>
      </c>
      <c r="C343">
        <f>IF(SUMIF('E24'!$B$9:$C$9,"&gt;0")&gt;0,SUMIF('E24'!$B$9:$C$9,"&gt;0"),SUMIF('E24'!$B$9:$C$9,"&lt;0"))</f>
        <v>15702</v>
      </c>
      <c r="D343">
        <f>5.5</f>
        <v>5.5</v>
      </c>
      <c r="E343">
        <f>AVERAGE($B$341:$B$348)</f>
        <v>16213.75</v>
      </c>
      <c r="F343">
        <f>MIN(C343,$F$339)</f>
        <v>15702</v>
      </c>
    </row>
    <row r="344" spans="1:15" x14ac:dyDescent="0.25">
      <c r="A344" t="str">
        <f>'E24'!$A$10</f>
        <v>Hidráulica</v>
      </c>
      <c r="B344" s="12">
        <f>_xlfn.AGGREGATE(9,6,'E24'!$B$10:$C$10)</f>
        <v>12317</v>
      </c>
      <c r="C344">
        <f>IF(SUMIF('E24'!$B$10:$C$10,"&gt;0")&gt;0,SUMIF('E24'!$B$10:$C$10,"&gt;0"),SUMIF('E24'!$B$10:$C$10,"&lt;0"))</f>
        <v>12317</v>
      </c>
      <c r="D344">
        <f>4.5</f>
        <v>4.5</v>
      </c>
      <c r="E344">
        <f>AVERAGE($B$341:$B$348)</f>
        <v>16213.75</v>
      </c>
      <c r="F344">
        <f>MIN(C344,$F$339)</f>
        <v>12317</v>
      </c>
    </row>
    <row r="345" spans="1:15" x14ac:dyDescent="0.25">
      <c r="A345" t="str">
        <f>'E24'!$A$11</f>
        <v>Elétrica</v>
      </c>
      <c r="B345" s="12">
        <f>_xlfn.AGGREGATE(9,6,'E24'!$B$11:$C$11)</f>
        <v>11549</v>
      </c>
      <c r="C345">
        <f>IF(SUMIF('E24'!$B$11:$C$11,"&gt;0")&gt;0,SUMIF('E24'!$B$11:$C$11,"&gt;0"),SUMIF('E24'!$B$11:$C$11,"&lt;0"))</f>
        <v>11549</v>
      </c>
      <c r="D345">
        <f>3.5</f>
        <v>3.5</v>
      </c>
      <c r="E345">
        <f>AVERAGE($B$341:$B$348)</f>
        <v>16213.75</v>
      </c>
      <c r="F345">
        <f>MIN(C345,$F$339)</f>
        <v>11549</v>
      </c>
    </row>
    <row r="346" spans="1:15" x14ac:dyDescent="0.25">
      <c r="A346" t="str">
        <f>'E24'!$A$12</f>
        <v>Madeiras</v>
      </c>
      <c r="B346" s="12">
        <f>_xlfn.AGGREGATE(9,6,'E24'!$B$12:$C$12)</f>
        <v>9250</v>
      </c>
      <c r="C346">
        <f>IF(SUMIF('E24'!$B$12:$C$12,"&gt;0")&gt;0,SUMIF('E24'!$B$12:$C$12,"&gt;0"),SUMIF('E24'!$B$12:$C$12,"&lt;0"))</f>
        <v>9250</v>
      </c>
      <c r="D346">
        <f>2.5</f>
        <v>2.5</v>
      </c>
      <c r="E346">
        <f>AVERAGE($B$341:$B$348)</f>
        <v>16213.75</v>
      </c>
      <c r="F346">
        <f>MIN(C346,$F$339)</f>
        <v>9250</v>
      </c>
    </row>
    <row r="347" spans="1:15" x14ac:dyDescent="0.25">
      <c r="A347" t="str">
        <f>'E24'!$A$13</f>
        <v>Ferramentas</v>
      </c>
      <c r="B347" s="12">
        <f>_xlfn.AGGREGATE(9,6,'E24'!$B$13:$C$13)</f>
        <v>8310</v>
      </c>
      <c r="C347">
        <f>IF(SUMIF('E24'!$B$13:$C$13,"&gt;0")&gt;0,SUMIF('E24'!$B$13:$C$13,"&gt;0"),SUMIF('E24'!$B$13:$C$13,"&lt;0"))</f>
        <v>8310</v>
      </c>
      <c r="D347">
        <f>1.5</f>
        <v>1.5</v>
      </c>
      <c r="E347">
        <f>AVERAGE($B$341:$B$348)</f>
        <v>16213.75</v>
      </c>
      <c r="F347">
        <f>MIN(C347,$F$339)</f>
        <v>8310</v>
      </c>
    </row>
    <row r="348" spans="1:15" x14ac:dyDescent="0.25">
      <c r="A348" t="str">
        <f>'E24'!$A$14</f>
        <v>Ferragens</v>
      </c>
      <c r="B348" s="12">
        <f>_xlfn.AGGREGATE(9,6,'E24'!$B$14:$C$14)</f>
        <v>5488</v>
      </c>
      <c r="C348">
        <f>IF(SUMIF('E24'!$B$14:$C$14,"&gt;0")&gt;0,SUMIF('E24'!$B$14:$C$14,"&gt;0"),SUMIF('E24'!$B$14:$C$14,"&lt;0"))</f>
        <v>5488</v>
      </c>
      <c r="D348">
        <f>0.5</f>
        <v>0.5</v>
      </c>
      <c r="E348">
        <f>AVERAGE($B$341:$B$348)</f>
        <v>16213.75</v>
      </c>
      <c r="F348">
        <f>MIN(C348,$F$339)</f>
        <v>5488</v>
      </c>
    </row>
    <row r="350" spans="1:15" x14ac:dyDescent="0.25">
      <c r="A350" s="11" t="s">
        <v>320</v>
      </c>
      <c r="B350" s="5" t="s">
        <v>70</v>
      </c>
      <c r="C350" s="5" t="str">
        <f>"'E25'!$A$6:$C$8"</f>
        <v>'E25'!$A$6:$C$8</v>
      </c>
      <c r="D350" s="11" t="s">
        <v>322</v>
      </c>
      <c r="E350" s="5"/>
    </row>
    <row r="351" spans="1:15" x14ac:dyDescent="0.25">
      <c r="A351" t="s">
        <v>60</v>
      </c>
      <c r="B351" t="s">
        <v>61</v>
      </c>
      <c r="C351" t="s">
        <v>62</v>
      </c>
      <c r="D351" t="s">
        <v>63</v>
      </c>
      <c r="E351" t="s">
        <v>64</v>
      </c>
    </row>
    <row r="352" spans="1:15" x14ac:dyDescent="0.25">
      <c r="A352" s="21">
        <f>'E25'!$A$7</f>
        <v>2024</v>
      </c>
      <c r="B352">
        <f>_xlfn.AGGREGATE(9,6,'E25'!$B$7:$C$7)</f>
        <v>39364</v>
      </c>
      <c r="C352">
        <f>B352</f>
        <v>39364</v>
      </c>
      <c r="D352">
        <f>1.5</f>
        <v>1.5</v>
      </c>
      <c r="E352">
        <f>IFERROR(_xlfn.AGGREGATE(1,6,'E25'!$B$7:$C$8),0)</f>
        <v>20894.25</v>
      </c>
    </row>
    <row r="353" spans="1:5" x14ac:dyDescent="0.25">
      <c r="A353" s="21">
        <f>'E25'!$A$8</f>
        <v>2025</v>
      </c>
      <c r="B353">
        <f>_xlfn.AGGREGATE(9,6,'E25'!$B$8:$C$8)</f>
        <v>44213</v>
      </c>
      <c r="C353">
        <f>B353</f>
        <v>44213</v>
      </c>
      <c r="D353">
        <f>0.5</f>
        <v>0.5</v>
      </c>
      <c r="E353">
        <f>IFERROR(_xlfn.AGGREGATE(1,6,'E25'!$B$7:$C$8),0)</f>
        <v>20894.25</v>
      </c>
    </row>
    <row r="355" spans="1:5" x14ac:dyDescent="0.25">
      <c r="A355" s="11" t="s">
        <v>321</v>
      </c>
      <c r="B355" s="5" t="s">
        <v>70</v>
      </c>
      <c r="C355" s="5" t="str">
        <f>"'E25'!$A$11:$C$13"</f>
        <v>'E25'!$A$11:$C$13</v>
      </c>
      <c r="D355" s="11" t="s">
        <v>322</v>
      </c>
      <c r="E355" s="5"/>
    </row>
    <row r="356" spans="1:5" x14ac:dyDescent="0.25">
      <c r="A356" t="s">
        <v>60</v>
      </c>
      <c r="B356" t="s">
        <v>61</v>
      </c>
      <c r="C356" t="s">
        <v>62</v>
      </c>
      <c r="D356" t="s">
        <v>63</v>
      </c>
      <c r="E356" t="s">
        <v>64</v>
      </c>
    </row>
    <row r="357" spans="1:5" x14ac:dyDescent="0.25">
      <c r="A357" s="21">
        <f>'E25'!$A$12</f>
        <v>2024</v>
      </c>
      <c r="B357">
        <f>_xlfn.AGGREGATE(9,6,'E25'!$B$12:$C$12)</f>
        <v>14767</v>
      </c>
      <c r="C357">
        <f>B357</f>
        <v>14767</v>
      </c>
      <c r="D357">
        <f>1.5</f>
        <v>1.5</v>
      </c>
      <c r="E357">
        <f>IFERROR(_xlfn.AGGREGATE(1,6,'E25'!$B$12:$C$13),0)</f>
        <v>7687</v>
      </c>
    </row>
    <row r="358" spans="1:5" x14ac:dyDescent="0.25">
      <c r="A358" s="21">
        <f>'E25'!$A$13</f>
        <v>2025</v>
      </c>
      <c r="B358">
        <f>_xlfn.AGGREGATE(9,6,'E25'!$B$13:$C$13)</f>
        <v>15981</v>
      </c>
      <c r="C358">
        <f>B358</f>
        <v>15981</v>
      </c>
      <c r="D358">
        <f>0.5</f>
        <v>0.5</v>
      </c>
      <c r="E358">
        <f>IFERROR(_xlfn.AGGREGATE(1,6,'E25'!$B$12:$C$13),0)</f>
        <v>7687</v>
      </c>
    </row>
    <row r="360" spans="1:5" x14ac:dyDescent="0.25">
      <c r="A360" s="11" t="s">
        <v>328</v>
      </c>
      <c r="B360" s="5" t="s">
        <v>87</v>
      </c>
      <c r="C360" s="5" t="str">
        <f>"'E26'!$A$6:$B$18"</f>
        <v>'E26'!$A$6:$B$18</v>
      </c>
      <c r="D360" s="11" t="s">
        <v>329</v>
      </c>
      <c r="E360" s="5"/>
    </row>
    <row r="361" spans="1:5" x14ac:dyDescent="0.25">
      <c r="A361" t="s">
        <v>60</v>
      </c>
      <c r="B361" t="s">
        <v>61</v>
      </c>
      <c r="C361" t="s">
        <v>62</v>
      </c>
      <c r="D361" t="s">
        <v>63</v>
      </c>
      <c r="E361" t="s">
        <v>64</v>
      </c>
    </row>
    <row r="362" spans="1:5" x14ac:dyDescent="0.25">
      <c r="A362">
        <f>'E26'!$A$7</f>
        <v>45658</v>
      </c>
      <c r="B362">
        <f>_xlfn.AGGREGATE(9,6,'E26'!$B$7)</f>
        <v>2072</v>
      </c>
      <c r="C362">
        <f>B362</f>
        <v>2072</v>
      </c>
      <c r="D362">
        <f>11.5</f>
        <v>11.5</v>
      </c>
      <c r="E362">
        <f>IFERROR(_xlfn.AGGREGATE(1,6,'E26'!$B$7:$B$18),0)</f>
        <v>2183.1666666666665</v>
      </c>
    </row>
    <row r="363" spans="1:5" x14ac:dyDescent="0.25">
      <c r="A363">
        <f>'E26'!$A$8</f>
        <v>45689</v>
      </c>
      <c r="B363">
        <f>_xlfn.AGGREGATE(9,6,'E26'!$B$8)</f>
        <v>1976</v>
      </c>
      <c r="C363">
        <f>B363</f>
        <v>1976</v>
      </c>
      <c r="D363">
        <f>10.5</f>
        <v>10.5</v>
      </c>
      <c r="E363">
        <f>IFERROR(_xlfn.AGGREGATE(1,6,'E26'!$B$7:$B$18),0)</f>
        <v>2183.1666666666665</v>
      </c>
    </row>
    <row r="364" spans="1:5" x14ac:dyDescent="0.25">
      <c r="A364">
        <f>'E26'!$A$9</f>
        <v>45717</v>
      </c>
      <c r="B364">
        <f>_xlfn.AGGREGATE(9,6,'E26'!$B$9)</f>
        <v>1903</v>
      </c>
      <c r="C364">
        <f>B364</f>
        <v>1903</v>
      </c>
      <c r="D364">
        <f>9.5</f>
        <v>9.5</v>
      </c>
      <c r="E364">
        <f>IFERROR(_xlfn.AGGREGATE(1,6,'E26'!$B$7:$B$18),0)</f>
        <v>2183.1666666666665</v>
      </c>
    </row>
    <row r="365" spans="1:5" x14ac:dyDescent="0.25">
      <c r="A365">
        <f>'E26'!$A$10</f>
        <v>45748</v>
      </c>
      <c r="B365">
        <f>_xlfn.AGGREGATE(9,6,'E26'!$B$10)</f>
        <v>1890</v>
      </c>
      <c r="C365">
        <f>B365</f>
        <v>1890</v>
      </c>
      <c r="D365">
        <f>8.5</f>
        <v>8.5</v>
      </c>
      <c r="E365">
        <f>IFERROR(_xlfn.AGGREGATE(1,6,'E26'!$B$7:$B$18),0)</f>
        <v>2183.1666666666665</v>
      </c>
    </row>
    <row r="366" spans="1:5" x14ac:dyDescent="0.25">
      <c r="A366">
        <f>'E26'!$A$11</f>
        <v>45778</v>
      </c>
      <c r="B366">
        <f>_xlfn.AGGREGATE(9,6,'E26'!$B$11)</f>
        <v>1950</v>
      </c>
      <c r="C366">
        <f>B366</f>
        <v>1950</v>
      </c>
      <c r="D366">
        <f>7.5</f>
        <v>7.5</v>
      </c>
      <c r="E366">
        <f>IFERROR(_xlfn.AGGREGATE(1,6,'E26'!$B$7:$B$18),0)</f>
        <v>2183.1666666666665</v>
      </c>
    </row>
    <row r="367" spans="1:5" x14ac:dyDescent="0.25">
      <c r="A367">
        <f>'E26'!$A$12</f>
        <v>45809</v>
      </c>
      <c r="B367">
        <f>_xlfn.AGGREGATE(9,6,'E26'!$B$12)</f>
        <v>2094</v>
      </c>
      <c r="C367">
        <f>B367</f>
        <v>2094</v>
      </c>
      <c r="D367">
        <f>6.5</f>
        <v>6.5</v>
      </c>
      <c r="E367">
        <f>IFERROR(_xlfn.AGGREGATE(1,6,'E26'!$B$7:$B$18),0)</f>
        <v>2183.1666666666665</v>
      </c>
    </row>
    <row r="368" spans="1:5" x14ac:dyDescent="0.25">
      <c r="A368">
        <f>'E26'!$A$13</f>
        <v>45839</v>
      </c>
      <c r="B368">
        <f>_xlfn.AGGREGATE(9,6,'E26'!$B$13)</f>
        <v>2248</v>
      </c>
      <c r="C368">
        <f>B368</f>
        <v>2248</v>
      </c>
      <c r="D368">
        <f>5.5</f>
        <v>5.5</v>
      </c>
      <c r="E368">
        <f>IFERROR(_xlfn.AGGREGATE(1,6,'E26'!$B$7:$B$18),0)</f>
        <v>2183.1666666666665</v>
      </c>
    </row>
    <row r="369" spans="1:58" x14ac:dyDescent="0.25">
      <c r="A369">
        <f>'E26'!$A$14</f>
        <v>45870</v>
      </c>
      <c r="B369">
        <f>_xlfn.AGGREGATE(9,6,'E26'!$B$14)</f>
        <v>2332</v>
      </c>
      <c r="C369">
        <f>B369</f>
        <v>2332</v>
      </c>
      <c r="D369">
        <f>4.5</f>
        <v>4.5</v>
      </c>
      <c r="E369">
        <f>IFERROR(_xlfn.AGGREGATE(1,6,'E26'!$B$7:$B$18),0)</f>
        <v>2183.1666666666665</v>
      </c>
    </row>
    <row r="370" spans="1:58" x14ac:dyDescent="0.25">
      <c r="A370">
        <f>'E26'!$A$15</f>
        <v>45901</v>
      </c>
      <c r="B370">
        <f>_xlfn.AGGREGATE(9,6,'E26'!$B$15)</f>
        <v>2372</v>
      </c>
      <c r="C370">
        <f>B370</f>
        <v>2372</v>
      </c>
      <c r="D370">
        <f>3.5</f>
        <v>3.5</v>
      </c>
      <c r="E370">
        <f>IFERROR(_xlfn.AGGREGATE(1,6,'E26'!$B$7:$B$18),0)</f>
        <v>2183.1666666666665</v>
      </c>
    </row>
    <row r="371" spans="1:58" x14ac:dyDescent="0.25">
      <c r="A371">
        <f>'E26'!$A$16</f>
        <v>45931</v>
      </c>
      <c r="B371">
        <f>_xlfn.AGGREGATE(9,6,'E26'!$B$16)</f>
        <v>2444</v>
      </c>
      <c r="C371">
        <f>B371</f>
        <v>2444</v>
      </c>
      <c r="D371">
        <f>2.5</f>
        <v>2.5</v>
      </c>
      <c r="E371">
        <f>IFERROR(_xlfn.AGGREGATE(1,6,'E26'!$B$7:$B$18),0)</f>
        <v>2183.1666666666665</v>
      </c>
    </row>
    <row r="372" spans="1:58" x14ac:dyDescent="0.25">
      <c r="A372">
        <f>'E26'!$A$17</f>
        <v>45962</v>
      </c>
      <c r="B372">
        <f>_xlfn.AGGREGATE(9,6,'E26'!$B$17)</f>
        <v>2467</v>
      </c>
      <c r="C372">
        <f>B372</f>
        <v>2467</v>
      </c>
      <c r="D372">
        <f>1.5</f>
        <v>1.5</v>
      </c>
      <c r="E372">
        <f>IFERROR(_xlfn.AGGREGATE(1,6,'E26'!$B$7:$B$18),0)</f>
        <v>2183.1666666666665</v>
      </c>
    </row>
    <row r="373" spans="1:58" x14ac:dyDescent="0.25">
      <c r="A373">
        <f>'E26'!$A$18</f>
        <v>45992</v>
      </c>
      <c r="B373">
        <f>_xlfn.AGGREGATE(9,6,'E26'!$B$18)</f>
        <v>2450</v>
      </c>
      <c r="C373">
        <f>B373</f>
        <v>2450</v>
      </c>
      <c r="D373">
        <f>0.5</f>
        <v>0.5</v>
      </c>
      <c r="E373">
        <f>IFERROR(_xlfn.AGGREGATE(1,6,'E26'!$B$7:$B$18),0)</f>
        <v>2183.1666666666665</v>
      </c>
    </row>
    <row r="375" spans="1:58" x14ac:dyDescent="0.25">
      <c r="A375" s="11" t="s">
        <v>333</v>
      </c>
      <c r="B375" s="5" t="s">
        <v>334</v>
      </c>
      <c r="C375" s="5" t="str">
        <f>"'E27'!$A$6:$C$13"</f>
        <v>'E27'!$A$6:$C$13</v>
      </c>
      <c r="D375" s="11" t="s">
        <v>392</v>
      </c>
      <c r="E375" s="5">
        <v>0.64720631102594939</v>
      </c>
      <c r="F375" s="5">
        <v>0.38461538461538464</v>
      </c>
      <c r="G375" s="5">
        <v>1</v>
      </c>
      <c r="H375" s="5">
        <v>1</v>
      </c>
      <c r="I375" s="11"/>
      <c r="J375" s="11"/>
      <c r="K375" s="5">
        <v>0</v>
      </c>
      <c r="L375" s="5">
        <v>1</v>
      </c>
      <c r="M375" s="5">
        <v>1</v>
      </c>
      <c r="N375" s="5">
        <v>1</v>
      </c>
      <c r="O375" s="5">
        <v>1</v>
      </c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</row>
    <row r="376" spans="1:58" x14ac:dyDescent="0.25">
      <c r="A376" t="s">
        <v>104</v>
      </c>
      <c r="B376" t="s">
        <v>335</v>
      </c>
      <c r="C376" t="s">
        <v>336</v>
      </c>
      <c r="D376" t="s">
        <v>337</v>
      </c>
      <c r="E376" t="s">
        <v>338</v>
      </c>
      <c r="F376" t="s">
        <v>339</v>
      </c>
      <c r="G376" t="s">
        <v>340</v>
      </c>
      <c r="H376" t="s">
        <v>341</v>
      </c>
      <c r="I376" t="s">
        <v>342</v>
      </c>
      <c r="J376" t="s">
        <v>343</v>
      </c>
      <c r="K376" t="s">
        <v>344</v>
      </c>
      <c r="L376" t="s">
        <v>345</v>
      </c>
      <c r="M376" t="s">
        <v>346</v>
      </c>
      <c r="N376" t="s">
        <v>347</v>
      </c>
      <c r="O376" t="s">
        <v>348</v>
      </c>
      <c r="P376" t="s">
        <v>349</v>
      </c>
      <c r="Q376" t="s">
        <v>350</v>
      </c>
      <c r="R376" t="s">
        <v>351</v>
      </c>
      <c r="S376" t="s">
        <v>352</v>
      </c>
      <c r="T376" t="s">
        <v>353</v>
      </c>
      <c r="U376" t="s">
        <v>354</v>
      </c>
      <c r="V376" t="s">
        <v>355</v>
      </c>
      <c r="W376" t="s">
        <v>356</v>
      </c>
      <c r="X376" t="s">
        <v>357</v>
      </c>
      <c r="Y376" t="s">
        <v>358</v>
      </c>
      <c r="Z376" t="s">
        <v>359</v>
      </c>
      <c r="AA376" t="s">
        <v>360</v>
      </c>
      <c r="AB376" t="s">
        <v>361</v>
      </c>
      <c r="AC376" t="s">
        <v>362</v>
      </c>
      <c r="AD376" t="s">
        <v>363</v>
      </c>
      <c r="AE376" t="s">
        <v>364</v>
      </c>
      <c r="AF376" t="s">
        <v>365</v>
      </c>
      <c r="AG376" t="s">
        <v>366</v>
      </c>
      <c r="AH376" t="s">
        <v>367</v>
      </c>
      <c r="AI376" t="s">
        <v>368</v>
      </c>
      <c r="AJ376" t="s">
        <v>369</v>
      </c>
      <c r="AK376" t="s">
        <v>370</v>
      </c>
      <c r="AL376" t="s">
        <v>371</v>
      </c>
      <c r="AM376" t="s">
        <v>372</v>
      </c>
      <c r="AN376" t="s">
        <v>198</v>
      </c>
      <c r="AO376" t="s">
        <v>373</v>
      </c>
      <c r="AP376" t="s">
        <v>374</v>
      </c>
      <c r="AQ376" t="s">
        <v>375</v>
      </c>
      <c r="AR376" t="s">
        <v>376</v>
      </c>
      <c r="AS376" t="s">
        <v>377</v>
      </c>
      <c r="AT376" t="s">
        <v>378</v>
      </c>
      <c r="AU376" t="s">
        <v>379</v>
      </c>
      <c r="AV376" t="s">
        <v>380</v>
      </c>
      <c r="AW376" t="s">
        <v>381</v>
      </c>
      <c r="AX376" t="s">
        <v>382</v>
      </c>
      <c r="AY376" t="s">
        <v>383</v>
      </c>
      <c r="AZ376" t="s">
        <v>384</v>
      </c>
      <c r="BA376" t="s">
        <v>385</v>
      </c>
      <c r="BB376" t="s">
        <v>386</v>
      </c>
      <c r="BC376" t="s">
        <v>387</v>
      </c>
      <c r="BD376" t="s">
        <v>388</v>
      </c>
      <c r="BE376" t="s">
        <v>389</v>
      </c>
      <c r="BF376" t="s">
        <v>390</v>
      </c>
    </row>
    <row r="377" spans="1:58" x14ac:dyDescent="0.25">
      <c r="A377" s="20" t="str">
        <f>IF(ISBLANK('E27'!$A$7)," ",'E27'!$A$7)</f>
        <v>Receita bruta</v>
      </c>
      <c r="B377">
        <f>'E27'!$B$7</f>
        <v>117.2</v>
      </c>
      <c r="C377" t="b">
        <f>IF(ISERROR(B377),FALSE,IF(ISNUMBER(B377),FALSE,OR(LOWER(TRIM(B377&amp;""))={"e","t","=","total","subtotal"})))</f>
        <v>0</v>
      </c>
      <c r="D377">
        <f>IF(C377,0,IF(ISNUMBER(B377),B377,0))</f>
        <v>117.2</v>
      </c>
      <c r="E377">
        <f>0</f>
        <v>0</v>
      </c>
      <c r="F377">
        <f>IF(C377,E377,E377+D377)</f>
        <v>117.2</v>
      </c>
      <c r="G377">
        <f>IF(C377,MIN(0,F377),MIN(E377,F377))</f>
        <v>0</v>
      </c>
      <c r="H377">
        <f>IF(C377,MAX(0,F377),MAX(E377,F377))</f>
        <v>117.2</v>
      </c>
      <c r="I377">
        <f>MAX(0,G377)+MIN(0,H377)</f>
        <v>0</v>
      </c>
      <c r="J377">
        <f>MAX(0,H377)-MAX(0,G377)</f>
        <v>117.2</v>
      </c>
      <c r="K377">
        <f>MIN(0,G377)-MIN(0,H377)</f>
        <v>0</v>
      </c>
      <c r="L377">
        <f>IF(M377,F377,D377)</f>
        <v>117.2</v>
      </c>
      <c r="M377" t="b">
        <f>TRUE</f>
        <v>1</v>
      </c>
      <c r="N377">
        <f>'E27'!$C$7</f>
        <v>129.69999999999999</v>
      </c>
      <c r="O377" t="b">
        <f>IF(ISERROR(N377),FALSE,IF(ISNUMBER(N377),FALSE,OR(LOWER(TRIM(N377&amp;""))={"e","t","=","total","subtotal"})))</f>
        <v>0</v>
      </c>
      <c r="P377">
        <f>IF(O377,0,IF(ISNUMBER(N377),N377,0))</f>
        <v>129.69999999999999</v>
      </c>
      <c r="Q377">
        <f>0</f>
        <v>0</v>
      </c>
      <c r="R377">
        <f>IF(O377,Q377,Q377+P377)</f>
        <v>129.69999999999999</v>
      </c>
      <c r="S377">
        <f>IF(O377,MIN(0,R377),MIN(Q377,R377))</f>
        <v>0</v>
      </c>
      <c r="T377">
        <f>IF(O377,MAX(0,R377),MAX(Q377,R377))</f>
        <v>129.69999999999999</v>
      </c>
      <c r="U377">
        <f>MAX(0,S377)+MIN(0,T377)</f>
        <v>0</v>
      </c>
      <c r="V377">
        <f>MAX(0,T377)-MAX(0,S377)</f>
        <v>129.69999999999999</v>
      </c>
      <c r="W377">
        <f>MIN(0,S377)-MIN(0,T377)</f>
        <v>0</v>
      </c>
      <c r="X377">
        <f>IF(Y377,R377,P377)</f>
        <v>129.69999999999999</v>
      </c>
      <c r="Y377" t="b">
        <f>TRUE</f>
        <v>1</v>
      </c>
      <c r="Z377" t="str">
        <f>IF(M377&lt;&gt;Y377,"n/d",IF($K$375=1,IF(ROUND((X377-L377)/$G$375,$H$375)&gt;0,"+","")&amp;FIXED(ROUND((X377-L377)/$G$375,$H$375),$H$375)&amp;$J$375,IF(OR(L377=0,L377*X377&lt;0),"n/d",IF(ROUND(100*(X377-L377)/L377,0)&gt;0,"+","")&amp;FIXED(ROUND(100*(X377-L377)/L377,0),0)&amp;"%")))</f>
        <v>+11%</v>
      </c>
      <c r="AA377" t="str">
        <f>IF(M377,FIXED(ROUND(F377/$G$375,$H$375),$H$375)&amp;$I$375,"")</f>
        <v>117,2</v>
      </c>
      <c r="AB377" t="str">
        <f>IF(Y377,FIXED(ROUND(R377/$G$375,$H$375),$H$375)&amp;$I$375,"")</f>
        <v>129,7</v>
      </c>
      <c r="AC377" s="20" t="str">
        <f>A377</f>
        <v>Receita bruta</v>
      </c>
      <c r="AD377" t="s">
        <v>391</v>
      </c>
      <c r="AE377">
        <f>I377</f>
        <v>0</v>
      </c>
      <c r="AF377">
        <f>J377</f>
        <v>117.2</v>
      </c>
      <c r="AG377">
        <f>K377</f>
        <v>0</v>
      </c>
      <c r="AH377">
        <f>0</f>
        <v>0</v>
      </c>
      <c r="AI377">
        <f>0</f>
        <v>0</v>
      </c>
      <c r="AJ377" t="e">
        <f>IF(M377,NA(),(G377+H377)/2)</f>
        <v>#N/A</v>
      </c>
      <c r="AK377" s="14" t="str">
        <f>IF(OR(M377,AP377=0),"",D377)</f>
        <v/>
      </c>
      <c r="AL377" t="e">
        <f>NA()</f>
        <v>#N/A</v>
      </c>
      <c r="AM377" s="14" t="str">
        <f>""</f>
        <v/>
      </c>
      <c r="AN377">
        <f>IF(M377,IF(F377&gt;=0,H377,G377),NA())</f>
        <v>117.2</v>
      </c>
      <c r="AO377" s="12" t="str">
        <f>IF(AP377=0,IF(M377,FIXED(ROUND(F377/$G$375,$H$375),$H$375)&amp;$I$375,""),AA377)</f>
        <v>117,2</v>
      </c>
      <c r="AP377">
        <v>1</v>
      </c>
      <c r="AQ377">
        <f>H377</f>
        <v>117.2</v>
      </c>
      <c r="AR377">
        <f>1+$F$375</f>
        <v>1.3846153846153846</v>
      </c>
      <c r="AS377">
        <f>F377</f>
        <v>117.2</v>
      </c>
      <c r="AT377">
        <f>3-2*$F$375</f>
        <v>2.2307692307692308</v>
      </c>
      <c r="AU377">
        <f>2+$F$375</f>
        <v>2.3846153846153846</v>
      </c>
      <c r="AV377">
        <f>R377</f>
        <v>129.69999999999999</v>
      </c>
      <c r="AW377">
        <f>1</f>
        <v>1</v>
      </c>
      <c r="AX377">
        <f>(H377+$E$375*IF(AND(M377,$L$375=1,F377&gt;=0),22,3))</f>
        <v>131.43853884257089</v>
      </c>
      <c r="AZ377">
        <f>3/2</f>
        <v>1.5</v>
      </c>
      <c r="BA377">
        <f>(MAX((H377+$E$375*IF(AND(M377,$L$375=1,F377&gt;=0),22,3)),(T377+$E$375*IF(AND(Y377,$L$375=1,R377&gt;=0),22,3)))+$E$375*12)+$E$375*12</f>
        <v>159.47149030719365</v>
      </c>
      <c r="BB377">
        <f>1</f>
        <v>1</v>
      </c>
      <c r="BC377">
        <f>(G377+H377)/2</f>
        <v>58.6</v>
      </c>
      <c r="BD377" t="str">
        <f>IF(AND($N$375=1,$O$375=1),'E27'!$B$6&amp;"","")</f>
        <v>2024</v>
      </c>
      <c r="BE377">
        <f>1/2</f>
        <v>0.5</v>
      </c>
      <c r="BF377">
        <f>0</f>
        <v>0</v>
      </c>
    </row>
    <row r="378" spans="1:58" x14ac:dyDescent="0.25">
      <c r="A378" s="20" t="str">
        <f>IF(ISBLANK('E27'!$A$8)," ",'E27'!$A$8)</f>
        <v>Custo das mercadorias</v>
      </c>
      <c r="B378">
        <f>'E27'!$B$8</f>
        <v>-79.900000000000006</v>
      </c>
      <c r="C378" t="b">
        <f>IF(ISERROR(B378),FALSE,IF(ISNUMBER(B378),FALSE,OR(LOWER(TRIM(B378&amp;""))={"e","t","=","total","subtotal"})))</f>
        <v>0</v>
      </c>
      <c r="D378">
        <f>IF(C378,0,IF(ISNUMBER(B378),B378,0))</f>
        <v>-79.900000000000006</v>
      </c>
      <c r="E378">
        <f>F377</f>
        <v>117.2</v>
      </c>
      <c r="F378">
        <f>IF(C378,E378,E378+D378)</f>
        <v>37.299999999999997</v>
      </c>
      <c r="G378">
        <f>IF(C378,MIN(0,F378),MIN(E378,F378))</f>
        <v>37.299999999999997</v>
      </c>
      <c r="H378">
        <f>IF(C378,MAX(0,F378),MAX(E378,F378))</f>
        <v>117.2</v>
      </c>
      <c r="I378">
        <f>MAX(0,G378)+MIN(0,H378)</f>
        <v>37.299999999999997</v>
      </c>
      <c r="J378">
        <f>MAX(0,H378)-MAX(0,G378)</f>
        <v>79.900000000000006</v>
      </c>
      <c r="K378">
        <f>MIN(0,G378)-MIN(0,H378)</f>
        <v>0</v>
      </c>
      <c r="L378">
        <f>IF(M378,F378,D378)</f>
        <v>-79.900000000000006</v>
      </c>
      <c r="M378" t="b">
        <f>C378</f>
        <v>0</v>
      </c>
      <c r="N378">
        <f>'E27'!$C$8</f>
        <v>-88.3</v>
      </c>
      <c r="O378" t="b">
        <f>IF(ISERROR(N378),FALSE,IF(ISNUMBER(N378),FALSE,OR(LOWER(TRIM(N378&amp;""))={"e","t","=","total","subtotal"})))</f>
        <v>0</v>
      </c>
      <c r="P378">
        <f>IF(O378,0,IF(ISNUMBER(N378),N378,0))</f>
        <v>-88.3</v>
      </c>
      <c r="Q378">
        <f>R377</f>
        <v>129.69999999999999</v>
      </c>
      <c r="R378">
        <f>IF(O378,Q378,Q378+P378)</f>
        <v>41.399999999999991</v>
      </c>
      <c r="S378">
        <f>IF(O378,MIN(0,R378),MIN(Q378,R378))</f>
        <v>41.399999999999991</v>
      </c>
      <c r="T378">
        <f>IF(O378,MAX(0,R378),MAX(Q378,R378))</f>
        <v>129.69999999999999</v>
      </c>
      <c r="U378">
        <f>MAX(0,S378)+MIN(0,T378)</f>
        <v>41.399999999999991</v>
      </c>
      <c r="V378">
        <f>MAX(0,T378)-MAX(0,S378)</f>
        <v>88.3</v>
      </c>
      <c r="W378">
        <f>MIN(0,S378)-MIN(0,T378)</f>
        <v>0</v>
      </c>
      <c r="X378">
        <f>IF(Y378,R378,P378)</f>
        <v>-88.3</v>
      </c>
      <c r="Y378" t="b">
        <f>O378</f>
        <v>0</v>
      </c>
      <c r="Z378" t="str">
        <f>IF(M378&lt;&gt;Y378,"n/d",IF($K$375=1,IF(ROUND((X378-L378)/$G$375,$H$375)&gt;0,"+","")&amp;FIXED(ROUND((X378-L378)/$G$375,$H$375),$H$375)&amp;$J$375,IF(OR(L378=0,L378*X378&lt;0),"n/d",IF(ROUND(100*(X378-L378)/L378,0)&gt;0,"+","")&amp;FIXED(ROUND(100*(X378-L378)/L378,0),0)&amp;"%")))</f>
        <v>+11%</v>
      </c>
      <c r="AA378" t="str">
        <f>IF(M378,FIXED(ROUND(F378/$G$375,$H$375),$H$375)&amp;$I$375&amp;IF(AND($M$375=1,$F$377&lt;&gt;0)," ("&amp;FIXED(ROUND(100*F378/$F$377,0),0)&amp;"%)",""),"")</f>
        <v/>
      </c>
      <c r="AB378" t="str">
        <f>IF(Y378,FIXED(ROUND(R378/$G$375,$H$375),$H$375)&amp;$I$375&amp;IF(AND($M$375=1,$R$377&lt;&gt;0)," ("&amp;FIXED(ROUND(100*R378/$R$377,0),0)&amp;"%)",""),"")</f>
        <v/>
      </c>
      <c r="AD378" t="s">
        <v>391</v>
      </c>
      <c r="AE378">
        <f>U377</f>
        <v>0</v>
      </c>
      <c r="AF378">
        <f>0</f>
        <v>0</v>
      </c>
      <c r="AG378">
        <f>0</f>
        <v>0</v>
      </c>
      <c r="AH378">
        <f>V377</f>
        <v>129.69999999999999</v>
      </c>
      <c r="AI378">
        <f>W377</f>
        <v>0</v>
      </c>
      <c r="AJ378" t="e">
        <f>NA()</f>
        <v>#N/A</v>
      </c>
      <c r="AK378" s="14" t="str">
        <f>""</f>
        <v/>
      </c>
      <c r="AL378" t="e">
        <f>IF(Y377,NA(),(S377+T377)/2)</f>
        <v>#N/A</v>
      </c>
      <c r="AM378" s="14" t="str">
        <f>IF(OR(Y377,AP378=0),"",P377)</f>
        <v/>
      </c>
      <c r="AN378">
        <f>IF(Y377,IF(R377&gt;=0,T377,S377),NA())</f>
        <v>129.69999999999999</v>
      </c>
      <c r="AO378" s="12" t="str">
        <f>IF(AP378=0,IF(Y377,FIXED(ROUND(R377/$G$375,$H$375),$H$375)&amp;$I$375,""),AB377)</f>
        <v>129,7</v>
      </c>
      <c r="AP378">
        <v>1</v>
      </c>
      <c r="AQ378">
        <f>T377</f>
        <v>129.69999999999999</v>
      </c>
      <c r="AR378">
        <f>4+$F$375</f>
        <v>4.384615384615385</v>
      </c>
      <c r="AS378">
        <f>F378</f>
        <v>37.299999999999997</v>
      </c>
      <c r="AT378">
        <f>3-2*$F$375</f>
        <v>2.2307692307692308</v>
      </c>
      <c r="AU378">
        <f>5+$F$375</f>
        <v>5.384615384615385</v>
      </c>
      <c r="AV378">
        <f>R378</f>
        <v>41.399999999999991</v>
      </c>
      <c r="AW378">
        <f>1</f>
        <v>1</v>
      </c>
      <c r="AX378">
        <f>(MAX((H377+$E$375*IF(AND(M377,$L$375=1,F377&gt;=0),22,3)),(T377+$E$375*IF(AND(Y377,$L$375=1,R377&gt;=0),22,3)))+$E$375*12)</f>
        <v>151.70501457488226</v>
      </c>
      <c r="AZ378">
        <f>9/2</f>
        <v>4.5</v>
      </c>
      <c r="BA378">
        <f>(MAX((H378+$E$375*IF(AND(M378,$L$375=1,F378&gt;=0),22,3)),(T378+$E$375*IF(AND(Y378,$L$375=1,R378&gt;=0),22,3)))+$E$375*12)+$E$375*12</f>
        <v>147.17457039770062</v>
      </c>
      <c r="BB378">
        <f>2</f>
        <v>2</v>
      </c>
      <c r="BC378">
        <f>(S377+T377)/2</f>
        <v>64.849999999999994</v>
      </c>
      <c r="BD378" t="str">
        <f>IF(AND($N$375=1,$O$375=1),'E27'!$C$6&amp;"","")</f>
        <v>2025</v>
      </c>
      <c r="BE378">
        <f>41/2</f>
        <v>20.5</v>
      </c>
      <c r="BF378">
        <f>0</f>
        <v>0</v>
      </c>
    </row>
    <row r="379" spans="1:58" x14ac:dyDescent="0.25">
      <c r="A379" s="20" t="str">
        <f>IF(ISBLANK('E27'!$A$9)," ",'E27'!$A$9)</f>
        <v>Despesas operacionais</v>
      </c>
      <c r="B379">
        <f>'E27'!$B$9</f>
        <v>-24.6</v>
      </c>
      <c r="C379" t="b">
        <f>IF(ISERROR(B379),FALSE,IF(ISNUMBER(B379),FALSE,OR(LOWER(TRIM(B379&amp;""))={"e","t","=","total","subtotal"})))</f>
        <v>0</v>
      </c>
      <c r="D379">
        <f>IF(C379,0,IF(ISNUMBER(B379),B379,0))</f>
        <v>-24.6</v>
      </c>
      <c r="E379">
        <f>F378</f>
        <v>37.299999999999997</v>
      </c>
      <c r="F379">
        <f>IF(C379,E379,E379+D379)</f>
        <v>12.699999999999996</v>
      </c>
      <c r="G379">
        <f>IF(C379,MIN(0,F379),MIN(E379,F379))</f>
        <v>12.699999999999996</v>
      </c>
      <c r="H379">
        <f>IF(C379,MAX(0,F379),MAX(E379,F379))</f>
        <v>37.299999999999997</v>
      </c>
      <c r="I379">
        <f>MAX(0,G379)+MIN(0,H379)</f>
        <v>12.699999999999996</v>
      </c>
      <c r="J379">
        <f>MAX(0,H379)-MAX(0,G379)</f>
        <v>24.6</v>
      </c>
      <c r="K379">
        <f>MIN(0,G379)-MIN(0,H379)</f>
        <v>0</v>
      </c>
      <c r="L379">
        <f>IF(M379,F379,D379)</f>
        <v>-24.6</v>
      </c>
      <c r="M379" t="b">
        <f>C379</f>
        <v>0</v>
      </c>
      <c r="N379">
        <f>'E27'!$C$9</f>
        <v>-27.2</v>
      </c>
      <c r="O379" t="b">
        <f>IF(ISERROR(N379),FALSE,IF(ISNUMBER(N379),FALSE,OR(LOWER(TRIM(N379&amp;""))={"e","t","=","total","subtotal"})))</f>
        <v>0</v>
      </c>
      <c r="P379">
        <f>IF(O379,0,IF(ISNUMBER(N379),N379,0))</f>
        <v>-27.2</v>
      </c>
      <c r="Q379">
        <f>R378</f>
        <v>41.399999999999991</v>
      </c>
      <c r="R379">
        <f>IF(O379,Q379,Q379+P379)</f>
        <v>14.199999999999992</v>
      </c>
      <c r="S379">
        <f>IF(O379,MIN(0,R379),MIN(Q379,R379))</f>
        <v>14.199999999999992</v>
      </c>
      <c r="T379">
        <f>IF(O379,MAX(0,R379),MAX(Q379,R379))</f>
        <v>41.399999999999991</v>
      </c>
      <c r="U379">
        <f>MAX(0,S379)+MIN(0,T379)</f>
        <v>14.199999999999992</v>
      </c>
      <c r="V379">
        <f>MAX(0,T379)-MAX(0,S379)</f>
        <v>27.2</v>
      </c>
      <c r="W379">
        <f>MIN(0,S379)-MIN(0,T379)</f>
        <v>0</v>
      </c>
      <c r="X379">
        <f>IF(Y379,R379,P379)</f>
        <v>-27.2</v>
      </c>
      <c r="Y379" t="b">
        <f>O379</f>
        <v>0</v>
      </c>
      <c r="Z379" t="str">
        <f>IF(M379&lt;&gt;Y379,"n/d",IF($K$375=1,IF(ROUND((X379-L379)/$G$375,$H$375)&gt;0,"+","")&amp;FIXED(ROUND((X379-L379)/$G$375,$H$375),$H$375)&amp;$J$375,IF(OR(L379=0,L379*X379&lt;0),"n/d",IF(ROUND(100*(X379-L379)/L379,0)&gt;0,"+","")&amp;FIXED(ROUND(100*(X379-L379)/L379,0),0)&amp;"%")))</f>
        <v>+11%</v>
      </c>
      <c r="AA379" t="str">
        <f>IF(M379,FIXED(ROUND(F379/$G$375,$H$375),$H$375)&amp;$I$375&amp;IF(AND($M$375=1,$F$377&lt;&gt;0)," ("&amp;FIXED(ROUND(100*F379/$F$377,0),0)&amp;"%)",""),"")</f>
        <v/>
      </c>
      <c r="AB379" t="str">
        <f>IF(Y379,FIXED(ROUND(R379/$G$375,$H$375),$H$375)&amp;$I$375&amp;IF(AND($M$375=1,$R$377&lt;&gt;0)," ("&amp;FIXED(ROUND(100*R379/$R$377,0),0)&amp;"%)",""),"")</f>
        <v/>
      </c>
      <c r="AC379" t="s">
        <v>391</v>
      </c>
      <c r="AD379" t="s">
        <v>391</v>
      </c>
      <c r="AE379">
        <f>0</f>
        <v>0</v>
      </c>
      <c r="AF379">
        <f>0</f>
        <v>0</v>
      </c>
      <c r="AG379">
        <f>0</f>
        <v>0</v>
      </c>
      <c r="AH379">
        <f>0</f>
        <v>0</v>
      </c>
      <c r="AI379">
        <f>0</f>
        <v>0</v>
      </c>
      <c r="AJ379" t="e">
        <f>NA()</f>
        <v>#N/A</v>
      </c>
      <c r="AK379" s="14" t="str">
        <f>""</f>
        <v/>
      </c>
      <c r="AL379" t="e">
        <f>NA()</f>
        <v>#N/A</v>
      </c>
      <c r="AM379" s="14" t="str">
        <f>""</f>
        <v/>
      </c>
      <c r="AN379" t="e">
        <f>NA()</f>
        <v>#N/A</v>
      </c>
      <c r="AO379" s="12" t="str">
        <f>""</f>
        <v/>
      </c>
      <c r="AP379">
        <v>1</v>
      </c>
      <c r="AQ379">
        <f>0</f>
        <v>0</v>
      </c>
      <c r="AR379">
        <f>7+$F$375</f>
        <v>7.384615384615385</v>
      </c>
      <c r="AS379">
        <f>F379</f>
        <v>12.699999999999996</v>
      </c>
      <c r="AT379">
        <f>3-2*$F$375</f>
        <v>2.2307692307692308</v>
      </c>
      <c r="AU379">
        <f>8+$F$375</f>
        <v>8.384615384615385</v>
      </c>
      <c r="AV379">
        <f>R379</f>
        <v>14.199999999999992</v>
      </c>
      <c r="AW379">
        <f>3/2</f>
        <v>1.5</v>
      </c>
      <c r="AX379">
        <f>(MAX((H377+$E$375*IF(AND(M377,$L$375=1,F377&gt;=0),22,3)),(T377+$E$375*IF(AND(Y377,$L$375=1,R377&gt;=0),22,3)))+$E$375*12)</f>
        <v>151.70501457488226</v>
      </c>
      <c r="AY379" t="str">
        <f>Z377</f>
        <v>+11%</v>
      </c>
      <c r="AZ379">
        <f>15/2</f>
        <v>7.5</v>
      </c>
      <c r="BA379">
        <f>(MAX((H379+$E$375*IF(AND(M379,$L$375=1,F379&gt;=0),22,3)),(T379+$E$375*IF(AND(Y379,$L$375=1,R379&gt;=0),22,3)))+$E$375*12)+$E$375*12</f>
        <v>58.874570397700623</v>
      </c>
    </row>
    <row r="380" spans="1:58" x14ac:dyDescent="0.25">
      <c r="A380" s="20" t="str">
        <f>IF(ISBLANK('E27'!$A$10)," ",'E27'!$A$10)</f>
        <v>EBITDA</v>
      </c>
      <c r="B380" t="str">
        <f>'E27'!$B$10</f>
        <v>e</v>
      </c>
      <c r="C380" t="b">
        <f>IF(ISERROR(B380),FALSE,IF(ISNUMBER(B380),FALSE,OR(LOWER(TRIM(B380&amp;""))={"e","t","=","total","subtotal"})))</f>
        <v>1</v>
      </c>
      <c r="D380">
        <f>IF(C380,0,IF(ISNUMBER(B380),B380,0))</f>
        <v>0</v>
      </c>
      <c r="E380">
        <f>F379</f>
        <v>12.699999999999996</v>
      </c>
      <c r="F380">
        <f>IF(C380,E380,E380+D380)</f>
        <v>12.699999999999996</v>
      </c>
      <c r="G380">
        <f>IF(C380,MIN(0,F380),MIN(E380,F380))</f>
        <v>0</v>
      </c>
      <c r="H380">
        <f>IF(C380,MAX(0,F380),MAX(E380,F380))</f>
        <v>12.699999999999996</v>
      </c>
      <c r="I380">
        <f>MAX(0,G380)+MIN(0,H380)</f>
        <v>0</v>
      </c>
      <c r="J380">
        <f>MAX(0,H380)-MAX(0,G380)</f>
        <v>12.699999999999996</v>
      </c>
      <c r="K380">
        <f>MIN(0,G380)-MIN(0,H380)</f>
        <v>0</v>
      </c>
      <c r="L380">
        <f>IF(M380,F380,D380)</f>
        <v>12.699999999999996</v>
      </c>
      <c r="M380" t="b">
        <f>C380</f>
        <v>1</v>
      </c>
      <c r="N380" t="str">
        <f>'E27'!$C$10</f>
        <v>e</v>
      </c>
      <c r="O380" t="b">
        <f>IF(ISERROR(N380),FALSE,IF(ISNUMBER(N380),FALSE,OR(LOWER(TRIM(N380&amp;""))={"e","t","=","total","subtotal"})))</f>
        <v>1</v>
      </c>
      <c r="P380">
        <f>IF(O380,0,IF(ISNUMBER(N380),N380,0))</f>
        <v>0</v>
      </c>
      <c r="Q380">
        <f>R379</f>
        <v>14.199999999999992</v>
      </c>
      <c r="R380">
        <f>IF(O380,Q380,Q380+P380)</f>
        <v>14.199999999999992</v>
      </c>
      <c r="S380">
        <f>IF(O380,MIN(0,R380),MIN(Q380,R380))</f>
        <v>0</v>
      </c>
      <c r="T380">
        <f>IF(O380,MAX(0,R380),MAX(Q380,R380))</f>
        <v>14.199999999999992</v>
      </c>
      <c r="U380">
        <f>MAX(0,S380)+MIN(0,T380)</f>
        <v>0</v>
      </c>
      <c r="V380">
        <f>MAX(0,T380)-MAX(0,S380)</f>
        <v>14.199999999999992</v>
      </c>
      <c r="W380">
        <f>MIN(0,S380)-MIN(0,T380)</f>
        <v>0</v>
      </c>
      <c r="X380">
        <f>IF(Y380,R380,P380)</f>
        <v>14.199999999999992</v>
      </c>
      <c r="Y380" t="b">
        <f>O380</f>
        <v>1</v>
      </c>
      <c r="Z380" t="str">
        <f>IF(M380&lt;&gt;Y380,"n/d",IF($K$375=1,IF(ROUND((X380-L380)/$G$375,$H$375)&gt;0,"+","")&amp;FIXED(ROUND((X380-L380)/$G$375,$H$375),$H$375)&amp;$J$375,IF(OR(L380=0,L380*X380&lt;0),"n/d",IF(ROUND(100*(X380-L380)/L380,0)&gt;0,"+","")&amp;FIXED(ROUND(100*(X380-L380)/L380,0),0)&amp;"%")))</f>
        <v>+12%</v>
      </c>
      <c r="AA380" t="str">
        <f>IF(M380,FIXED(ROUND(F380/$G$375,$H$375),$H$375)&amp;$I$375&amp;IF(AND($M$375=1,$F$377&lt;&gt;0)," ("&amp;FIXED(ROUND(100*F380/$F$377,0),0)&amp;"%)",""),"")</f>
        <v>12,7 (11%)</v>
      </c>
      <c r="AB380" t="str">
        <f>IF(Y380,FIXED(ROUND(R380/$G$375,$H$375),$H$375)&amp;$I$375&amp;IF(AND($M$375=1,$R$377&lt;&gt;0)," ("&amp;FIXED(ROUND(100*R380/$R$377,0),0)&amp;"%)",""),"")</f>
        <v>14,2 (11%)</v>
      </c>
      <c r="AC380" s="20" t="str">
        <f>A378</f>
        <v>Custo das mercadorias</v>
      </c>
      <c r="AD380" t="s">
        <v>391</v>
      </c>
      <c r="AE380">
        <f>I378</f>
        <v>37.299999999999997</v>
      </c>
      <c r="AF380">
        <f>J378</f>
        <v>79.900000000000006</v>
      </c>
      <c r="AG380">
        <f>K378</f>
        <v>0</v>
      </c>
      <c r="AH380">
        <f>0</f>
        <v>0</v>
      </c>
      <c r="AI380">
        <f>0</f>
        <v>0</v>
      </c>
      <c r="AJ380">
        <f>IF(M378,NA(),(G378+H378)/2)</f>
        <v>77.25</v>
      </c>
      <c r="AK380" s="14">
        <f>IF(OR(M378,AP380=0),"",D378)</f>
        <v>-79.900000000000006</v>
      </c>
      <c r="AL380" t="e">
        <f>NA()</f>
        <v>#N/A</v>
      </c>
      <c r="AM380" s="14" t="str">
        <f>""</f>
        <v/>
      </c>
      <c r="AN380" t="e">
        <f>IF(M378,IF(F378&gt;=0,H378,G378),NA())</f>
        <v>#N/A</v>
      </c>
      <c r="AO380" s="12" t="str">
        <f>IF(AP380=0,IF(M378,FIXED(ROUND(F378/$G$375,$H$375),$H$375)&amp;$I$375,""),AA378)</f>
        <v/>
      </c>
      <c r="AP380">
        <v>1</v>
      </c>
      <c r="AQ380">
        <f>H378</f>
        <v>117.2</v>
      </c>
      <c r="AR380">
        <f>10+$F$375</f>
        <v>10.384615384615385</v>
      </c>
      <c r="AS380">
        <f>F380</f>
        <v>12.699999999999996</v>
      </c>
      <c r="AT380">
        <f>3-2*$F$375</f>
        <v>2.2307692307692308</v>
      </c>
      <c r="AU380">
        <f>11+$F$375</f>
        <v>11.384615384615385</v>
      </c>
      <c r="AV380">
        <f>R380</f>
        <v>14.199999999999992</v>
      </c>
      <c r="AW380">
        <f>2</f>
        <v>2</v>
      </c>
      <c r="AX380">
        <f>(MAX((H377+$E$375*IF(AND(M377,$L$375=1,F377&gt;=0),22,3)),(T377+$E$375*IF(AND(Y377,$L$375=1,R377&gt;=0),22,3)))+$E$375*12)</f>
        <v>151.70501457488226</v>
      </c>
      <c r="AZ380">
        <f>21/2</f>
        <v>10.5</v>
      </c>
      <c r="BA380">
        <f>(MAX((H380+$E$375*IF(AND(M380,$L$375=1,F380&gt;=0),22,3)),(T380+$E$375*IF(AND(Y380,$L$375=1,R380&gt;=0),22,3)))+$E$375*12)+$E$375*12</f>
        <v>43.971490307193662</v>
      </c>
    </row>
    <row r="381" spans="1:58" x14ac:dyDescent="0.25">
      <c r="A381" s="20" t="str">
        <f>IF(ISBLANK('E27'!$A$11)," ",'E27'!$A$11)</f>
        <v>Depreciação e juros</v>
      </c>
      <c r="B381">
        <f>'E27'!$B$11</f>
        <v>-2.9</v>
      </c>
      <c r="C381" t="b">
        <f>IF(ISERROR(B381),FALSE,IF(ISNUMBER(B381),FALSE,OR(LOWER(TRIM(B381&amp;""))={"e","t","=","total","subtotal"})))</f>
        <v>0</v>
      </c>
      <c r="D381">
        <f>IF(C381,0,IF(ISNUMBER(B381),B381,0))</f>
        <v>-2.9</v>
      </c>
      <c r="E381">
        <f>F380</f>
        <v>12.699999999999996</v>
      </c>
      <c r="F381">
        <f>IF(C381,E381,E381+D381)</f>
        <v>9.7999999999999954</v>
      </c>
      <c r="G381">
        <f>IF(C381,MIN(0,F381),MIN(E381,F381))</f>
        <v>9.7999999999999954</v>
      </c>
      <c r="H381">
        <f>IF(C381,MAX(0,F381),MAX(E381,F381))</f>
        <v>12.699999999999996</v>
      </c>
      <c r="I381">
        <f>MAX(0,G381)+MIN(0,H381)</f>
        <v>9.7999999999999954</v>
      </c>
      <c r="J381">
        <f>MAX(0,H381)-MAX(0,G381)</f>
        <v>2.9000000000000004</v>
      </c>
      <c r="K381">
        <f>MIN(0,G381)-MIN(0,H381)</f>
        <v>0</v>
      </c>
      <c r="L381">
        <f>IF(M381,F381,D381)</f>
        <v>-2.9</v>
      </c>
      <c r="M381" t="b">
        <f>C381</f>
        <v>0</v>
      </c>
      <c r="N381">
        <f>'E27'!$C$11</f>
        <v>-3.2</v>
      </c>
      <c r="O381" t="b">
        <f>IF(ISERROR(N381),FALSE,IF(ISNUMBER(N381),FALSE,OR(LOWER(TRIM(N381&amp;""))={"e","t","=","total","subtotal"})))</f>
        <v>0</v>
      </c>
      <c r="P381">
        <f>IF(O381,0,IF(ISNUMBER(N381),N381,0))</f>
        <v>-3.2</v>
      </c>
      <c r="Q381">
        <f>R380</f>
        <v>14.199999999999992</v>
      </c>
      <c r="R381">
        <f>IF(O381,Q381,Q381+P381)</f>
        <v>10.999999999999993</v>
      </c>
      <c r="S381">
        <f>IF(O381,MIN(0,R381),MIN(Q381,R381))</f>
        <v>10.999999999999993</v>
      </c>
      <c r="T381">
        <f>IF(O381,MAX(0,R381),MAX(Q381,R381))</f>
        <v>14.199999999999992</v>
      </c>
      <c r="U381">
        <f>MAX(0,S381)+MIN(0,T381)</f>
        <v>10.999999999999993</v>
      </c>
      <c r="V381">
        <f>MAX(0,T381)-MAX(0,S381)</f>
        <v>3.1999999999999993</v>
      </c>
      <c r="W381">
        <f>MIN(0,S381)-MIN(0,T381)</f>
        <v>0</v>
      </c>
      <c r="X381">
        <f>IF(Y381,R381,P381)</f>
        <v>-3.2</v>
      </c>
      <c r="Y381" t="b">
        <f>O381</f>
        <v>0</v>
      </c>
      <c r="Z381" t="str">
        <f>IF(M381&lt;&gt;Y381,"n/d",IF($K$375=1,IF(ROUND((X381-L381)/$G$375,$H$375)&gt;0,"+","")&amp;FIXED(ROUND((X381-L381)/$G$375,$H$375),$H$375)&amp;$J$375,IF(OR(L381=0,L381*X381&lt;0),"n/d",IF(ROUND(100*(X381-L381)/L381,0)&gt;0,"+","")&amp;FIXED(ROUND(100*(X381-L381)/L381,0),0)&amp;"%")))</f>
        <v>+10%</v>
      </c>
      <c r="AA381" t="str">
        <f>IF(M381,FIXED(ROUND(F381/$G$375,$H$375),$H$375)&amp;$I$375&amp;IF(AND($M$375=1,$F$377&lt;&gt;0)," ("&amp;FIXED(ROUND(100*F381/$F$377,0),0)&amp;"%)",""),"")</f>
        <v/>
      </c>
      <c r="AB381" t="str">
        <f>IF(Y381,FIXED(ROUND(R381/$G$375,$H$375),$H$375)&amp;$I$375&amp;IF(AND($M$375=1,$R$377&lt;&gt;0)," ("&amp;FIXED(ROUND(100*R381/$R$377,0),0)&amp;"%)",""),"")</f>
        <v/>
      </c>
      <c r="AD381" t="s">
        <v>391</v>
      </c>
      <c r="AE381">
        <f>U378</f>
        <v>41.399999999999991</v>
      </c>
      <c r="AF381">
        <f>0</f>
        <v>0</v>
      </c>
      <c r="AG381">
        <f>0</f>
        <v>0</v>
      </c>
      <c r="AH381">
        <f>V378</f>
        <v>88.3</v>
      </c>
      <c r="AI381">
        <f>W378</f>
        <v>0</v>
      </c>
      <c r="AJ381" t="e">
        <f>NA()</f>
        <v>#N/A</v>
      </c>
      <c r="AK381" s="14" t="str">
        <f>""</f>
        <v/>
      </c>
      <c r="AL381">
        <f>IF(Y378,NA(),(S378+T378)/2)</f>
        <v>85.549999999999983</v>
      </c>
      <c r="AM381" s="14">
        <f>IF(OR(Y378,AP381=0),"",P378)</f>
        <v>-88.3</v>
      </c>
      <c r="AN381" t="e">
        <f>IF(Y378,IF(R378&gt;=0,T378,S378),NA())</f>
        <v>#N/A</v>
      </c>
      <c r="AO381" s="12" t="str">
        <f>IF(AP381=0,IF(Y378,FIXED(ROUND(R378/$G$375,$H$375),$H$375)&amp;$I$375,""),AB378)</f>
        <v/>
      </c>
      <c r="AP381">
        <v>1</v>
      </c>
      <c r="AQ381">
        <f>T378</f>
        <v>129.69999999999999</v>
      </c>
      <c r="AR381">
        <f>13+$F$375</f>
        <v>13.384615384615385</v>
      </c>
      <c r="AS381">
        <f>F381</f>
        <v>9.7999999999999954</v>
      </c>
      <c r="AT381">
        <f>3-2*$F$375</f>
        <v>2.2307692307692308</v>
      </c>
      <c r="AU381">
        <f>14+$F$375</f>
        <v>14.384615384615385</v>
      </c>
      <c r="AV381">
        <f>R381</f>
        <v>10.999999999999993</v>
      </c>
      <c r="AW381">
        <f>2</f>
        <v>2</v>
      </c>
      <c r="AX381">
        <f>(T377+$E$375*IF(AND(Y377,$L$375=1,R377&gt;=0),22,3))</f>
        <v>143.93853884257086</v>
      </c>
      <c r="AZ381">
        <f>27/2</f>
        <v>13.5</v>
      </c>
      <c r="BA381">
        <f>(MAX((H381+$E$375*IF(AND(M381,$L$375=1,F381&gt;=0),22,3)),(T381+$E$375*IF(AND(Y381,$L$375=1,R381&gt;=0),22,3)))+$E$375*12)+$E$375*12</f>
        <v>31.674570397700624</v>
      </c>
    </row>
    <row r="382" spans="1:58" x14ac:dyDescent="0.25">
      <c r="A382" s="20" t="str">
        <f>IF(ISBLANK('E27'!$A$12)," ",'E27'!$A$12)</f>
        <v>Impostos</v>
      </c>
      <c r="B382">
        <f>'E27'!$B$12</f>
        <v>-3.3</v>
      </c>
      <c r="C382" t="b">
        <f>IF(ISERROR(B382),FALSE,IF(ISNUMBER(B382),FALSE,OR(LOWER(TRIM(B382&amp;""))={"e","t","=","total","subtotal"})))</f>
        <v>0</v>
      </c>
      <c r="D382">
        <f>IF(C382,0,IF(ISNUMBER(B382),B382,0))</f>
        <v>-3.3</v>
      </c>
      <c r="E382">
        <f>F381</f>
        <v>9.7999999999999954</v>
      </c>
      <c r="F382">
        <f>IF(C382,E382,E382+D382)</f>
        <v>6.4999999999999956</v>
      </c>
      <c r="G382">
        <f>IF(C382,MIN(0,F382),MIN(E382,F382))</f>
        <v>6.4999999999999956</v>
      </c>
      <c r="H382">
        <f>IF(C382,MAX(0,F382),MAX(E382,F382))</f>
        <v>9.7999999999999954</v>
      </c>
      <c r="I382">
        <f>MAX(0,G382)+MIN(0,H382)</f>
        <v>6.4999999999999956</v>
      </c>
      <c r="J382">
        <f>MAX(0,H382)-MAX(0,G382)</f>
        <v>3.3</v>
      </c>
      <c r="K382">
        <f>MIN(0,G382)-MIN(0,H382)</f>
        <v>0</v>
      </c>
      <c r="L382">
        <f>IF(M382,F382,D382)</f>
        <v>-3.3</v>
      </c>
      <c r="M382" t="b">
        <f>C382</f>
        <v>0</v>
      </c>
      <c r="N382">
        <f>'E27'!$C$12</f>
        <v>-3.7</v>
      </c>
      <c r="O382" t="b">
        <f>IF(ISERROR(N382),FALSE,IF(ISNUMBER(N382),FALSE,OR(LOWER(TRIM(N382&amp;""))={"e","t","=","total","subtotal"})))</f>
        <v>0</v>
      </c>
      <c r="P382">
        <f>IF(O382,0,IF(ISNUMBER(N382),N382,0))</f>
        <v>-3.7</v>
      </c>
      <c r="Q382">
        <f>R381</f>
        <v>10.999999999999993</v>
      </c>
      <c r="R382">
        <f>IF(O382,Q382,Q382+P382)</f>
        <v>7.2999999999999927</v>
      </c>
      <c r="S382">
        <f>IF(O382,MIN(0,R382),MIN(Q382,R382))</f>
        <v>7.2999999999999927</v>
      </c>
      <c r="T382">
        <f>IF(O382,MAX(0,R382),MAX(Q382,R382))</f>
        <v>10.999999999999993</v>
      </c>
      <c r="U382">
        <f>MAX(0,S382)+MIN(0,T382)</f>
        <v>7.2999999999999927</v>
      </c>
      <c r="V382">
        <f>MAX(0,T382)-MAX(0,S382)</f>
        <v>3.7</v>
      </c>
      <c r="W382">
        <f>MIN(0,S382)-MIN(0,T382)</f>
        <v>0</v>
      </c>
      <c r="X382">
        <f>IF(Y382,R382,P382)</f>
        <v>-3.7</v>
      </c>
      <c r="Y382" t="b">
        <f>O382</f>
        <v>0</v>
      </c>
      <c r="Z382" t="str">
        <f>IF(M382&lt;&gt;Y382,"n/d",IF($K$375=1,IF(ROUND((X382-L382)/$G$375,$H$375)&gt;0,"+","")&amp;FIXED(ROUND((X382-L382)/$G$375,$H$375),$H$375)&amp;$J$375,IF(OR(L382=0,L382*X382&lt;0),"n/d",IF(ROUND(100*(X382-L382)/L382,0)&gt;0,"+","")&amp;FIXED(ROUND(100*(X382-L382)/L382,0),0)&amp;"%")))</f>
        <v>+12%</v>
      </c>
      <c r="AA382" t="str">
        <f>IF(M382,FIXED(ROUND(F382/$G$375,$H$375),$H$375)&amp;$I$375&amp;IF(AND($M$375=1,$F$377&lt;&gt;0)," ("&amp;FIXED(ROUND(100*F382/$F$377,0),0)&amp;"%)",""),"")</f>
        <v/>
      </c>
      <c r="AB382" t="str">
        <f>IF(Y382,FIXED(ROUND(R382/$G$375,$H$375),$H$375)&amp;$I$375&amp;IF(AND($M$375=1,$R$377&lt;&gt;0)," ("&amp;FIXED(ROUND(100*R382/$R$377,0),0)&amp;"%)",""),"")</f>
        <v/>
      </c>
      <c r="AC382" t="s">
        <v>391</v>
      </c>
      <c r="AD382" t="s">
        <v>391</v>
      </c>
      <c r="AE382">
        <f>0</f>
        <v>0</v>
      </c>
      <c r="AF382">
        <f>0</f>
        <v>0</v>
      </c>
      <c r="AG382">
        <f>0</f>
        <v>0</v>
      </c>
      <c r="AH382">
        <f>0</f>
        <v>0</v>
      </c>
      <c r="AI382">
        <f>0</f>
        <v>0</v>
      </c>
      <c r="AJ382" t="e">
        <f>NA()</f>
        <v>#N/A</v>
      </c>
      <c r="AK382" s="14" t="str">
        <f>""</f>
        <v/>
      </c>
      <c r="AL382" t="e">
        <f>NA()</f>
        <v>#N/A</v>
      </c>
      <c r="AM382" s="14" t="str">
        <f>""</f>
        <v/>
      </c>
      <c r="AN382" t="e">
        <f>NA()</f>
        <v>#N/A</v>
      </c>
      <c r="AO382" s="12" t="str">
        <f>""</f>
        <v/>
      </c>
      <c r="AP382">
        <v>1</v>
      </c>
      <c r="AQ382">
        <f>0</f>
        <v>0</v>
      </c>
      <c r="AR382">
        <f>16+$F$375</f>
        <v>16.384615384615383</v>
      </c>
      <c r="AS382">
        <f>F382</f>
        <v>6.4999999999999956</v>
      </c>
      <c r="AT382">
        <f>3-2*$F$375</f>
        <v>2.2307692307692308</v>
      </c>
      <c r="AU382">
        <f>17+$F$375</f>
        <v>17.384615384615383</v>
      </c>
      <c r="AV382">
        <f>R382</f>
        <v>7.2999999999999927</v>
      </c>
      <c r="AZ382">
        <f>33/2</f>
        <v>16.5</v>
      </c>
      <c r="BA382">
        <f>(MAX((H382+$E$375*IF(AND(M382,$L$375=1,F382&gt;=0),22,3)),(T382+$E$375*IF(AND(Y382,$L$375=1,R382&gt;=0),22,3)))+$E$375*12)+$E$375*12</f>
        <v>28.474570397700624</v>
      </c>
    </row>
    <row r="383" spans="1:58" x14ac:dyDescent="0.25">
      <c r="A383" s="20" t="str">
        <f>IF(ISBLANK('E27'!$A$13)," ",'E27'!$A$13)</f>
        <v>Lucro líquido</v>
      </c>
      <c r="B383" t="str">
        <f>'E27'!$B$13</f>
        <v>e</v>
      </c>
      <c r="C383" t="b">
        <f>IF(ISERROR(B383),FALSE,IF(ISNUMBER(B383),FALSE,OR(LOWER(TRIM(B383&amp;""))={"e","t","=","total","subtotal"})))</f>
        <v>1</v>
      </c>
      <c r="D383">
        <f>IF(C383,0,IF(ISNUMBER(B383),B383,0))</f>
        <v>0</v>
      </c>
      <c r="E383">
        <f>F382</f>
        <v>6.4999999999999956</v>
      </c>
      <c r="F383">
        <f>IF(C383,E383,E383+D383)</f>
        <v>6.4999999999999956</v>
      </c>
      <c r="G383">
        <f>IF(C383,MIN(0,F383),MIN(E383,F383))</f>
        <v>0</v>
      </c>
      <c r="H383">
        <f>IF(C383,MAX(0,F383),MAX(E383,F383))</f>
        <v>6.4999999999999956</v>
      </c>
      <c r="I383">
        <f>MAX(0,G383)+MIN(0,H383)</f>
        <v>0</v>
      </c>
      <c r="J383">
        <f>MAX(0,H383)-MAX(0,G383)</f>
        <v>6.4999999999999956</v>
      </c>
      <c r="K383">
        <f>MIN(0,G383)-MIN(0,H383)</f>
        <v>0</v>
      </c>
      <c r="L383">
        <f>IF(M383,F383,D383)</f>
        <v>6.4999999999999956</v>
      </c>
      <c r="M383" t="b">
        <f>C383</f>
        <v>1</v>
      </c>
      <c r="N383" t="str">
        <f>'E27'!$C$13</f>
        <v>e</v>
      </c>
      <c r="O383" t="b">
        <f>IF(ISERROR(N383),FALSE,IF(ISNUMBER(N383),FALSE,OR(LOWER(TRIM(N383&amp;""))={"e","t","=","total","subtotal"})))</f>
        <v>1</v>
      </c>
      <c r="P383">
        <f>IF(O383,0,IF(ISNUMBER(N383),N383,0))</f>
        <v>0</v>
      </c>
      <c r="Q383">
        <f>R382</f>
        <v>7.2999999999999927</v>
      </c>
      <c r="R383">
        <f>IF(O383,Q383,Q383+P383)</f>
        <v>7.2999999999999927</v>
      </c>
      <c r="S383">
        <f>IF(O383,MIN(0,R383),MIN(Q383,R383))</f>
        <v>0</v>
      </c>
      <c r="T383">
        <f>IF(O383,MAX(0,R383),MAX(Q383,R383))</f>
        <v>7.2999999999999927</v>
      </c>
      <c r="U383">
        <f>MAX(0,S383)+MIN(0,T383)</f>
        <v>0</v>
      </c>
      <c r="V383">
        <f>MAX(0,T383)-MAX(0,S383)</f>
        <v>7.2999999999999927</v>
      </c>
      <c r="W383">
        <f>MIN(0,S383)-MIN(0,T383)</f>
        <v>0</v>
      </c>
      <c r="X383">
        <f>IF(Y383,R383,P383)</f>
        <v>7.2999999999999927</v>
      </c>
      <c r="Y383" t="b">
        <f>O383</f>
        <v>1</v>
      </c>
      <c r="Z383" t="str">
        <f>IF(M383&lt;&gt;Y383,"n/d",IF($K$375=1,IF(ROUND((X383-L383)/$G$375,$H$375)&gt;0,"+","")&amp;FIXED(ROUND((X383-L383)/$G$375,$H$375),$H$375)&amp;$J$375,IF(OR(L383=0,L383*X383&lt;0),"n/d",IF(ROUND(100*(X383-L383)/L383,0)&gt;0,"+","")&amp;FIXED(ROUND(100*(X383-L383)/L383,0),0)&amp;"%")))</f>
        <v>+12%</v>
      </c>
      <c r="AA383" t="str">
        <f>IF(M383,FIXED(ROUND(F383/$G$375,$H$375),$H$375)&amp;$I$375&amp;IF(AND($M$375=1,$F$377&lt;&gt;0)," ("&amp;FIXED(ROUND(100*F383/$F$377,0),0)&amp;"%)",""),"")</f>
        <v>6,5 (6%)</v>
      </c>
      <c r="AB383" t="str">
        <f>IF(Y383,FIXED(ROUND(R383/$G$375,$H$375),$H$375)&amp;$I$375&amp;IF(AND($M$375=1,$R$377&lt;&gt;0)," ("&amp;FIXED(ROUND(100*R383/$R$377,0),0)&amp;"%)",""),"")</f>
        <v>7,3 (6%)</v>
      </c>
      <c r="AC383" s="20" t="str">
        <f>A379</f>
        <v>Despesas operacionais</v>
      </c>
      <c r="AD383" t="s">
        <v>391</v>
      </c>
      <c r="AE383">
        <f>I379</f>
        <v>12.699999999999996</v>
      </c>
      <c r="AF383">
        <f>J379</f>
        <v>24.6</v>
      </c>
      <c r="AG383">
        <f>K379</f>
        <v>0</v>
      </c>
      <c r="AH383">
        <f>0</f>
        <v>0</v>
      </c>
      <c r="AI383">
        <f>0</f>
        <v>0</v>
      </c>
      <c r="AJ383">
        <f>IF(M379,NA(),(G379+H379)/2)</f>
        <v>24.999999999999996</v>
      </c>
      <c r="AK383" s="14">
        <f>IF(OR(M379,AP383=0),"",D379)</f>
        <v>-24.6</v>
      </c>
      <c r="AL383" t="e">
        <f>NA()</f>
        <v>#N/A</v>
      </c>
      <c r="AM383" s="14" t="str">
        <f>""</f>
        <v/>
      </c>
      <c r="AN383" t="e">
        <f>IF(M379,IF(F379&gt;=0,H379,G379),NA())</f>
        <v>#N/A</v>
      </c>
      <c r="AO383" s="12" t="str">
        <f>IF(AP383=0,IF(M379,FIXED(ROUND(F379/$G$375,$H$375),$H$375)&amp;$I$375,""),AA379)</f>
        <v/>
      </c>
      <c r="AP383">
        <v>1</v>
      </c>
      <c r="AQ383">
        <f>H379</f>
        <v>37.299999999999997</v>
      </c>
      <c r="AW383">
        <f>4</f>
        <v>4</v>
      </c>
      <c r="AX383">
        <f>(H378+$E$375*IF(AND(M378,$L$375=1,F378&gt;=0),22,3))</f>
        <v>119.14161893307785</v>
      </c>
      <c r="AZ383">
        <f>39/2</f>
        <v>19.5</v>
      </c>
      <c r="BA383">
        <f>(MAX((H383+$E$375*IF(AND(M383,$L$375=1,F383&gt;=0),22,3)),(T383+$E$375*IF(AND(Y383,$L$375=1,R383&gt;=0),22,3)))+$E$375*12)+$E$375*12</f>
        <v>37.071490307193663</v>
      </c>
    </row>
    <row r="384" spans="1:58" x14ac:dyDescent="0.25">
      <c r="AD384" t="s">
        <v>391</v>
      </c>
      <c r="AE384">
        <f>U379</f>
        <v>14.199999999999992</v>
      </c>
      <c r="AF384">
        <f>0</f>
        <v>0</v>
      </c>
      <c r="AG384">
        <f>0</f>
        <v>0</v>
      </c>
      <c r="AH384">
        <f>V379</f>
        <v>27.2</v>
      </c>
      <c r="AI384">
        <f>W379</f>
        <v>0</v>
      </c>
      <c r="AJ384" t="e">
        <f>NA()</f>
        <v>#N/A</v>
      </c>
      <c r="AK384" s="14" t="str">
        <f>""</f>
        <v/>
      </c>
      <c r="AL384">
        <f>IF(Y379,NA(),(S379+T379)/2)</f>
        <v>27.79999999999999</v>
      </c>
      <c r="AM384" s="14">
        <f>IF(OR(Y379,AP384=0),"",P379)</f>
        <v>-27.2</v>
      </c>
      <c r="AN384" t="e">
        <f>IF(Y379,IF(R379&gt;=0,T379,S379),NA())</f>
        <v>#N/A</v>
      </c>
      <c r="AO384" s="12" t="str">
        <f>IF(AP384=0,IF(Y379,FIXED(ROUND(R379/$G$375,$H$375),$H$375)&amp;$I$375,""),AB379)</f>
        <v/>
      </c>
      <c r="AP384">
        <v>1</v>
      </c>
      <c r="AQ384">
        <f>T379</f>
        <v>41.399999999999991</v>
      </c>
      <c r="AW384">
        <f>4</f>
        <v>4</v>
      </c>
      <c r="AX384">
        <f>(MAX((H378+$E$375*IF(AND(M378,$L$375=1,F378&gt;=0),22,3)),(T378+$E$375*IF(AND(Y378,$L$375=1,R378&gt;=0),22,3)))+$E$375*12)</f>
        <v>139.40809466538923</v>
      </c>
    </row>
    <row r="385" spans="29:51" x14ac:dyDescent="0.25">
      <c r="AC385" t="s">
        <v>391</v>
      </c>
      <c r="AD385" t="s">
        <v>391</v>
      </c>
      <c r="AE385">
        <f>0</f>
        <v>0</v>
      </c>
      <c r="AF385">
        <f>0</f>
        <v>0</v>
      </c>
      <c r="AG385">
        <f>0</f>
        <v>0</v>
      </c>
      <c r="AH385">
        <f>0</f>
        <v>0</v>
      </c>
      <c r="AI385">
        <f>0</f>
        <v>0</v>
      </c>
      <c r="AJ385" t="e">
        <f>NA()</f>
        <v>#N/A</v>
      </c>
      <c r="AK385" s="14" t="str">
        <f>""</f>
        <v/>
      </c>
      <c r="AL385" t="e">
        <f>NA()</f>
        <v>#N/A</v>
      </c>
      <c r="AM385" s="14" t="str">
        <f>""</f>
        <v/>
      </c>
      <c r="AN385" t="e">
        <f>NA()</f>
        <v>#N/A</v>
      </c>
      <c r="AO385" s="12" t="str">
        <f>""</f>
        <v/>
      </c>
      <c r="AP385">
        <v>1</v>
      </c>
      <c r="AQ385">
        <f>0</f>
        <v>0</v>
      </c>
      <c r="AW385">
        <f>9/2</f>
        <v>4.5</v>
      </c>
      <c r="AX385">
        <f>(MAX((H378+$E$375*IF(AND(M378,$L$375=1,F378&gt;=0),22,3)),(T378+$E$375*IF(AND(Y378,$L$375=1,R378&gt;=0),22,3)))+$E$375*12)</f>
        <v>139.40809466538923</v>
      </c>
      <c r="AY385" t="str">
        <f>Z378</f>
        <v>+11%</v>
      </c>
    </row>
    <row r="386" spans="29:51" x14ac:dyDescent="0.25">
      <c r="AC386" s="20" t="str">
        <f>A380</f>
        <v>EBITDA</v>
      </c>
      <c r="AD386" t="s">
        <v>391</v>
      </c>
      <c r="AE386">
        <f>I380</f>
        <v>0</v>
      </c>
      <c r="AF386">
        <f>J380</f>
        <v>12.699999999999996</v>
      </c>
      <c r="AG386">
        <f>K380</f>
        <v>0</v>
      </c>
      <c r="AH386">
        <f>0</f>
        <v>0</v>
      </c>
      <c r="AI386">
        <f>0</f>
        <v>0</v>
      </c>
      <c r="AJ386" t="e">
        <f>IF(M380,NA(),(G380+H380)/2)</f>
        <v>#N/A</v>
      </c>
      <c r="AK386" s="14" t="str">
        <f>IF(OR(M380,AP386=0),"",D380)</f>
        <v/>
      </c>
      <c r="AL386" t="e">
        <f>NA()</f>
        <v>#N/A</v>
      </c>
      <c r="AM386" s="14" t="str">
        <f>""</f>
        <v/>
      </c>
      <c r="AN386">
        <f>IF(M380,IF(F380&gt;=0,H380,G380),NA())</f>
        <v>12.699999999999996</v>
      </c>
      <c r="AO386" s="12" t="str">
        <f>IF(AP386=0,IF(M380,FIXED(ROUND(F380/$G$375,$H$375),$H$375)&amp;$I$375,""),AA380)</f>
        <v>12,7</v>
      </c>
      <c r="AP386">
        <v>0</v>
      </c>
      <c r="AQ386">
        <f>H380</f>
        <v>12.699999999999996</v>
      </c>
      <c r="AW386">
        <f>5</f>
        <v>5</v>
      </c>
      <c r="AX386">
        <f>(MAX((H378+$E$375*IF(AND(M378,$L$375=1,F378&gt;=0),22,3)),(T378+$E$375*IF(AND(Y378,$L$375=1,R378&gt;=0),22,3)))+$E$375*12)</f>
        <v>139.40809466538923</v>
      </c>
    </row>
    <row r="387" spans="29:51" x14ac:dyDescent="0.25">
      <c r="AD387" t="s">
        <v>391</v>
      </c>
      <c r="AE387">
        <f>U380</f>
        <v>0</v>
      </c>
      <c r="AF387">
        <f>0</f>
        <v>0</v>
      </c>
      <c r="AG387">
        <f>0</f>
        <v>0</v>
      </c>
      <c r="AH387">
        <f>V380</f>
        <v>14.199999999999992</v>
      </c>
      <c r="AI387">
        <f>W380</f>
        <v>0</v>
      </c>
      <c r="AJ387" t="e">
        <f>NA()</f>
        <v>#N/A</v>
      </c>
      <c r="AK387" s="14" t="str">
        <f>""</f>
        <v/>
      </c>
      <c r="AL387" t="e">
        <f>IF(Y380,NA(),(S380+T380)/2)</f>
        <v>#N/A</v>
      </c>
      <c r="AM387" s="14" t="str">
        <f>IF(OR(Y380,AP387=0),"",P380)</f>
        <v/>
      </c>
      <c r="AN387">
        <f>IF(Y380,IF(R380&gt;=0,T380,S380),NA())</f>
        <v>14.199999999999992</v>
      </c>
      <c r="AO387" s="12" t="str">
        <f>IF(AP387=0,IF(Y380,FIXED(ROUND(R380/$G$375,$H$375),$H$375)&amp;$I$375,""),AB380)</f>
        <v>14,2</v>
      </c>
      <c r="AP387">
        <v>0</v>
      </c>
      <c r="AQ387">
        <f>T380</f>
        <v>14.199999999999992</v>
      </c>
      <c r="AW387">
        <f>5</f>
        <v>5</v>
      </c>
      <c r="AX387">
        <f>(T378+$E$375*IF(AND(Y378,$L$375=1,R378&gt;=0),22,3))</f>
        <v>131.64161893307784</v>
      </c>
    </row>
    <row r="388" spans="29:51" x14ac:dyDescent="0.25">
      <c r="AC388" t="s">
        <v>391</v>
      </c>
      <c r="AD388" t="s">
        <v>391</v>
      </c>
      <c r="AE388">
        <f>0</f>
        <v>0</v>
      </c>
      <c r="AF388">
        <f>0</f>
        <v>0</v>
      </c>
      <c r="AG388">
        <f>0</f>
        <v>0</v>
      </c>
      <c r="AH388">
        <f>0</f>
        <v>0</v>
      </c>
      <c r="AI388">
        <f>0</f>
        <v>0</v>
      </c>
      <c r="AJ388" t="e">
        <f>NA()</f>
        <v>#N/A</v>
      </c>
      <c r="AK388" s="14" t="str">
        <f>""</f>
        <v/>
      </c>
      <c r="AL388" t="e">
        <f>NA()</f>
        <v>#N/A</v>
      </c>
      <c r="AM388" s="14" t="str">
        <f>""</f>
        <v/>
      </c>
      <c r="AN388" t="e">
        <f>NA()</f>
        <v>#N/A</v>
      </c>
      <c r="AO388" s="12" t="str">
        <f>""</f>
        <v/>
      </c>
      <c r="AP388">
        <v>1</v>
      </c>
      <c r="AQ388">
        <f>0</f>
        <v>0</v>
      </c>
    </row>
    <row r="389" spans="29:51" x14ac:dyDescent="0.25">
      <c r="AC389" s="20" t="str">
        <f>A381</f>
        <v>Depreciação e juros</v>
      </c>
      <c r="AD389" t="s">
        <v>391</v>
      </c>
      <c r="AE389">
        <f>I381</f>
        <v>9.7999999999999954</v>
      </c>
      <c r="AF389">
        <f>J381</f>
        <v>2.9000000000000004</v>
      </c>
      <c r="AG389">
        <f>K381</f>
        <v>0</v>
      </c>
      <c r="AH389">
        <f>0</f>
        <v>0</v>
      </c>
      <c r="AI389">
        <f>0</f>
        <v>0</v>
      </c>
      <c r="AJ389">
        <f>IF(M381,NA(),(G381+H381)/2)</f>
        <v>11.249999999999996</v>
      </c>
      <c r="AK389" s="14" t="str">
        <f>IF(OR(M381,AP389=0),"",D381)</f>
        <v/>
      </c>
      <c r="AL389" t="e">
        <f>NA()</f>
        <v>#N/A</v>
      </c>
      <c r="AM389" s="14" t="str">
        <f>""</f>
        <v/>
      </c>
      <c r="AN389" t="e">
        <f>IF(M381,IF(F381&gt;=0,H381,G381),NA())</f>
        <v>#N/A</v>
      </c>
      <c r="AO389" s="12" t="str">
        <f>IF(AP389=0,IF(M381,FIXED(ROUND(F381/$G$375,$H$375),$H$375)&amp;$I$375,""),AA381)</f>
        <v/>
      </c>
      <c r="AP389">
        <v>0</v>
      </c>
      <c r="AQ389">
        <f>H381</f>
        <v>12.699999999999996</v>
      </c>
      <c r="AW389">
        <f>7</f>
        <v>7</v>
      </c>
      <c r="AX389">
        <f>(H379+$E$375*IF(AND(M379,$L$375=1,F379&gt;=0),22,3))</f>
        <v>39.241618933077845</v>
      </c>
    </row>
    <row r="390" spans="29:51" x14ac:dyDescent="0.25">
      <c r="AD390" t="s">
        <v>391</v>
      </c>
      <c r="AE390">
        <f>U381</f>
        <v>10.999999999999993</v>
      </c>
      <c r="AF390">
        <f>0</f>
        <v>0</v>
      </c>
      <c r="AG390">
        <f>0</f>
        <v>0</v>
      </c>
      <c r="AH390">
        <f>V381</f>
        <v>3.1999999999999993</v>
      </c>
      <c r="AI390">
        <f>W381</f>
        <v>0</v>
      </c>
      <c r="AJ390" t="e">
        <f>NA()</f>
        <v>#N/A</v>
      </c>
      <c r="AK390" s="14" t="str">
        <f>""</f>
        <v/>
      </c>
      <c r="AL390">
        <f>IF(Y381,NA(),(S381+T381)/2)</f>
        <v>12.599999999999993</v>
      </c>
      <c r="AM390" s="14" t="str">
        <f>IF(OR(Y381,AP390=0),"",P381)</f>
        <v/>
      </c>
      <c r="AN390" t="e">
        <f>IF(Y381,IF(R381&gt;=0,T381,S381),NA())</f>
        <v>#N/A</v>
      </c>
      <c r="AO390" s="12" t="str">
        <f>IF(AP390=0,IF(Y381,FIXED(ROUND(R381/$G$375,$H$375),$H$375)&amp;$I$375,""),AB381)</f>
        <v/>
      </c>
      <c r="AP390">
        <v>0</v>
      </c>
      <c r="AQ390">
        <f>T381</f>
        <v>14.199999999999992</v>
      </c>
      <c r="AW390">
        <f>7</f>
        <v>7</v>
      </c>
      <c r="AX390">
        <f>(MAX((H379+$E$375*IF(AND(M379,$L$375=1,F379&gt;=0),22,3)),(T379+$E$375*IF(AND(Y379,$L$375=1,R379&gt;=0),22,3)))+$E$375*12)</f>
        <v>51.108094665389231</v>
      </c>
    </row>
    <row r="391" spans="29:51" x14ac:dyDescent="0.25">
      <c r="AC391" t="s">
        <v>391</v>
      </c>
      <c r="AD391" t="s">
        <v>391</v>
      </c>
      <c r="AE391">
        <f>0</f>
        <v>0</v>
      </c>
      <c r="AF391">
        <f>0</f>
        <v>0</v>
      </c>
      <c r="AG391">
        <f>0</f>
        <v>0</v>
      </c>
      <c r="AH391">
        <f>0</f>
        <v>0</v>
      </c>
      <c r="AI391">
        <f>0</f>
        <v>0</v>
      </c>
      <c r="AJ391" t="e">
        <f>NA()</f>
        <v>#N/A</v>
      </c>
      <c r="AK391" s="14" t="str">
        <f>""</f>
        <v/>
      </c>
      <c r="AL391" t="e">
        <f>NA()</f>
        <v>#N/A</v>
      </c>
      <c r="AM391" s="14" t="str">
        <f>""</f>
        <v/>
      </c>
      <c r="AN391" t="e">
        <f>NA()</f>
        <v>#N/A</v>
      </c>
      <c r="AO391" s="12" t="str">
        <f>""</f>
        <v/>
      </c>
      <c r="AP391">
        <v>1</v>
      </c>
      <c r="AQ391">
        <f>0</f>
        <v>0</v>
      </c>
      <c r="AW391">
        <f>15/2</f>
        <v>7.5</v>
      </c>
      <c r="AX391">
        <f>(MAX((H379+$E$375*IF(AND(M379,$L$375=1,F379&gt;=0),22,3)),(T379+$E$375*IF(AND(Y379,$L$375=1,R379&gt;=0),22,3)))+$E$375*12)</f>
        <v>51.108094665389231</v>
      </c>
      <c r="AY391" t="str">
        <f>Z379</f>
        <v>+11%</v>
      </c>
    </row>
    <row r="392" spans="29:51" x14ac:dyDescent="0.25">
      <c r="AC392" s="20" t="str">
        <f>A382</f>
        <v>Impostos</v>
      </c>
      <c r="AD392" t="s">
        <v>391</v>
      </c>
      <c r="AE392">
        <f>I382</f>
        <v>6.4999999999999956</v>
      </c>
      <c r="AF392">
        <f>J382</f>
        <v>3.3</v>
      </c>
      <c r="AG392">
        <f>K382</f>
        <v>0</v>
      </c>
      <c r="AH392">
        <f>0</f>
        <v>0</v>
      </c>
      <c r="AI392">
        <f>0</f>
        <v>0</v>
      </c>
      <c r="AJ392">
        <f>IF(M382,NA(),(G382+H382)/2)</f>
        <v>8.149999999999995</v>
      </c>
      <c r="AK392" s="14" t="str">
        <f>IF(OR(M382,AP392=0),"",D382)</f>
        <v/>
      </c>
      <c r="AL392" t="e">
        <f>NA()</f>
        <v>#N/A</v>
      </c>
      <c r="AM392" s="14" t="str">
        <f>""</f>
        <v/>
      </c>
      <c r="AN392" t="e">
        <f>IF(M382,IF(F382&gt;=0,H382,G382),NA())</f>
        <v>#N/A</v>
      </c>
      <c r="AO392" s="12" t="str">
        <f>IF(AP392=0,IF(M382,FIXED(ROUND(F382/$G$375,$H$375),$H$375)&amp;$I$375,""),AA382)</f>
        <v/>
      </c>
      <c r="AP392">
        <v>0</v>
      </c>
      <c r="AQ392">
        <f>H382</f>
        <v>9.7999999999999954</v>
      </c>
      <c r="AW392">
        <f>8</f>
        <v>8</v>
      </c>
      <c r="AX392">
        <f>(MAX((H379+$E$375*IF(AND(M379,$L$375=1,F379&gt;=0),22,3)),(T379+$E$375*IF(AND(Y379,$L$375=1,R379&gt;=0),22,3)))+$E$375*12)</f>
        <v>51.108094665389231</v>
      </c>
    </row>
    <row r="393" spans="29:51" x14ac:dyDescent="0.25">
      <c r="AD393" t="s">
        <v>391</v>
      </c>
      <c r="AE393">
        <f>U382</f>
        <v>7.2999999999999927</v>
      </c>
      <c r="AF393">
        <f>0</f>
        <v>0</v>
      </c>
      <c r="AG393">
        <f>0</f>
        <v>0</v>
      </c>
      <c r="AH393">
        <f>V382</f>
        <v>3.7</v>
      </c>
      <c r="AI393">
        <f>W382</f>
        <v>0</v>
      </c>
      <c r="AJ393" t="e">
        <f>NA()</f>
        <v>#N/A</v>
      </c>
      <c r="AK393" s="14" t="str">
        <f>""</f>
        <v/>
      </c>
      <c r="AL393">
        <f>IF(Y382,NA(),(S382+T382)/2)</f>
        <v>9.1499999999999932</v>
      </c>
      <c r="AM393" s="14" t="str">
        <f>IF(OR(Y382,AP393=0),"",P382)</f>
        <v/>
      </c>
      <c r="AN393" t="e">
        <f>IF(Y382,IF(R382&gt;=0,T382,S382),NA())</f>
        <v>#N/A</v>
      </c>
      <c r="AO393" s="12" t="str">
        <f>IF(AP393=0,IF(Y382,FIXED(ROUND(R382/$G$375,$H$375),$H$375)&amp;$I$375,""),AB382)</f>
        <v/>
      </c>
      <c r="AP393">
        <v>0</v>
      </c>
      <c r="AQ393">
        <f>T382</f>
        <v>10.999999999999993</v>
      </c>
      <c r="AW393">
        <f>8</f>
        <v>8</v>
      </c>
      <c r="AX393">
        <f>(T379+$E$375*IF(AND(Y379,$L$375=1,R379&gt;=0),22,3))</f>
        <v>43.341618933077839</v>
      </c>
    </row>
    <row r="394" spans="29:51" x14ac:dyDescent="0.25">
      <c r="AC394" t="s">
        <v>391</v>
      </c>
      <c r="AD394" t="s">
        <v>391</v>
      </c>
      <c r="AE394">
        <f>0</f>
        <v>0</v>
      </c>
      <c r="AF394">
        <f>0</f>
        <v>0</v>
      </c>
      <c r="AG394">
        <f>0</f>
        <v>0</v>
      </c>
      <c r="AH394">
        <f>0</f>
        <v>0</v>
      </c>
      <c r="AI394">
        <f>0</f>
        <v>0</v>
      </c>
      <c r="AJ394" t="e">
        <f>NA()</f>
        <v>#N/A</v>
      </c>
      <c r="AK394" s="14" t="str">
        <f>""</f>
        <v/>
      </c>
      <c r="AL394" t="e">
        <f>NA()</f>
        <v>#N/A</v>
      </c>
      <c r="AM394" s="14" t="str">
        <f>""</f>
        <v/>
      </c>
      <c r="AN394" t="e">
        <f>NA()</f>
        <v>#N/A</v>
      </c>
      <c r="AO394" s="12" t="str">
        <f>""</f>
        <v/>
      </c>
      <c r="AP394">
        <v>1</v>
      </c>
      <c r="AQ394">
        <f>0</f>
        <v>0</v>
      </c>
    </row>
    <row r="395" spans="29:51" x14ac:dyDescent="0.25">
      <c r="AC395" s="20" t="str">
        <f>A383</f>
        <v>Lucro líquido</v>
      </c>
      <c r="AD395" t="s">
        <v>391</v>
      </c>
      <c r="AE395">
        <f>I383</f>
        <v>0</v>
      </c>
      <c r="AF395">
        <f>J383</f>
        <v>6.4999999999999956</v>
      </c>
      <c r="AG395">
        <f>K383</f>
        <v>0</v>
      </c>
      <c r="AH395">
        <f>0</f>
        <v>0</v>
      </c>
      <c r="AI395">
        <f>0</f>
        <v>0</v>
      </c>
      <c r="AJ395" t="e">
        <f>IF(M383,NA(),(G383+H383)/2)</f>
        <v>#N/A</v>
      </c>
      <c r="AK395" s="14" t="str">
        <f>IF(OR(M383,AP395=0),"",D383)</f>
        <v/>
      </c>
      <c r="AL395" t="e">
        <f>NA()</f>
        <v>#N/A</v>
      </c>
      <c r="AM395" s="14" t="str">
        <f>""</f>
        <v/>
      </c>
      <c r="AN395">
        <f>IF(M383,IF(F383&gt;=0,H383,G383),NA())</f>
        <v>6.4999999999999956</v>
      </c>
      <c r="AO395" s="12" t="str">
        <f>IF(AP395=0,IF(M383,FIXED(ROUND(F383/$G$375,$H$375),$H$375)&amp;$I$375,""),AA383)</f>
        <v>6,5 (6%)</v>
      </c>
      <c r="AP395">
        <v>1</v>
      </c>
      <c r="AQ395">
        <f>H383</f>
        <v>6.4999999999999956</v>
      </c>
      <c r="AW395">
        <f>10</f>
        <v>10</v>
      </c>
      <c r="AX395">
        <f>(H380+$E$375*IF(AND(M380,$L$375=1,F380&gt;=0),22,3))</f>
        <v>26.938538842570882</v>
      </c>
    </row>
    <row r="396" spans="29:51" x14ac:dyDescent="0.25">
      <c r="AD396" t="s">
        <v>391</v>
      </c>
      <c r="AE396">
        <f>U383</f>
        <v>0</v>
      </c>
      <c r="AF396">
        <f>0</f>
        <v>0</v>
      </c>
      <c r="AG396">
        <f>0</f>
        <v>0</v>
      </c>
      <c r="AH396">
        <f>V383</f>
        <v>7.2999999999999927</v>
      </c>
      <c r="AI396">
        <f>W383</f>
        <v>0</v>
      </c>
      <c r="AJ396" t="e">
        <f>NA()</f>
        <v>#N/A</v>
      </c>
      <c r="AK396" s="14" t="str">
        <f>""</f>
        <v/>
      </c>
      <c r="AL396" t="e">
        <f>IF(Y383,NA(),(S383+T383)/2)</f>
        <v>#N/A</v>
      </c>
      <c r="AM396" s="14" t="str">
        <f>IF(OR(Y383,AP396=0),"",P383)</f>
        <v/>
      </c>
      <c r="AN396">
        <f>IF(Y383,IF(R383&gt;=0,T383,S383),NA())</f>
        <v>7.2999999999999927</v>
      </c>
      <c r="AO396" s="12" t="str">
        <f>IF(AP396=0,IF(Y383,FIXED(ROUND(R383/$G$375,$H$375),$H$375)&amp;$I$375,""),AB383)</f>
        <v>7,3 (6%)</v>
      </c>
      <c r="AP396">
        <v>1</v>
      </c>
      <c r="AQ396">
        <f>T383</f>
        <v>7.2999999999999927</v>
      </c>
      <c r="AW396">
        <f>10</f>
        <v>10</v>
      </c>
      <c r="AX396">
        <f>(MAX((H380+$E$375*IF(AND(M380,$L$375=1,F380&gt;=0),22,3)),(T380+$E$375*IF(AND(Y380,$L$375=1,R380&gt;=0),22,3)))+$E$375*12)</f>
        <v>36.20501457488227</v>
      </c>
    </row>
    <row r="397" spans="29:51" x14ac:dyDescent="0.25">
      <c r="AW397">
        <f>21/2</f>
        <v>10.5</v>
      </c>
      <c r="AX397">
        <f>(MAX((H380+$E$375*IF(AND(M380,$L$375=1,F380&gt;=0),22,3)),(T380+$E$375*IF(AND(Y380,$L$375=1,R380&gt;=0),22,3)))+$E$375*12)</f>
        <v>36.20501457488227</v>
      </c>
      <c r="AY397" t="str">
        <f>Z380</f>
        <v>+12%</v>
      </c>
    </row>
    <row r="398" spans="29:51" x14ac:dyDescent="0.25">
      <c r="AW398">
        <f>11</f>
        <v>11</v>
      </c>
      <c r="AX398">
        <f>(MAX((H380+$E$375*IF(AND(M380,$L$375=1,F380&gt;=0),22,3)),(T380+$E$375*IF(AND(Y380,$L$375=1,R380&gt;=0),22,3)))+$E$375*12)</f>
        <v>36.20501457488227</v>
      </c>
    </row>
    <row r="399" spans="29:51" x14ac:dyDescent="0.25">
      <c r="AW399">
        <f>11</f>
        <v>11</v>
      </c>
      <c r="AX399">
        <f>(T380+$E$375*IF(AND(Y380,$L$375=1,R380&gt;=0),22,3))</f>
        <v>28.438538842570878</v>
      </c>
    </row>
    <row r="401" spans="49:51" x14ac:dyDescent="0.25">
      <c r="AW401">
        <f>13</f>
        <v>13</v>
      </c>
      <c r="AX401">
        <f>(H381+$E$375*IF(AND(M381,$L$375=1,F381&gt;=0),22,3))</f>
        <v>14.641618933077844</v>
      </c>
    </row>
    <row r="402" spans="49:51" x14ac:dyDescent="0.25">
      <c r="AW402">
        <f>13</f>
        <v>13</v>
      </c>
      <c r="AX402">
        <f>(MAX((H381+$E$375*IF(AND(M381,$L$375=1,F381&gt;=0),22,3)),(T381+$E$375*IF(AND(Y381,$L$375=1,R381&gt;=0),22,3)))+$E$375*12)</f>
        <v>23.908094665389232</v>
      </c>
    </row>
    <row r="403" spans="49:51" x14ac:dyDescent="0.25">
      <c r="AW403">
        <f>27/2</f>
        <v>13.5</v>
      </c>
      <c r="AX403">
        <f>(MAX((H381+$E$375*IF(AND(M381,$L$375=1,F381&gt;=0),22,3)),(T381+$E$375*IF(AND(Y381,$L$375=1,R381&gt;=0),22,3)))+$E$375*12)</f>
        <v>23.908094665389232</v>
      </c>
      <c r="AY403" t="str">
        <f>Z381</f>
        <v>+10%</v>
      </c>
    </row>
    <row r="404" spans="49:51" x14ac:dyDescent="0.25">
      <c r="AW404">
        <f>14</f>
        <v>14</v>
      </c>
      <c r="AX404">
        <f>(MAX((H381+$E$375*IF(AND(M381,$L$375=1,F381&gt;=0),22,3)),(T381+$E$375*IF(AND(Y381,$L$375=1,R381&gt;=0),22,3)))+$E$375*12)</f>
        <v>23.908094665389232</v>
      </c>
    </row>
    <row r="405" spans="49:51" x14ac:dyDescent="0.25">
      <c r="AW405">
        <f>14</f>
        <v>14</v>
      </c>
      <c r="AX405">
        <f>(T381+$E$375*IF(AND(Y381,$L$375=1,R381&gt;=0),22,3))</f>
        <v>16.14161893307784</v>
      </c>
    </row>
    <row r="407" spans="49:51" x14ac:dyDescent="0.25">
      <c r="AW407">
        <f>16</f>
        <v>16</v>
      </c>
      <c r="AX407">
        <f>(H382+$E$375*IF(AND(M382,$L$375=1,F382&gt;=0),22,3))</f>
        <v>11.741618933077843</v>
      </c>
    </row>
    <row r="408" spans="49:51" x14ac:dyDescent="0.25">
      <c r="AW408">
        <f>16</f>
        <v>16</v>
      </c>
      <c r="AX408">
        <f>(MAX((H382+$E$375*IF(AND(M382,$L$375=1,F382&gt;=0),22,3)),(T382+$E$375*IF(AND(Y382,$L$375=1,R382&gt;=0),22,3)))+$E$375*12)</f>
        <v>20.708094665389233</v>
      </c>
    </row>
    <row r="409" spans="49:51" x14ac:dyDescent="0.25">
      <c r="AW409">
        <f>33/2</f>
        <v>16.5</v>
      </c>
      <c r="AX409">
        <f>(MAX((H382+$E$375*IF(AND(M382,$L$375=1,F382&gt;=0),22,3)),(T382+$E$375*IF(AND(Y382,$L$375=1,R382&gt;=0),22,3)))+$E$375*12)</f>
        <v>20.708094665389233</v>
      </c>
      <c r="AY409" t="str">
        <f>Z382</f>
        <v>+12%</v>
      </c>
    </row>
    <row r="410" spans="49:51" x14ac:dyDescent="0.25">
      <c r="AW410">
        <f>17</f>
        <v>17</v>
      </c>
      <c r="AX410">
        <f>(MAX((H382+$E$375*IF(AND(M382,$L$375=1,F382&gt;=0),22,3)),(T382+$E$375*IF(AND(Y382,$L$375=1,R382&gt;=0),22,3)))+$E$375*12)</f>
        <v>20.708094665389233</v>
      </c>
    </row>
    <row r="411" spans="49:51" x14ac:dyDescent="0.25">
      <c r="AW411">
        <f>17</f>
        <v>17</v>
      </c>
      <c r="AX411">
        <f>(T382+$E$375*IF(AND(Y382,$L$375=1,R382&gt;=0),22,3))</f>
        <v>12.941618933077841</v>
      </c>
    </row>
    <row r="413" spans="49:51" x14ac:dyDescent="0.25">
      <c r="AW413">
        <f>19</f>
        <v>19</v>
      </c>
      <c r="AX413">
        <f>(H383+$E$375*IF(AND(M383,$L$375=1,F383&gt;=0),22,3))</f>
        <v>20.738538842570883</v>
      </c>
    </row>
    <row r="414" spans="49:51" x14ac:dyDescent="0.25">
      <c r="AW414">
        <f>19</f>
        <v>19</v>
      </c>
      <c r="AX414">
        <f>(MAX((H383+$E$375*IF(AND(M383,$L$375=1,F383&gt;=0),22,3)),(T383+$E$375*IF(AND(Y383,$L$375=1,R383&gt;=0),22,3)))+$E$375*12)</f>
        <v>29.305014574882271</v>
      </c>
    </row>
    <row r="415" spans="49:51" x14ac:dyDescent="0.25">
      <c r="AW415">
        <f>39/2</f>
        <v>19.5</v>
      </c>
      <c r="AX415">
        <f>(MAX((H383+$E$375*IF(AND(M383,$L$375=1,F383&gt;=0),22,3)),(T383+$E$375*IF(AND(Y383,$L$375=1,R383&gt;=0),22,3)))+$E$375*12)</f>
        <v>29.305014574882271</v>
      </c>
      <c r="AY415" t="str">
        <f>Z383</f>
        <v>+12%</v>
      </c>
    </row>
    <row r="416" spans="49:51" x14ac:dyDescent="0.25">
      <c r="AW416">
        <f>20</f>
        <v>20</v>
      </c>
      <c r="AX416">
        <f>(MAX((H383+$E$375*IF(AND(M383,$L$375=1,F383&gt;=0),22,3)),(T383+$E$375*IF(AND(Y383,$L$375=1,R383&gt;=0),22,3)))+$E$375*12)</f>
        <v>29.305014574882271</v>
      </c>
    </row>
    <row r="417" spans="1:58" x14ac:dyDescent="0.25">
      <c r="AW417">
        <f>20</f>
        <v>20</v>
      </c>
      <c r="AX417">
        <f>(T383+$E$375*IF(AND(Y383,$L$375=1,R383&gt;=0),22,3))</f>
        <v>21.53853884257088</v>
      </c>
    </row>
    <row r="420" spans="1:58" x14ac:dyDescent="0.25">
      <c r="A420" s="11" t="s">
        <v>396</v>
      </c>
      <c r="B420" s="5" t="s">
        <v>334</v>
      </c>
      <c r="C420" s="5" t="str">
        <f>"'E28'!$A$6:$C$13"</f>
        <v>'E28'!$A$6:$C$13</v>
      </c>
      <c r="D420" s="11" t="s">
        <v>397</v>
      </c>
      <c r="E420" s="5">
        <v>0.12584567158837903</v>
      </c>
      <c r="F420" s="5">
        <v>0.38461538461538464</v>
      </c>
      <c r="G420" s="5">
        <v>1</v>
      </c>
      <c r="H420" s="5">
        <v>1</v>
      </c>
      <c r="I420" s="11"/>
      <c r="J420" s="11"/>
      <c r="K420" s="5">
        <v>1</v>
      </c>
      <c r="L420" s="5">
        <v>1</v>
      </c>
      <c r="M420" s="5">
        <v>1</v>
      </c>
      <c r="N420" s="5">
        <v>0</v>
      </c>
      <c r="O420" s="5">
        <v>1</v>
      </c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</row>
    <row r="421" spans="1:58" x14ac:dyDescent="0.25">
      <c r="A421" t="s">
        <v>104</v>
      </c>
      <c r="B421" t="s">
        <v>335</v>
      </c>
      <c r="C421" t="s">
        <v>336</v>
      </c>
      <c r="D421" t="s">
        <v>337</v>
      </c>
      <c r="E421" t="s">
        <v>338</v>
      </c>
      <c r="F421" t="s">
        <v>339</v>
      </c>
      <c r="G421" t="s">
        <v>340</v>
      </c>
      <c r="H421" t="s">
        <v>341</v>
      </c>
      <c r="I421" t="s">
        <v>342</v>
      </c>
      <c r="J421" t="s">
        <v>343</v>
      </c>
      <c r="K421" t="s">
        <v>344</v>
      </c>
      <c r="L421" t="s">
        <v>345</v>
      </c>
      <c r="M421" t="s">
        <v>346</v>
      </c>
      <c r="N421" t="s">
        <v>347</v>
      </c>
      <c r="O421" t="s">
        <v>348</v>
      </c>
      <c r="P421" t="s">
        <v>349</v>
      </c>
      <c r="Q421" t="s">
        <v>350</v>
      </c>
      <c r="R421" t="s">
        <v>351</v>
      </c>
      <c r="S421" t="s">
        <v>352</v>
      </c>
      <c r="T421" t="s">
        <v>353</v>
      </c>
      <c r="U421" t="s">
        <v>354</v>
      </c>
      <c r="V421" t="s">
        <v>355</v>
      </c>
      <c r="W421" t="s">
        <v>356</v>
      </c>
      <c r="X421" t="s">
        <v>357</v>
      </c>
      <c r="Y421" t="s">
        <v>358</v>
      </c>
      <c r="Z421" t="s">
        <v>359</v>
      </c>
      <c r="AA421" t="s">
        <v>360</v>
      </c>
      <c r="AB421" t="s">
        <v>361</v>
      </c>
      <c r="AC421" t="s">
        <v>362</v>
      </c>
      <c r="AD421" t="s">
        <v>363</v>
      </c>
      <c r="AE421" t="s">
        <v>364</v>
      </c>
      <c r="AF421" t="s">
        <v>365</v>
      </c>
      <c r="AG421" t="s">
        <v>366</v>
      </c>
      <c r="AH421" t="s">
        <v>367</v>
      </c>
      <c r="AI421" t="s">
        <v>368</v>
      </c>
      <c r="AJ421" t="s">
        <v>369</v>
      </c>
      <c r="AK421" t="s">
        <v>370</v>
      </c>
      <c r="AL421" t="s">
        <v>371</v>
      </c>
      <c r="AM421" t="s">
        <v>372</v>
      </c>
      <c r="AN421" t="s">
        <v>198</v>
      </c>
      <c r="AO421" t="s">
        <v>373</v>
      </c>
      <c r="AP421" t="s">
        <v>374</v>
      </c>
      <c r="AQ421" t="s">
        <v>375</v>
      </c>
      <c r="AR421" t="s">
        <v>376</v>
      </c>
      <c r="AS421" t="s">
        <v>377</v>
      </c>
      <c r="AT421" t="s">
        <v>378</v>
      </c>
      <c r="AU421" t="s">
        <v>379</v>
      </c>
      <c r="AV421" t="s">
        <v>380</v>
      </c>
      <c r="AW421" t="s">
        <v>381</v>
      </c>
      <c r="AX421" t="s">
        <v>382</v>
      </c>
      <c r="AY421" t="s">
        <v>383</v>
      </c>
      <c r="AZ421" t="s">
        <v>384</v>
      </c>
      <c r="BA421" t="s">
        <v>385</v>
      </c>
      <c r="BB421" t="s">
        <v>386</v>
      </c>
      <c r="BC421" t="s">
        <v>387</v>
      </c>
      <c r="BD421" t="s">
        <v>388</v>
      </c>
      <c r="BE421" t="s">
        <v>389</v>
      </c>
      <c r="BF421" t="s">
        <v>390</v>
      </c>
    </row>
    <row r="422" spans="1:58" x14ac:dyDescent="0.25">
      <c r="A422" s="20" t="str">
        <f>IF(ISBLANK('E28'!$A$7)," ",'E28'!$A$7)</f>
        <v>Receita bruta</v>
      </c>
      <c r="B422">
        <f>'E28'!$B$7</f>
        <v>26.2</v>
      </c>
      <c r="C422" t="b">
        <f>IF(ISERROR(B422),FALSE,IF(ISNUMBER(B422),FALSE,OR(LOWER(TRIM(B422&amp;""))={"e","t","=","total","subtotal"})))</f>
        <v>0</v>
      </c>
      <c r="D422">
        <f>IF(C422,0,IF(ISNUMBER(B422),B422,0))</f>
        <v>26.2</v>
      </c>
      <c r="E422">
        <f>0</f>
        <v>0</v>
      </c>
      <c r="F422">
        <f>IF(C422,E422,E422+D422)</f>
        <v>26.2</v>
      </c>
      <c r="G422">
        <f>IF(C422,MIN(0,F422),MIN(E422,F422))</f>
        <v>0</v>
      </c>
      <c r="H422">
        <f>IF(C422,MAX(0,F422),MAX(E422,F422))</f>
        <v>26.2</v>
      </c>
      <c r="I422">
        <f>MAX(0,G422)+MIN(0,H422)</f>
        <v>0</v>
      </c>
      <c r="J422">
        <f>MAX(0,H422)-MAX(0,G422)</f>
        <v>26.2</v>
      </c>
      <c r="K422">
        <f>MIN(0,G422)-MIN(0,H422)</f>
        <v>0</v>
      </c>
      <c r="L422">
        <f>IF(M422,F422,D422)</f>
        <v>26.2</v>
      </c>
      <c r="M422" t="b">
        <f>TRUE</f>
        <v>1</v>
      </c>
      <c r="N422">
        <f>'E28'!$C$7</f>
        <v>21.1</v>
      </c>
      <c r="O422" t="b">
        <f>IF(ISERROR(N422),FALSE,IF(ISNUMBER(N422),FALSE,OR(LOWER(TRIM(N422&amp;""))={"e","t","=","total","subtotal"})))</f>
        <v>0</v>
      </c>
      <c r="P422">
        <f>IF(O422,0,IF(ISNUMBER(N422),N422,0))</f>
        <v>21.1</v>
      </c>
      <c r="Q422">
        <f>0</f>
        <v>0</v>
      </c>
      <c r="R422">
        <f>IF(O422,Q422,Q422+P422)</f>
        <v>21.1</v>
      </c>
      <c r="S422">
        <f>IF(O422,MIN(0,R422),MIN(Q422,R422))</f>
        <v>0</v>
      </c>
      <c r="T422">
        <f>IF(O422,MAX(0,R422),MAX(Q422,R422))</f>
        <v>21.1</v>
      </c>
      <c r="U422">
        <f>MAX(0,S422)+MIN(0,T422)</f>
        <v>0</v>
      </c>
      <c r="V422">
        <f>MAX(0,T422)-MAX(0,S422)</f>
        <v>21.1</v>
      </c>
      <c r="W422">
        <f>MIN(0,S422)-MIN(0,T422)</f>
        <v>0</v>
      </c>
      <c r="X422">
        <f>IF(Y422,R422,P422)</f>
        <v>21.1</v>
      </c>
      <c r="Y422" t="b">
        <f>TRUE</f>
        <v>1</v>
      </c>
      <c r="Z422" t="str">
        <f>IF(M422&lt;&gt;Y422,"n/d",IF($K$420=1,IF(ROUND((X422-L422)/$G$420,$H$420)&gt;0,"+","")&amp;FIXED(ROUND((X422-L422)/$G$420,$H$420),$H$420)&amp;$J$420,IF(OR(L422=0,L422*X422&lt;0),"n/d",IF(ROUND(100*(X422-L422)/L422,0)&gt;0,"+","")&amp;FIXED(ROUND(100*(X422-L422)/L422,0),0)&amp;"%")))</f>
        <v>-5,1</v>
      </c>
      <c r="AA422" t="str">
        <f>IF(M422,FIXED(ROUND(F422/$G$420,$H$420),$H$420)&amp;$I$420,"")</f>
        <v>26,2</v>
      </c>
      <c r="AB422" t="str">
        <f>IF(Y422,FIXED(ROUND(R422/$G$420,$H$420),$H$420)&amp;$I$420,"")</f>
        <v>21,1</v>
      </c>
      <c r="AC422" s="20" t="str">
        <f>A422</f>
        <v>Receita bruta</v>
      </c>
      <c r="AD422" t="s">
        <v>391</v>
      </c>
      <c r="AE422">
        <f>I422</f>
        <v>0</v>
      </c>
      <c r="AF422">
        <f>J422</f>
        <v>26.2</v>
      </c>
      <c r="AG422">
        <f>K422</f>
        <v>0</v>
      </c>
      <c r="AH422">
        <f>0</f>
        <v>0</v>
      </c>
      <c r="AI422">
        <f>0</f>
        <v>0</v>
      </c>
      <c r="AJ422" t="e">
        <f>IF(M422,NA(),(G422+H422)/2)</f>
        <v>#N/A</v>
      </c>
      <c r="AK422" s="14" t="str">
        <f>IF(OR(M422,AP422=0),"",D422)</f>
        <v/>
      </c>
      <c r="AL422" t="e">
        <f>NA()</f>
        <v>#N/A</v>
      </c>
      <c r="AM422" s="14" t="str">
        <f>""</f>
        <v/>
      </c>
      <c r="AN422">
        <f>IF(M422,IF(F422&gt;=0,H422,G422),NA())</f>
        <v>26.2</v>
      </c>
      <c r="AO422" s="12" t="str">
        <f>IF(AP422=0,IF(M422,FIXED(ROUND(F422/$G$420,$H$420),$H$420)&amp;$I$420,""),AA422)</f>
        <v>26,2</v>
      </c>
      <c r="AP422">
        <v>1</v>
      </c>
      <c r="AQ422">
        <f>H422</f>
        <v>26.2</v>
      </c>
      <c r="AR422">
        <f>1+$F$420</f>
        <v>1.3846153846153846</v>
      </c>
      <c r="AS422">
        <f>F422</f>
        <v>26.2</v>
      </c>
      <c r="AT422">
        <f>3-2*$F$420</f>
        <v>2.2307692307692308</v>
      </c>
      <c r="AU422">
        <f>2+$F$420</f>
        <v>2.3846153846153846</v>
      </c>
      <c r="AV422">
        <f>R422</f>
        <v>21.1</v>
      </c>
      <c r="AW422">
        <f>1</f>
        <v>1</v>
      </c>
      <c r="AX422">
        <f>(H422+$E$420*IF(AND(M422,$L$420=1,F422&gt;=0),22,3))</f>
        <v>28.968604774944339</v>
      </c>
      <c r="AZ422">
        <f>3/2</f>
        <v>1.5</v>
      </c>
      <c r="BA422">
        <f>(MAX((H422+$E$420*IF(AND(M422,$L$420=1,F422&gt;=0),22,3)),(T422+$E$420*IF(AND(Y422,$L$420=1,R422&gt;=0),22,3)))+$E$420*12)+$E$420*12</f>
        <v>31.988900893065434</v>
      </c>
      <c r="BB422">
        <f>1</f>
        <v>1</v>
      </c>
      <c r="BC422">
        <f>(G422+H422)/2</f>
        <v>13.1</v>
      </c>
      <c r="BD422" t="str">
        <f>IF(AND($N$420=1,$O$420=1),'E28'!$B$6&amp;"","")</f>
        <v/>
      </c>
      <c r="BE422">
        <f>1/2</f>
        <v>0.5</v>
      </c>
      <c r="BF422">
        <f>0</f>
        <v>0</v>
      </c>
    </row>
    <row r="423" spans="1:58" x14ac:dyDescent="0.25">
      <c r="A423" s="20" t="str">
        <f>IF(ISBLANK('E28'!$A$8)," ",'E28'!$A$8)</f>
        <v>Custo das mercadorias</v>
      </c>
      <c r="B423">
        <f>'E28'!$B$8</f>
        <v>-18</v>
      </c>
      <c r="C423" t="b">
        <f>IF(ISERROR(B423),FALSE,IF(ISNUMBER(B423),FALSE,OR(LOWER(TRIM(B423&amp;""))={"e","t","=","total","subtotal"})))</f>
        <v>0</v>
      </c>
      <c r="D423">
        <f>IF(C423,0,IF(ISNUMBER(B423),B423,0))</f>
        <v>-18</v>
      </c>
      <c r="E423">
        <f>F422</f>
        <v>26.2</v>
      </c>
      <c r="F423">
        <f>IF(C423,E423,E423+D423)</f>
        <v>8.1999999999999993</v>
      </c>
      <c r="G423">
        <f>IF(C423,MIN(0,F423),MIN(E423,F423))</f>
        <v>8.1999999999999993</v>
      </c>
      <c r="H423">
        <f>IF(C423,MAX(0,F423),MAX(E423,F423))</f>
        <v>26.2</v>
      </c>
      <c r="I423">
        <f>MAX(0,G423)+MIN(0,H423)</f>
        <v>8.1999999999999993</v>
      </c>
      <c r="J423">
        <f>MAX(0,H423)-MAX(0,G423)</f>
        <v>18</v>
      </c>
      <c r="K423">
        <f>MIN(0,G423)-MIN(0,H423)</f>
        <v>0</v>
      </c>
      <c r="L423">
        <f>IF(M423,F423,D423)</f>
        <v>-18</v>
      </c>
      <c r="M423" t="b">
        <f>C423</f>
        <v>0</v>
      </c>
      <c r="N423">
        <f>'E28'!$C$8</f>
        <v>-14.1</v>
      </c>
      <c r="O423" t="b">
        <f>IF(ISERROR(N423),FALSE,IF(ISNUMBER(N423),FALSE,OR(LOWER(TRIM(N423&amp;""))={"e","t","=","total","subtotal"})))</f>
        <v>0</v>
      </c>
      <c r="P423">
        <f>IF(O423,0,IF(ISNUMBER(N423),N423,0))</f>
        <v>-14.1</v>
      </c>
      <c r="Q423">
        <f>R422</f>
        <v>21.1</v>
      </c>
      <c r="R423">
        <f>IF(O423,Q423,Q423+P423)</f>
        <v>7.0000000000000018</v>
      </c>
      <c r="S423">
        <f>IF(O423,MIN(0,R423),MIN(Q423,R423))</f>
        <v>7.0000000000000018</v>
      </c>
      <c r="T423">
        <f>IF(O423,MAX(0,R423),MAX(Q423,R423))</f>
        <v>21.1</v>
      </c>
      <c r="U423">
        <f>MAX(0,S423)+MIN(0,T423)</f>
        <v>7.0000000000000018</v>
      </c>
      <c r="V423">
        <f>MAX(0,T423)-MAX(0,S423)</f>
        <v>14.1</v>
      </c>
      <c r="W423">
        <f>MIN(0,S423)-MIN(0,T423)</f>
        <v>0</v>
      </c>
      <c r="X423">
        <f>IF(Y423,R423,P423)</f>
        <v>-14.1</v>
      </c>
      <c r="Y423" t="b">
        <f>O423</f>
        <v>0</v>
      </c>
      <c r="Z423" t="str">
        <f>IF(M423&lt;&gt;Y423,"n/d",IF($K$420=1,IF(ROUND((X423-L423)/$G$420,$H$420)&gt;0,"+","")&amp;FIXED(ROUND((X423-L423)/$G$420,$H$420),$H$420)&amp;$J$420,IF(OR(L423=0,L423*X423&lt;0),"n/d",IF(ROUND(100*(X423-L423)/L423,0)&gt;0,"+","")&amp;FIXED(ROUND(100*(X423-L423)/L423,0),0)&amp;"%")))</f>
        <v>+3,9</v>
      </c>
      <c r="AA423" t="str">
        <f>IF(M423,FIXED(ROUND(F423/$G$420,$H$420),$H$420)&amp;$I$420&amp;IF(AND($M$420=1,$F$422&lt;&gt;0)," ("&amp;FIXED(ROUND(100*F423/$F$422,0),0)&amp;"%)",""),"")</f>
        <v/>
      </c>
      <c r="AB423" t="str">
        <f>IF(Y423,FIXED(ROUND(R423/$G$420,$H$420),$H$420)&amp;$I$420&amp;IF(AND($M$420=1,$R$422&lt;&gt;0)," ("&amp;FIXED(ROUND(100*R423/$R$422,0),0)&amp;"%)",""),"")</f>
        <v/>
      </c>
      <c r="AD423" t="s">
        <v>391</v>
      </c>
      <c r="AE423">
        <f>U422</f>
        <v>0</v>
      </c>
      <c r="AF423">
        <f>0</f>
        <v>0</v>
      </c>
      <c r="AG423">
        <f>0</f>
        <v>0</v>
      </c>
      <c r="AH423">
        <f>V422</f>
        <v>21.1</v>
      </c>
      <c r="AI423">
        <f>W422</f>
        <v>0</v>
      </c>
      <c r="AJ423" t="e">
        <f>NA()</f>
        <v>#N/A</v>
      </c>
      <c r="AK423" s="14" t="str">
        <f>""</f>
        <v/>
      </c>
      <c r="AL423" t="e">
        <f>IF(Y422,NA(),(S422+T422)/2)</f>
        <v>#N/A</v>
      </c>
      <c r="AM423" s="14" t="str">
        <f>IF(OR(Y422,AP423=0),"",P422)</f>
        <v/>
      </c>
      <c r="AN423">
        <f>IF(Y422,IF(R422&gt;=0,T422,S422),NA())</f>
        <v>21.1</v>
      </c>
      <c r="AO423" s="12" t="str">
        <f>IF(AP423=0,IF(Y422,FIXED(ROUND(R422/$G$420,$H$420),$H$420)&amp;$I$420,""),AB422)</f>
        <v>21,1</v>
      </c>
      <c r="AP423">
        <v>1</v>
      </c>
      <c r="AQ423">
        <f>T422</f>
        <v>21.1</v>
      </c>
      <c r="AR423">
        <f>4+$F$420</f>
        <v>4.384615384615385</v>
      </c>
      <c r="AS423">
        <f>F423</f>
        <v>8.1999999999999993</v>
      </c>
      <c r="AT423">
        <f>3-2*$F$420</f>
        <v>2.2307692307692308</v>
      </c>
      <c r="AU423">
        <f>5+$F$420</f>
        <v>5.384615384615385</v>
      </c>
      <c r="AV423">
        <f>R423</f>
        <v>7.0000000000000018</v>
      </c>
      <c r="AW423">
        <f>1</f>
        <v>1</v>
      </c>
      <c r="AX423">
        <f>(MAX((H422+$E$420*IF(AND(M422,$L$420=1,F422&gt;=0),22,3)),(T422+$E$420*IF(AND(Y422,$L$420=1,R422&gt;=0),22,3)))+$E$420*12)</f>
        <v>30.478752834004887</v>
      </c>
      <c r="AZ423">
        <f>9/2</f>
        <v>4.5</v>
      </c>
      <c r="BA423">
        <f>(MAX((H423+$E$420*IF(AND(M423,$L$420=1,F423&gt;=0),22,3)),(T423+$E$420*IF(AND(Y423,$L$420=1,R423&gt;=0),22,3)))+$E$420*12)+$E$420*12</f>
        <v>29.597833132886233</v>
      </c>
      <c r="BB423">
        <f>2</f>
        <v>2</v>
      </c>
      <c r="BC423">
        <f>(S422+T422)/2</f>
        <v>10.55</v>
      </c>
      <c r="BD423" t="str">
        <f>IF(AND($N$420=1,$O$420=1),'E28'!$C$6&amp;"","")</f>
        <v/>
      </c>
      <c r="BE423">
        <f>41/2</f>
        <v>20.5</v>
      </c>
      <c r="BF423">
        <f>0</f>
        <v>0</v>
      </c>
    </row>
    <row r="424" spans="1:58" x14ac:dyDescent="0.25">
      <c r="A424" s="20" t="str">
        <f>IF(ISBLANK('E28'!$A$9)," ",'E28'!$A$9)</f>
        <v>Despesas operacionais</v>
      </c>
      <c r="B424">
        <f>'E28'!$B$9</f>
        <v>-5.5</v>
      </c>
      <c r="C424" t="b">
        <f>IF(ISERROR(B424),FALSE,IF(ISNUMBER(B424),FALSE,OR(LOWER(TRIM(B424&amp;""))={"e","t","=","total","subtotal"})))</f>
        <v>0</v>
      </c>
      <c r="D424">
        <f>IF(C424,0,IF(ISNUMBER(B424),B424,0))</f>
        <v>-5.5</v>
      </c>
      <c r="E424">
        <f>F423</f>
        <v>8.1999999999999993</v>
      </c>
      <c r="F424">
        <f>IF(C424,E424,E424+D424)</f>
        <v>2.6999999999999993</v>
      </c>
      <c r="G424">
        <f>IF(C424,MIN(0,F424),MIN(E424,F424))</f>
        <v>2.6999999999999993</v>
      </c>
      <c r="H424">
        <f>IF(C424,MAX(0,F424),MAX(E424,F424))</f>
        <v>8.1999999999999993</v>
      </c>
      <c r="I424">
        <f>MAX(0,G424)+MIN(0,H424)</f>
        <v>2.6999999999999993</v>
      </c>
      <c r="J424">
        <f>MAX(0,H424)-MAX(0,G424)</f>
        <v>5.5</v>
      </c>
      <c r="K424">
        <f>MIN(0,G424)-MIN(0,H424)</f>
        <v>0</v>
      </c>
      <c r="L424">
        <f>IF(M424,F424,D424)</f>
        <v>-5.5</v>
      </c>
      <c r="M424" t="b">
        <f>C424</f>
        <v>0</v>
      </c>
      <c r="N424">
        <f>'E28'!$C$9</f>
        <v>-4.4000000000000004</v>
      </c>
      <c r="O424" t="b">
        <f>IF(ISERROR(N424),FALSE,IF(ISNUMBER(N424),FALSE,OR(LOWER(TRIM(N424&amp;""))={"e","t","=","total","subtotal"})))</f>
        <v>0</v>
      </c>
      <c r="P424">
        <f>IF(O424,0,IF(ISNUMBER(N424),N424,0))</f>
        <v>-4.4000000000000004</v>
      </c>
      <c r="Q424">
        <f>R423</f>
        <v>7.0000000000000018</v>
      </c>
      <c r="R424">
        <f>IF(O424,Q424,Q424+P424)</f>
        <v>2.6000000000000014</v>
      </c>
      <c r="S424">
        <f>IF(O424,MIN(0,R424),MIN(Q424,R424))</f>
        <v>2.6000000000000014</v>
      </c>
      <c r="T424">
        <f>IF(O424,MAX(0,R424),MAX(Q424,R424))</f>
        <v>7.0000000000000018</v>
      </c>
      <c r="U424">
        <f>MAX(0,S424)+MIN(0,T424)</f>
        <v>2.6000000000000014</v>
      </c>
      <c r="V424">
        <f>MAX(0,T424)-MAX(0,S424)</f>
        <v>4.4000000000000004</v>
      </c>
      <c r="W424">
        <f>MIN(0,S424)-MIN(0,T424)</f>
        <v>0</v>
      </c>
      <c r="X424">
        <f>IF(Y424,R424,P424)</f>
        <v>-4.4000000000000004</v>
      </c>
      <c r="Y424" t="b">
        <f>O424</f>
        <v>0</v>
      </c>
      <c r="Z424" t="str">
        <f>IF(M424&lt;&gt;Y424,"n/d",IF($K$420=1,IF(ROUND((X424-L424)/$G$420,$H$420)&gt;0,"+","")&amp;FIXED(ROUND((X424-L424)/$G$420,$H$420),$H$420)&amp;$J$420,IF(OR(L424=0,L424*X424&lt;0),"n/d",IF(ROUND(100*(X424-L424)/L424,0)&gt;0,"+","")&amp;FIXED(ROUND(100*(X424-L424)/L424,0),0)&amp;"%")))</f>
        <v>+1,1</v>
      </c>
      <c r="AA424" t="str">
        <f>IF(M424,FIXED(ROUND(F424/$G$420,$H$420),$H$420)&amp;$I$420&amp;IF(AND($M$420=1,$F$422&lt;&gt;0)," ("&amp;FIXED(ROUND(100*F424/$F$422,0),0)&amp;"%)",""),"")</f>
        <v/>
      </c>
      <c r="AB424" t="str">
        <f>IF(Y424,FIXED(ROUND(R424/$G$420,$H$420),$H$420)&amp;$I$420&amp;IF(AND($M$420=1,$R$422&lt;&gt;0)," ("&amp;FIXED(ROUND(100*R424/$R$422,0),0)&amp;"%)",""),"")</f>
        <v/>
      </c>
      <c r="AC424" t="s">
        <v>391</v>
      </c>
      <c r="AD424" t="s">
        <v>391</v>
      </c>
      <c r="AE424">
        <f>0</f>
        <v>0</v>
      </c>
      <c r="AF424">
        <f>0</f>
        <v>0</v>
      </c>
      <c r="AG424">
        <f>0</f>
        <v>0</v>
      </c>
      <c r="AH424">
        <f>0</f>
        <v>0</v>
      </c>
      <c r="AI424">
        <f>0</f>
        <v>0</v>
      </c>
      <c r="AJ424" t="e">
        <f>NA()</f>
        <v>#N/A</v>
      </c>
      <c r="AK424" s="14" t="str">
        <f>""</f>
        <v/>
      </c>
      <c r="AL424" t="e">
        <f>NA()</f>
        <v>#N/A</v>
      </c>
      <c r="AM424" s="14" t="str">
        <f>""</f>
        <v/>
      </c>
      <c r="AN424" t="e">
        <f>NA()</f>
        <v>#N/A</v>
      </c>
      <c r="AO424" s="12" t="str">
        <f>""</f>
        <v/>
      </c>
      <c r="AP424">
        <v>1</v>
      </c>
      <c r="AQ424">
        <f>0</f>
        <v>0</v>
      </c>
      <c r="AR424">
        <f>7+$F$420</f>
        <v>7.384615384615385</v>
      </c>
      <c r="AS424">
        <f>F424</f>
        <v>2.6999999999999993</v>
      </c>
      <c r="AT424">
        <f>3-2*$F$420</f>
        <v>2.2307692307692308</v>
      </c>
      <c r="AU424">
        <f>8+$F$420</f>
        <v>8.384615384615385</v>
      </c>
      <c r="AV424">
        <f>R424</f>
        <v>2.6000000000000014</v>
      </c>
      <c r="AW424">
        <f>3/2</f>
        <v>1.5</v>
      </c>
      <c r="AX424">
        <f>(MAX((H422+$E$420*IF(AND(M422,$L$420=1,F422&gt;=0),22,3)),(T422+$E$420*IF(AND(Y422,$L$420=1,R422&gt;=0),22,3)))+$E$420*12)</f>
        <v>30.478752834004887</v>
      </c>
      <c r="AY424" t="str">
        <f>Z422</f>
        <v>-5,1</v>
      </c>
      <c r="AZ424">
        <f>15/2</f>
        <v>7.5</v>
      </c>
      <c r="BA424">
        <f>(MAX((H424+$E$420*IF(AND(M424,$L$420=1,F424&gt;=0),22,3)),(T424+$E$420*IF(AND(Y424,$L$420=1,R424&gt;=0),22,3)))+$E$420*12)+$E$420*12</f>
        <v>11.597833132886233</v>
      </c>
    </row>
    <row r="425" spans="1:58" x14ac:dyDescent="0.25">
      <c r="A425" s="20" t="str">
        <f>IF(ISBLANK('E28'!$A$10)," ",'E28'!$A$10)</f>
        <v>EBITDA</v>
      </c>
      <c r="B425" t="str">
        <f>'E28'!$B$10</f>
        <v>e</v>
      </c>
      <c r="C425" t="b">
        <f>IF(ISERROR(B425),FALSE,IF(ISNUMBER(B425),FALSE,OR(LOWER(TRIM(B425&amp;""))={"e","t","=","total","subtotal"})))</f>
        <v>1</v>
      </c>
      <c r="D425">
        <f>IF(C425,0,IF(ISNUMBER(B425),B425,0))</f>
        <v>0</v>
      </c>
      <c r="E425">
        <f>F424</f>
        <v>2.6999999999999993</v>
      </c>
      <c r="F425">
        <f>IF(C425,E425,E425+D425)</f>
        <v>2.6999999999999993</v>
      </c>
      <c r="G425">
        <f>IF(C425,MIN(0,F425),MIN(E425,F425))</f>
        <v>0</v>
      </c>
      <c r="H425">
        <f>IF(C425,MAX(0,F425),MAX(E425,F425))</f>
        <v>2.6999999999999993</v>
      </c>
      <c r="I425">
        <f>MAX(0,G425)+MIN(0,H425)</f>
        <v>0</v>
      </c>
      <c r="J425">
        <f>MAX(0,H425)-MAX(0,G425)</f>
        <v>2.6999999999999993</v>
      </c>
      <c r="K425">
        <f>MIN(0,G425)-MIN(0,H425)</f>
        <v>0</v>
      </c>
      <c r="L425">
        <f>IF(M425,F425,D425)</f>
        <v>2.6999999999999993</v>
      </c>
      <c r="M425" t="b">
        <f>C425</f>
        <v>1</v>
      </c>
      <c r="N425" t="str">
        <f>'E28'!$C$10</f>
        <v>e</v>
      </c>
      <c r="O425" t="b">
        <f>IF(ISERROR(N425),FALSE,IF(ISNUMBER(N425),FALSE,OR(LOWER(TRIM(N425&amp;""))={"e","t","=","total","subtotal"})))</f>
        <v>1</v>
      </c>
      <c r="P425">
        <f>IF(O425,0,IF(ISNUMBER(N425),N425,0))</f>
        <v>0</v>
      </c>
      <c r="Q425">
        <f>R424</f>
        <v>2.6000000000000014</v>
      </c>
      <c r="R425">
        <f>IF(O425,Q425,Q425+P425)</f>
        <v>2.6000000000000014</v>
      </c>
      <c r="S425">
        <f>IF(O425,MIN(0,R425),MIN(Q425,R425))</f>
        <v>0</v>
      </c>
      <c r="T425">
        <f>IF(O425,MAX(0,R425),MAX(Q425,R425))</f>
        <v>2.6000000000000014</v>
      </c>
      <c r="U425">
        <f>MAX(0,S425)+MIN(0,T425)</f>
        <v>0</v>
      </c>
      <c r="V425">
        <f>MAX(0,T425)-MAX(0,S425)</f>
        <v>2.6000000000000014</v>
      </c>
      <c r="W425">
        <f>MIN(0,S425)-MIN(0,T425)</f>
        <v>0</v>
      </c>
      <c r="X425">
        <f>IF(Y425,R425,P425)</f>
        <v>2.6000000000000014</v>
      </c>
      <c r="Y425" t="b">
        <f>O425</f>
        <v>1</v>
      </c>
      <c r="Z425" t="str">
        <f>IF(M425&lt;&gt;Y425,"n/d",IF($K$420=1,IF(ROUND((X425-L425)/$G$420,$H$420)&gt;0,"+","")&amp;FIXED(ROUND((X425-L425)/$G$420,$H$420),$H$420)&amp;$J$420,IF(OR(L425=0,L425*X425&lt;0),"n/d",IF(ROUND(100*(X425-L425)/L425,0)&gt;0,"+","")&amp;FIXED(ROUND(100*(X425-L425)/L425,0),0)&amp;"%")))</f>
        <v>-0,1</v>
      </c>
      <c r="AA425" t="str">
        <f>IF(M425,FIXED(ROUND(F425/$G$420,$H$420),$H$420)&amp;$I$420&amp;IF(AND($M$420=1,$F$422&lt;&gt;0)," ("&amp;FIXED(ROUND(100*F425/$F$422,0),0)&amp;"%)",""),"")</f>
        <v>2,7 (10%)</v>
      </c>
      <c r="AB425" t="str">
        <f>IF(Y425,FIXED(ROUND(R425/$G$420,$H$420),$H$420)&amp;$I$420&amp;IF(AND($M$420=1,$R$422&lt;&gt;0)," ("&amp;FIXED(ROUND(100*R425/$R$422,0),0)&amp;"%)",""),"")</f>
        <v>2,6 (12%)</v>
      </c>
      <c r="AC425" s="20" t="str">
        <f>A423</f>
        <v>Custo das mercadorias</v>
      </c>
      <c r="AD425" t="s">
        <v>391</v>
      </c>
      <c r="AE425">
        <f>I423</f>
        <v>8.1999999999999993</v>
      </c>
      <c r="AF425">
        <f>J423</f>
        <v>18</v>
      </c>
      <c r="AG425">
        <f>K423</f>
        <v>0</v>
      </c>
      <c r="AH425">
        <f>0</f>
        <v>0</v>
      </c>
      <c r="AI425">
        <f>0</f>
        <v>0</v>
      </c>
      <c r="AJ425">
        <f>IF(M423,NA(),(G423+H423)/2)</f>
        <v>17.2</v>
      </c>
      <c r="AK425" s="14">
        <f>IF(OR(M423,AP425=0),"",D423)</f>
        <v>-18</v>
      </c>
      <c r="AL425" t="e">
        <f>NA()</f>
        <v>#N/A</v>
      </c>
      <c r="AM425" s="14" t="str">
        <f>""</f>
        <v/>
      </c>
      <c r="AN425" t="e">
        <f>IF(M423,IF(F423&gt;=0,H423,G423),NA())</f>
        <v>#N/A</v>
      </c>
      <c r="AO425" s="12" t="str">
        <f>IF(AP425=0,IF(M423,FIXED(ROUND(F423/$G$420,$H$420),$H$420)&amp;$I$420,""),AA423)</f>
        <v/>
      </c>
      <c r="AP425">
        <v>1</v>
      </c>
      <c r="AQ425">
        <f>H423</f>
        <v>26.2</v>
      </c>
      <c r="AR425">
        <f>10+$F$420</f>
        <v>10.384615384615385</v>
      </c>
      <c r="AS425">
        <f>F425</f>
        <v>2.6999999999999993</v>
      </c>
      <c r="AT425">
        <f>3-2*$F$420</f>
        <v>2.2307692307692308</v>
      </c>
      <c r="AU425">
        <f>11+$F$420</f>
        <v>11.384615384615385</v>
      </c>
      <c r="AV425">
        <f>R425</f>
        <v>2.6000000000000014</v>
      </c>
      <c r="AW425">
        <f>2</f>
        <v>2</v>
      </c>
      <c r="AX425">
        <f>(MAX((H422+$E$420*IF(AND(M422,$L$420=1,F422&gt;=0),22,3)),(T422+$E$420*IF(AND(Y422,$L$420=1,R422&gt;=0),22,3)))+$E$420*12)</f>
        <v>30.478752834004887</v>
      </c>
      <c r="AZ425">
        <f>21/2</f>
        <v>10.5</v>
      </c>
      <c r="BA425">
        <f>(MAX((H425+$E$420*IF(AND(M425,$L$420=1,F425&gt;=0),22,3)),(T425+$E$420*IF(AND(Y425,$L$420=1,R425&gt;=0),22,3)))+$E$420*12)+$E$420*12</f>
        <v>8.4889008930654342</v>
      </c>
    </row>
    <row r="426" spans="1:58" x14ac:dyDescent="0.25">
      <c r="A426" s="20" t="str">
        <f>IF(ISBLANK('E28'!$A$11)," ",'E28'!$A$11)</f>
        <v>Depreciação e juros</v>
      </c>
      <c r="B426">
        <f>'E28'!$B$11</f>
        <v>-0.7</v>
      </c>
      <c r="C426" t="b">
        <f>IF(ISERROR(B426),FALSE,IF(ISNUMBER(B426),FALSE,OR(LOWER(TRIM(B426&amp;""))={"e","t","=","total","subtotal"})))</f>
        <v>0</v>
      </c>
      <c r="D426">
        <f>IF(C426,0,IF(ISNUMBER(B426),B426,0))</f>
        <v>-0.7</v>
      </c>
      <c r="E426">
        <f>F425</f>
        <v>2.6999999999999993</v>
      </c>
      <c r="F426">
        <f>IF(C426,E426,E426+D426)</f>
        <v>1.9999999999999993</v>
      </c>
      <c r="G426">
        <f>IF(C426,MIN(0,F426),MIN(E426,F426))</f>
        <v>1.9999999999999993</v>
      </c>
      <c r="H426">
        <f>IF(C426,MAX(0,F426),MAX(E426,F426))</f>
        <v>2.6999999999999993</v>
      </c>
      <c r="I426">
        <f>MAX(0,G426)+MIN(0,H426)</f>
        <v>1.9999999999999993</v>
      </c>
      <c r="J426">
        <f>MAX(0,H426)-MAX(0,G426)</f>
        <v>0.7</v>
      </c>
      <c r="K426">
        <f>MIN(0,G426)-MIN(0,H426)</f>
        <v>0</v>
      </c>
      <c r="L426">
        <f>IF(M426,F426,D426)</f>
        <v>-0.7</v>
      </c>
      <c r="M426" t="b">
        <f>C426</f>
        <v>0</v>
      </c>
      <c r="N426">
        <f>'E28'!$C$11</f>
        <v>-0.5</v>
      </c>
      <c r="O426" t="b">
        <f>IF(ISERROR(N426),FALSE,IF(ISNUMBER(N426),FALSE,OR(LOWER(TRIM(N426&amp;""))={"e","t","=","total","subtotal"})))</f>
        <v>0</v>
      </c>
      <c r="P426">
        <f>IF(O426,0,IF(ISNUMBER(N426),N426,0))</f>
        <v>-0.5</v>
      </c>
      <c r="Q426">
        <f>R425</f>
        <v>2.6000000000000014</v>
      </c>
      <c r="R426">
        <f>IF(O426,Q426,Q426+P426)</f>
        <v>2.1000000000000014</v>
      </c>
      <c r="S426">
        <f>IF(O426,MIN(0,R426),MIN(Q426,R426))</f>
        <v>2.1000000000000014</v>
      </c>
      <c r="T426">
        <f>IF(O426,MAX(0,R426),MAX(Q426,R426))</f>
        <v>2.6000000000000014</v>
      </c>
      <c r="U426">
        <f>MAX(0,S426)+MIN(0,T426)</f>
        <v>2.1000000000000014</v>
      </c>
      <c r="V426">
        <f>MAX(0,T426)-MAX(0,S426)</f>
        <v>0.5</v>
      </c>
      <c r="W426">
        <f>MIN(0,S426)-MIN(0,T426)</f>
        <v>0</v>
      </c>
      <c r="X426">
        <f>IF(Y426,R426,P426)</f>
        <v>-0.5</v>
      </c>
      <c r="Y426" t="b">
        <f>O426</f>
        <v>0</v>
      </c>
      <c r="Z426" t="str">
        <f>IF(M426&lt;&gt;Y426,"n/d",IF($K$420=1,IF(ROUND((X426-L426)/$G$420,$H$420)&gt;0,"+","")&amp;FIXED(ROUND((X426-L426)/$G$420,$H$420),$H$420)&amp;$J$420,IF(OR(L426=0,L426*X426&lt;0),"n/d",IF(ROUND(100*(X426-L426)/L426,0)&gt;0,"+","")&amp;FIXED(ROUND(100*(X426-L426)/L426,0),0)&amp;"%")))</f>
        <v>+0,2</v>
      </c>
      <c r="AA426" t="str">
        <f>IF(M426,FIXED(ROUND(F426/$G$420,$H$420),$H$420)&amp;$I$420&amp;IF(AND($M$420=1,$F$422&lt;&gt;0)," ("&amp;FIXED(ROUND(100*F426/$F$422,0),0)&amp;"%)",""),"")</f>
        <v/>
      </c>
      <c r="AB426" t="str">
        <f>IF(Y426,FIXED(ROUND(R426/$G$420,$H$420),$H$420)&amp;$I$420&amp;IF(AND($M$420=1,$R$422&lt;&gt;0)," ("&amp;FIXED(ROUND(100*R426/$R$422,0),0)&amp;"%)",""),"")</f>
        <v/>
      </c>
      <c r="AD426" t="s">
        <v>391</v>
      </c>
      <c r="AE426">
        <f>U423</f>
        <v>7.0000000000000018</v>
      </c>
      <c r="AF426">
        <f>0</f>
        <v>0</v>
      </c>
      <c r="AG426">
        <f>0</f>
        <v>0</v>
      </c>
      <c r="AH426">
        <f>V423</f>
        <v>14.1</v>
      </c>
      <c r="AI426">
        <f>W423</f>
        <v>0</v>
      </c>
      <c r="AJ426" t="e">
        <f>NA()</f>
        <v>#N/A</v>
      </c>
      <c r="AK426" s="14" t="str">
        <f>""</f>
        <v/>
      </c>
      <c r="AL426">
        <f>IF(Y423,NA(),(S423+T423)/2)</f>
        <v>14.05</v>
      </c>
      <c r="AM426" s="14">
        <f>IF(OR(Y423,AP426=0),"",P423)</f>
        <v>-14.1</v>
      </c>
      <c r="AN426" t="e">
        <f>IF(Y423,IF(R423&gt;=0,T423,S423),NA())</f>
        <v>#N/A</v>
      </c>
      <c r="AO426" s="12" t="str">
        <f>IF(AP426=0,IF(Y423,FIXED(ROUND(R423/$G$420,$H$420),$H$420)&amp;$I$420,""),AB423)</f>
        <v/>
      </c>
      <c r="AP426">
        <v>1</v>
      </c>
      <c r="AQ426">
        <f>T423</f>
        <v>21.1</v>
      </c>
      <c r="AR426">
        <f>13+$F$420</f>
        <v>13.384615384615385</v>
      </c>
      <c r="AS426">
        <f>F426</f>
        <v>1.9999999999999993</v>
      </c>
      <c r="AT426">
        <f>3-2*$F$420</f>
        <v>2.2307692307692308</v>
      </c>
      <c r="AU426">
        <f>14+$F$420</f>
        <v>14.384615384615385</v>
      </c>
      <c r="AV426">
        <f>R426</f>
        <v>2.1000000000000014</v>
      </c>
      <c r="AW426">
        <f>2</f>
        <v>2</v>
      </c>
      <c r="AX426">
        <f>(T422+$E$420*IF(AND(Y422,$L$420=1,R422&gt;=0),22,3))</f>
        <v>23.868604774944341</v>
      </c>
      <c r="AZ426">
        <f>27/2</f>
        <v>13.5</v>
      </c>
      <c r="BA426">
        <f>(MAX((H426+$E$420*IF(AND(M426,$L$420=1,F426&gt;=0),22,3)),(T426+$E$420*IF(AND(Y426,$L$420=1,R426&gt;=0),22,3)))+$E$420*12)+$E$420*12</f>
        <v>6.0978331328862332</v>
      </c>
    </row>
    <row r="427" spans="1:58" x14ac:dyDescent="0.25">
      <c r="A427" s="20" t="str">
        <f>IF(ISBLANK('E28'!$A$12)," ",'E28'!$A$12)</f>
        <v>Impostos</v>
      </c>
      <c r="B427">
        <f>'E28'!$B$12</f>
        <v>-0.7</v>
      </c>
      <c r="C427" t="b">
        <f>IF(ISERROR(B427),FALSE,IF(ISNUMBER(B427),FALSE,OR(LOWER(TRIM(B427&amp;""))={"e","t","=","total","subtotal"})))</f>
        <v>0</v>
      </c>
      <c r="D427">
        <f>IF(C427,0,IF(ISNUMBER(B427),B427,0))</f>
        <v>-0.7</v>
      </c>
      <c r="E427">
        <f>F426</f>
        <v>1.9999999999999993</v>
      </c>
      <c r="F427">
        <f>IF(C427,E427,E427+D427)</f>
        <v>1.2999999999999994</v>
      </c>
      <c r="G427">
        <f>IF(C427,MIN(0,F427),MIN(E427,F427))</f>
        <v>1.2999999999999994</v>
      </c>
      <c r="H427">
        <f>IF(C427,MAX(0,F427),MAX(E427,F427))</f>
        <v>1.9999999999999993</v>
      </c>
      <c r="I427">
        <f>MAX(0,G427)+MIN(0,H427)</f>
        <v>1.2999999999999994</v>
      </c>
      <c r="J427">
        <f>MAX(0,H427)-MAX(0,G427)</f>
        <v>0.7</v>
      </c>
      <c r="K427">
        <f>MIN(0,G427)-MIN(0,H427)</f>
        <v>0</v>
      </c>
      <c r="L427">
        <f>IF(M427,F427,D427)</f>
        <v>-0.7</v>
      </c>
      <c r="M427" t="b">
        <f>C427</f>
        <v>0</v>
      </c>
      <c r="N427">
        <f>'E28'!$C$12</f>
        <v>-0.7</v>
      </c>
      <c r="O427" t="b">
        <f>IF(ISERROR(N427),FALSE,IF(ISNUMBER(N427),FALSE,OR(LOWER(TRIM(N427&amp;""))={"e","t","=","total","subtotal"})))</f>
        <v>0</v>
      </c>
      <c r="P427">
        <f>IF(O427,0,IF(ISNUMBER(N427),N427,0))</f>
        <v>-0.7</v>
      </c>
      <c r="Q427">
        <f>R426</f>
        <v>2.1000000000000014</v>
      </c>
      <c r="R427">
        <f>IF(O427,Q427,Q427+P427)</f>
        <v>1.4000000000000015</v>
      </c>
      <c r="S427">
        <f>IF(O427,MIN(0,R427),MIN(Q427,R427))</f>
        <v>1.4000000000000015</v>
      </c>
      <c r="T427">
        <f>IF(O427,MAX(0,R427),MAX(Q427,R427))</f>
        <v>2.1000000000000014</v>
      </c>
      <c r="U427">
        <f>MAX(0,S427)+MIN(0,T427)</f>
        <v>1.4000000000000015</v>
      </c>
      <c r="V427">
        <f>MAX(0,T427)-MAX(0,S427)</f>
        <v>0.7</v>
      </c>
      <c r="W427">
        <f>MIN(0,S427)-MIN(0,T427)</f>
        <v>0</v>
      </c>
      <c r="X427">
        <f>IF(Y427,R427,P427)</f>
        <v>-0.7</v>
      </c>
      <c r="Y427" t="b">
        <f>O427</f>
        <v>0</v>
      </c>
      <c r="Z427" t="str">
        <f>IF(M427&lt;&gt;Y427,"n/d",IF($K$420=1,IF(ROUND((X427-L427)/$G$420,$H$420)&gt;0,"+","")&amp;FIXED(ROUND((X427-L427)/$G$420,$H$420),$H$420)&amp;$J$420,IF(OR(L427=0,L427*X427&lt;0),"n/d",IF(ROUND(100*(X427-L427)/L427,0)&gt;0,"+","")&amp;FIXED(ROUND(100*(X427-L427)/L427,0),0)&amp;"%")))</f>
        <v>0,0</v>
      </c>
      <c r="AA427" t="str">
        <f>IF(M427,FIXED(ROUND(F427/$G$420,$H$420),$H$420)&amp;$I$420&amp;IF(AND($M$420=1,$F$422&lt;&gt;0)," ("&amp;FIXED(ROUND(100*F427/$F$422,0),0)&amp;"%)",""),"")</f>
        <v/>
      </c>
      <c r="AB427" t="str">
        <f>IF(Y427,FIXED(ROUND(R427/$G$420,$H$420),$H$420)&amp;$I$420&amp;IF(AND($M$420=1,$R$422&lt;&gt;0)," ("&amp;FIXED(ROUND(100*R427/$R$422,0),0)&amp;"%)",""),"")</f>
        <v/>
      </c>
      <c r="AC427" t="s">
        <v>391</v>
      </c>
      <c r="AD427" t="s">
        <v>391</v>
      </c>
      <c r="AE427">
        <f>0</f>
        <v>0</v>
      </c>
      <c r="AF427">
        <f>0</f>
        <v>0</v>
      </c>
      <c r="AG427">
        <f>0</f>
        <v>0</v>
      </c>
      <c r="AH427">
        <f>0</f>
        <v>0</v>
      </c>
      <c r="AI427">
        <f>0</f>
        <v>0</v>
      </c>
      <c r="AJ427" t="e">
        <f>NA()</f>
        <v>#N/A</v>
      </c>
      <c r="AK427" s="14" t="str">
        <f>""</f>
        <v/>
      </c>
      <c r="AL427" t="e">
        <f>NA()</f>
        <v>#N/A</v>
      </c>
      <c r="AM427" s="14" t="str">
        <f>""</f>
        <v/>
      </c>
      <c r="AN427" t="e">
        <f>NA()</f>
        <v>#N/A</v>
      </c>
      <c r="AO427" s="12" t="str">
        <f>""</f>
        <v/>
      </c>
      <c r="AP427">
        <v>1</v>
      </c>
      <c r="AQ427">
        <f>0</f>
        <v>0</v>
      </c>
      <c r="AR427">
        <f>16+$F$420</f>
        <v>16.384615384615383</v>
      </c>
      <c r="AS427">
        <f>F427</f>
        <v>1.2999999999999994</v>
      </c>
      <c r="AT427">
        <f>3-2*$F$420</f>
        <v>2.2307692307692308</v>
      </c>
      <c r="AU427">
        <f>17+$F$420</f>
        <v>17.384615384615383</v>
      </c>
      <c r="AV427">
        <f>R427</f>
        <v>1.4000000000000015</v>
      </c>
      <c r="AZ427">
        <f>33/2</f>
        <v>16.5</v>
      </c>
      <c r="BA427">
        <f>(MAX((H427+$E$420*IF(AND(M427,$L$420=1,F427&gt;=0),22,3)),(T427+$E$420*IF(AND(Y427,$L$420=1,R427&gt;=0),22,3)))+$E$420*12)+$E$420*12</f>
        <v>5.4978331328862353</v>
      </c>
    </row>
    <row r="428" spans="1:58" x14ac:dyDescent="0.25">
      <c r="A428" s="20" t="str">
        <f>IF(ISBLANK('E28'!$A$13)," ",'E28'!$A$13)</f>
        <v>Lucro líquido</v>
      </c>
      <c r="B428" t="str">
        <f>'E28'!$B$13</f>
        <v>e</v>
      </c>
      <c r="C428" t="b">
        <f>IF(ISERROR(B428),FALSE,IF(ISNUMBER(B428),FALSE,OR(LOWER(TRIM(B428&amp;""))={"e","t","=","total","subtotal"})))</f>
        <v>1</v>
      </c>
      <c r="D428">
        <f>IF(C428,0,IF(ISNUMBER(B428),B428,0))</f>
        <v>0</v>
      </c>
      <c r="E428">
        <f>F427</f>
        <v>1.2999999999999994</v>
      </c>
      <c r="F428">
        <f>IF(C428,E428,E428+D428)</f>
        <v>1.2999999999999994</v>
      </c>
      <c r="G428">
        <f>IF(C428,MIN(0,F428),MIN(E428,F428))</f>
        <v>0</v>
      </c>
      <c r="H428">
        <f>IF(C428,MAX(0,F428),MAX(E428,F428))</f>
        <v>1.2999999999999994</v>
      </c>
      <c r="I428">
        <f>MAX(0,G428)+MIN(0,H428)</f>
        <v>0</v>
      </c>
      <c r="J428">
        <f>MAX(0,H428)-MAX(0,G428)</f>
        <v>1.2999999999999994</v>
      </c>
      <c r="K428">
        <f>MIN(0,G428)-MIN(0,H428)</f>
        <v>0</v>
      </c>
      <c r="L428">
        <f>IF(M428,F428,D428)</f>
        <v>1.2999999999999994</v>
      </c>
      <c r="M428" t="b">
        <f>C428</f>
        <v>1</v>
      </c>
      <c r="N428" t="str">
        <f>'E28'!$C$13</f>
        <v>e</v>
      </c>
      <c r="O428" t="b">
        <f>IF(ISERROR(N428),FALSE,IF(ISNUMBER(N428),FALSE,OR(LOWER(TRIM(N428&amp;""))={"e","t","=","total","subtotal"})))</f>
        <v>1</v>
      </c>
      <c r="P428">
        <f>IF(O428,0,IF(ISNUMBER(N428),N428,0))</f>
        <v>0</v>
      </c>
      <c r="Q428">
        <f>R427</f>
        <v>1.4000000000000015</v>
      </c>
      <c r="R428">
        <f>IF(O428,Q428,Q428+P428)</f>
        <v>1.4000000000000015</v>
      </c>
      <c r="S428">
        <f>IF(O428,MIN(0,R428),MIN(Q428,R428))</f>
        <v>0</v>
      </c>
      <c r="T428">
        <f>IF(O428,MAX(0,R428),MAX(Q428,R428))</f>
        <v>1.4000000000000015</v>
      </c>
      <c r="U428">
        <f>MAX(0,S428)+MIN(0,T428)</f>
        <v>0</v>
      </c>
      <c r="V428">
        <f>MAX(0,T428)-MAX(0,S428)</f>
        <v>1.4000000000000015</v>
      </c>
      <c r="W428">
        <f>MIN(0,S428)-MIN(0,T428)</f>
        <v>0</v>
      </c>
      <c r="X428">
        <f>IF(Y428,R428,P428)</f>
        <v>1.4000000000000015</v>
      </c>
      <c r="Y428" t="b">
        <f>O428</f>
        <v>1</v>
      </c>
      <c r="Z428" t="str">
        <f>IF(M428&lt;&gt;Y428,"n/d",IF($K$420=1,IF(ROUND((X428-L428)/$G$420,$H$420)&gt;0,"+","")&amp;FIXED(ROUND((X428-L428)/$G$420,$H$420),$H$420)&amp;$J$420,IF(OR(L428=0,L428*X428&lt;0),"n/d",IF(ROUND(100*(X428-L428)/L428,0)&gt;0,"+","")&amp;FIXED(ROUND(100*(X428-L428)/L428,0),0)&amp;"%")))</f>
        <v>+0,1</v>
      </c>
      <c r="AA428" t="str">
        <f>IF(M428,FIXED(ROUND(F428/$G$420,$H$420),$H$420)&amp;$I$420&amp;IF(AND($M$420=1,$F$422&lt;&gt;0)," ("&amp;FIXED(ROUND(100*F428/$F$422,0),0)&amp;"%)",""),"")</f>
        <v>1,3 (5%)</v>
      </c>
      <c r="AB428" t="str">
        <f>IF(Y428,FIXED(ROUND(R428/$G$420,$H$420),$H$420)&amp;$I$420&amp;IF(AND($M$420=1,$R$422&lt;&gt;0)," ("&amp;FIXED(ROUND(100*R428/$R$422,0),0)&amp;"%)",""),"")</f>
        <v>1,4 (7%)</v>
      </c>
      <c r="AC428" s="20" t="str">
        <f>A424</f>
        <v>Despesas operacionais</v>
      </c>
      <c r="AD428" t="s">
        <v>391</v>
      </c>
      <c r="AE428">
        <f>I424</f>
        <v>2.6999999999999993</v>
      </c>
      <c r="AF428">
        <f>J424</f>
        <v>5.5</v>
      </c>
      <c r="AG428">
        <f>K424</f>
        <v>0</v>
      </c>
      <c r="AH428">
        <f>0</f>
        <v>0</v>
      </c>
      <c r="AI428">
        <f>0</f>
        <v>0</v>
      </c>
      <c r="AJ428">
        <f>IF(M424,NA(),(G424+H424)/2)</f>
        <v>5.4499999999999993</v>
      </c>
      <c r="AK428" s="14">
        <f>IF(OR(M424,AP428=0),"",D424)</f>
        <v>-5.5</v>
      </c>
      <c r="AL428" t="e">
        <f>NA()</f>
        <v>#N/A</v>
      </c>
      <c r="AM428" s="14" t="str">
        <f>""</f>
        <v/>
      </c>
      <c r="AN428" t="e">
        <f>IF(M424,IF(F424&gt;=0,H424,G424),NA())</f>
        <v>#N/A</v>
      </c>
      <c r="AO428" s="12" t="str">
        <f>IF(AP428=0,IF(M424,FIXED(ROUND(F424/$G$420,$H$420),$H$420)&amp;$I$420,""),AA424)</f>
        <v/>
      </c>
      <c r="AP428">
        <v>1</v>
      </c>
      <c r="AQ428">
        <f>H424</f>
        <v>8.1999999999999993</v>
      </c>
      <c r="AW428">
        <f>4</f>
        <v>4</v>
      </c>
      <c r="AX428">
        <f>(H423+$E$420*IF(AND(M423,$L$420=1,F423&gt;=0),22,3))</f>
        <v>26.577537014765138</v>
      </c>
      <c r="AZ428">
        <f>39/2</f>
        <v>19.5</v>
      </c>
      <c r="BA428">
        <f>(MAX((H428+$E$420*IF(AND(M428,$L$420=1,F428&gt;=0),22,3)),(T428+$E$420*IF(AND(Y428,$L$420=1,R428&gt;=0),22,3)))+$E$420*12)+$E$420*12</f>
        <v>7.188900893065437</v>
      </c>
    </row>
    <row r="429" spans="1:58" x14ac:dyDescent="0.25">
      <c r="AD429" t="s">
        <v>391</v>
      </c>
      <c r="AE429">
        <f>U424</f>
        <v>2.6000000000000014</v>
      </c>
      <c r="AF429">
        <f>0</f>
        <v>0</v>
      </c>
      <c r="AG429">
        <f>0</f>
        <v>0</v>
      </c>
      <c r="AH429">
        <f>V424</f>
        <v>4.4000000000000004</v>
      </c>
      <c r="AI429">
        <f>W424</f>
        <v>0</v>
      </c>
      <c r="AJ429" t="e">
        <f>NA()</f>
        <v>#N/A</v>
      </c>
      <c r="AK429" s="14" t="str">
        <f>""</f>
        <v/>
      </c>
      <c r="AL429">
        <f>IF(Y424,NA(),(S424+T424)/2)</f>
        <v>4.8000000000000016</v>
      </c>
      <c r="AM429" s="14">
        <f>IF(OR(Y424,AP429=0),"",P424)</f>
        <v>-4.4000000000000004</v>
      </c>
      <c r="AN429" t="e">
        <f>IF(Y424,IF(R424&gt;=0,T424,S424),NA())</f>
        <v>#N/A</v>
      </c>
      <c r="AO429" s="12" t="str">
        <f>IF(AP429=0,IF(Y424,FIXED(ROUND(R424/$G$420,$H$420),$H$420)&amp;$I$420,""),AB424)</f>
        <v/>
      </c>
      <c r="AP429">
        <v>1</v>
      </c>
      <c r="AQ429">
        <f>T424</f>
        <v>7.0000000000000018</v>
      </c>
      <c r="AW429">
        <f>4</f>
        <v>4</v>
      </c>
      <c r="AX429">
        <f>(MAX((H423+$E$420*IF(AND(M423,$L$420=1,F423&gt;=0),22,3)),(T423+$E$420*IF(AND(Y423,$L$420=1,R423&gt;=0),22,3)))+$E$420*12)</f>
        <v>28.087685073825686</v>
      </c>
    </row>
    <row r="430" spans="1:58" x14ac:dyDescent="0.25">
      <c r="AC430" t="s">
        <v>391</v>
      </c>
      <c r="AD430" t="s">
        <v>391</v>
      </c>
      <c r="AE430">
        <f>0</f>
        <v>0</v>
      </c>
      <c r="AF430">
        <f>0</f>
        <v>0</v>
      </c>
      <c r="AG430">
        <f>0</f>
        <v>0</v>
      </c>
      <c r="AH430">
        <f>0</f>
        <v>0</v>
      </c>
      <c r="AI430">
        <f>0</f>
        <v>0</v>
      </c>
      <c r="AJ430" t="e">
        <f>NA()</f>
        <v>#N/A</v>
      </c>
      <c r="AK430" s="14" t="str">
        <f>""</f>
        <v/>
      </c>
      <c r="AL430" t="e">
        <f>NA()</f>
        <v>#N/A</v>
      </c>
      <c r="AM430" s="14" t="str">
        <f>""</f>
        <v/>
      </c>
      <c r="AN430" t="e">
        <f>NA()</f>
        <v>#N/A</v>
      </c>
      <c r="AO430" s="12" t="str">
        <f>""</f>
        <v/>
      </c>
      <c r="AP430">
        <v>1</v>
      </c>
      <c r="AQ430">
        <f>0</f>
        <v>0</v>
      </c>
      <c r="AW430">
        <f>9/2</f>
        <v>4.5</v>
      </c>
      <c r="AX430">
        <f>(MAX((H423+$E$420*IF(AND(M423,$L$420=1,F423&gt;=0),22,3)),(T423+$E$420*IF(AND(Y423,$L$420=1,R423&gt;=0),22,3)))+$E$420*12)</f>
        <v>28.087685073825686</v>
      </c>
      <c r="AY430" t="str">
        <f>Z423</f>
        <v>+3,9</v>
      </c>
    </row>
    <row r="431" spans="1:58" x14ac:dyDescent="0.25">
      <c r="AC431" s="20" t="str">
        <f>A425</f>
        <v>EBITDA</v>
      </c>
      <c r="AD431" t="s">
        <v>391</v>
      </c>
      <c r="AE431">
        <f>I425</f>
        <v>0</v>
      </c>
      <c r="AF431">
        <f>J425</f>
        <v>2.6999999999999993</v>
      </c>
      <c r="AG431">
        <f>K425</f>
        <v>0</v>
      </c>
      <c r="AH431">
        <f>0</f>
        <v>0</v>
      </c>
      <c r="AI431">
        <f>0</f>
        <v>0</v>
      </c>
      <c r="AJ431" t="e">
        <f>IF(M425,NA(),(G425+H425)/2)</f>
        <v>#N/A</v>
      </c>
      <c r="AK431" s="14" t="str">
        <f>IF(OR(M425,AP431=0),"",D425)</f>
        <v/>
      </c>
      <c r="AL431" t="e">
        <f>NA()</f>
        <v>#N/A</v>
      </c>
      <c r="AM431" s="14" t="str">
        <f>""</f>
        <v/>
      </c>
      <c r="AN431">
        <f>IF(M425,IF(F425&gt;=0,H425,G425),NA())</f>
        <v>2.6999999999999993</v>
      </c>
      <c r="AO431" s="12" t="str">
        <f>IF(AP431=0,IF(M425,FIXED(ROUND(F425/$G$420,$H$420),$H$420)&amp;$I$420,""),AA425)</f>
        <v>2,7</v>
      </c>
      <c r="AP431">
        <v>0</v>
      </c>
      <c r="AQ431">
        <f>H425</f>
        <v>2.6999999999999993</v>
      </c>
      <c r="AW431">
        <f>5</f>
        <v>5</v>
      </c>
      <c r="AX431">
        <f>(MAX((H423+$E$420*IF(AND(M423,$L$420=1,F423&gt;=0),22,3)),(T423+$E$420*IF(AND(Y423,$L$420=1,R423&gt;=0),22,3)))+$E$420*12)</f>
        <v>28.087685073825686</v>
      </c>
    </row>
    <row r="432" spans="1:58" x14ac:dyDescent="0.25">
      <c r="AD432" t="s">
        <v>391</v>
      </c>
      <c r="AE432">
        <f>U425</f>
        <v>0</v>
      </c>
      <c r="AF432">
        <f>0</f>
        <v>0</v>
      </c>
      <c r="AG432">
        <f>0</f>
        <v>0</v>
      </c>
      <c r="AH432">
        <f>V425</f>
        <v>2.6000000000000014</v>
      </c>
      <c r="AI432">
        <f>W425</f>
        <v>0</v>
      </c>
      <c r="AJ432" t="e">
        <f>NA()</f>
        <v>#N/A</v>
      </c>
      <c r="AK432" s="14" t="str">
        <f>""</f>
        <v/>
      </c>
      <c r="AL432" t="e">
        <f>IF(Y425,NA(),(S425+T425)/2)</f>
        <v>#N/A</v>
      </c>
      <c r="AM432" s="14" t="str">
        <f>IF(OR(Y425,AP432=0),"",P425)</f>
        <v/>
      </c>
      <c r="AN432">
        <f>IF(Y425,IF(R425&gt;=0,T425,S425),NA())</f>
        <v>2.6000000000000014</v>
      </c>
      <c r="AO432" s="12" t="str">
        <f>IF(AP432=0,IF(Y425,FIXED(ROUND(R425/$G$420,$H$420),$H$420)&amp;$I$420,""),AB425)</f>
        <v>2,6</v>
      </c>
      <c r="AP432">
        <v>0</v>
      </c>
      <c r="AQ432">
        <f>T425</f>
        <v>2.6000000000000014</v>
      </c>
      <c r="AW432">
        <f>5</f>
        <v>5</v>
      </c>
      <c r="AX432">
        <f>(T423+$E$420*IF(AND(Y423,$L$420=1,R423&gt;=0),22,3))</f>
        <v>21.47753701476514</v>
      </c>
    </row>
    <row r="433" spans="29:51" x14ac:dyDescent="0.25">
      <c r="AC433" t="s">
        <v>391</v>
      </c>
      <c r="AD433" t="s">
        <v>391</v>
      </c>
      <c r="AE433">
        <f>0</f>
        <v>0</v>
      </c>
      <c r="AF433">
        <f>0</f>
        <v>0</v>
      </c>
      <c r="AG433">
        <f>0</f>
        <v>0</v>
      </c>
      <c r="AH433">
        <f>0</f>
        <v>0</v>
      </c>
      <c r="AI433">
        <f>0</f>
        <v>0</v>
      </c>
      <c r="AJ433" t="e">
        <f>NA()</f>
        <v>#N/A</v>
      </c>
      <c r="AK433" s="14" t="str">
        <f>""</f>
        <v/>
      </c>
      <c r="AL433" t="e">
        <f>NA()</f>
        <v>#N/A</v>
      </c>
      <c r="AM433" s="14" t="str">
        <f>""</f>
        <v/>
      </c>
      <c r="AN433" t="e">
        <f>NA()</f>
        <v>#N/A</v>
      </c>
      <c r="AO433" s="12" t="str">
        <f>""</f>
        <v/>
      </c>
      <c r="AP433">
        <v>1</v>
      </c>
      <c r="AQ433">
        <f>0</f>
        <v>0</v>
      </c>
    </row>
    <row r="434" spans="29:51" x14ac:dyDescent="0.25">
      <c r="AC434" s="20" t="str">
        <f>A426</f>
        <v>Depreciação e juros</v>
      </c>
      <c r="AD434" t="s">
        <v>391</v>
      </c>
      <c r="AE434">
        <f>I426</f>
        <v>1.9999999999999993</v>
      </c>
      <c r="AF434">
        <f>J426</f>
        <v>0.7</v>
      </c>
      <c r="AG434">
        <f>K426</f>
        <v>0</v>
      </c>
      <c r="AH434">
        <f>0</f>
        <v>0</v>
      </c>
      <c r="AI434">
        <f>0</f>
        <v>0</v>
      </c>
      <c r="AJ434">
        <f>IF(M426,NA(),(G426+H426)/2)</f>
        <v>2.3499999999999992</v>
      </c>
      <c r="AK434" s="14" t="str">
        <f>IF(OR(M426,AP434=0),"",D426)</f>
        <v/>
      </c>
      <c r="AL434" t="e">
        <f>NA()</f>
        <v>#N/A</v>
      </c>
      <c r="AM434" s="14" t="str">
        <f>""</f>
        <v/>
      </c>
      <c r="AN434" t="e">
        <f>IF(M426,IF(F426&gt;=0,H426,G426),NA())</f>
        <v>#N/A</v>
      </c>
      <c r="AO434" s="12" t="str">
        <f>IF(AP434=0,IF(M426,FIXED(ROUND(F426/$G$420,$H$420),$H$420)&amp;$I$420,""),AA426)</f>
        <v/>
      </c>
      <c r="AP434">
        <v>0</v>
      </c>
      <c r="AQ434">
        <f>H426</f>
        <v>2.6999999999999993</v>
      </c>
      <c r="AW434">
        <f>7</f>
        <v>7</v>
      </c>
      <c r="AX434">
        <f>(H424+$E$420*IF(AND(M424,$L$420=1,F424&gt;=0),22,3))</f>
        <v>8.5775370147651362</v>
      </c>
    </row>
    <row r="435" spans="29:51" x14ac:dyDescent="0.25">
      <c r="AD435" t="s">
        <v>391</v>
      </c>
      <c r="AE435">
        <f>U426</f>
        <v>2.1000000000000014</v>
      </c>
      <c r="AF435">
        <f>0</f>
        <v>0</v>
      </c>
      <c r="AG435">
        <f>0</f>
        <v>0</v>
      </c>
      <c r="AH435">
        <f>V426</f>
        <v>0.5</v>
      </c>
      <c r="AI435">
        <f>W426</f>
        <v>0</v>
      </c>
      <c r="AJ435" t="e">
        <f>NA()</f>
        <v>#N/A</v>
      </c>
      <c r="AK435" s="14" t="str">
        <f>""</f>
        <v/>
      </c>
      <c r="AL435">
        <f>IF(Y426,NA(),(S426+T426)/2)</f>
        <v>2.3500000000000014</v>
      </c>
      <c r="AM435" s="14" t="str">
        <f>IF(OR(Y426,AP435=0),"",P426)</f>
        <v/>
      </c>
      <c r="AN435" t="e">
        <f>IF(Y426,IF(R426&gt;=0,T426,S426),NA())</f>
        <v>#N/A</v>
      </c>
      <c r="AO435" s="12" t="str">
        <f>IF(AP435=0,IF(Y426,FIXED(ROUND(R426/$G$420,$H$420),$H$420)&amp;$I$420,""),AB426)</f>
        <v/>
      </c>
      <c r="AP435">
        <v>0</v>
      </c>
      <c r="AQ435">
        <f>T426</f>
        <v>2.6000000000000014</v>
      </c>
      <c r="AW435">
        <f>7</f>
        <v>7</v>
      </c>
      <c r="AX435">
        <f>(MAX((H424+$E$420*IF(AND(M424,$L$420=1,F424&gt;=0),22,3)),(T424+$E$420*IF(AND(Y424,$L$420=1,R424&gt;=0),22,3)))+$E$420*12)</f>
        <v>10.087685073825686</v>
      </c>
    </row>
    <row r="436" spans="29:51" x14ac:dyDescent="0.25">
      <c r="AC436" t="s">
        <v>391</v>
      </c>
      <c r="AD436" t="s">
        <v>391</v>
      </c>
      <c r="AE436">
        <f>0</f>
        <v>0</v>
      </c>
      <c r="AF436">
        <f>0</f>
        <v>0</v>
      </c>
      <c r="AG436">
        <f>0</f>
        <v>0</v>
      </c>
      <c r="AH436">
        <f>0</f>
        <v>0</v>
      </c>
      <c r="AI436">
        <f>0</f>
        <v>0</v>
      </c>
      <c r="AJ436" t="e">
        <f>NA()</f>
        <v>#N/A</v>
      </c>
      <c r="AK436" s="14" t="str">
        <f>""</f>
        <v/>
      </c>
      <c r="AL436" t="e">
        <f>NA()</f>
        <v>#N/A</v>
      </c>
      <c r="AM436" s="14" t="str">
        <f>""</f>
        <v/>
      </c>
      <c r="AN436" t="e">
        <f>NA()</f>
        <v>#N/A</v>
      </c>
      <c r="AO436" s="12" t="str">
        <f>""</f>
        <v/>
      </c>
      <c r="AP436">
        <v>1</v>
      </c>
      <c r="AQ436">
        <f>0</f>
        <v>0</v>
      </c>
      <c r="AW436">
        <f>15/2</f>
        <v>7.5</v>
      </c>
      <c r="AX436">
        <f>(MAX((H424+$E$420*IF(AND(M424,$L$420=1,F424&gt;=0),22,3)),(T424+$E$420*IF(AND(Y424,$L$420=1,R424&gt;=0),22,3)))+$E$420*12)</f>
        <v>10.087685073825686</v>
      </c>
      <c r="AY436" t="str">
        <f>Z424</f>
        <v>+1,1</v>
      </c>
    </row>
    <row r="437" spans="29:51" x14ac:dyDescent="0.25">
      <c r="AC437" s="20" t="str">
        <f>A427</f>
        <v>Impostos</v>
      </c>
      <c r="AD437" t="s">
        <v>391</v>
      </c>
      <c r="AE437">
        <f>I427</f>
        <v>1.2999999999999994</v>
      </c>
      <c r="AF437">
        <f>J427</f>
        <v>0.7</v>
      </c>
      <c r="AG437">
        <f>K427</f>
        <v>0</v>
      </c>
      <c r="AH437">
        <f>0</f>
        <v>0</v>
      </c>
      <c r="AI437">
        <f>0</f>
        <v>0</v>
      </c>
      <c r="AJ437">
        <f>IF(M427,NA(),(G427+H427)/2)</f>
        <v>1.6499999999999995</v>
      </c>
      <c r="AK437" s="14" t="str">
        <f>IF(OR(M427,AP437=0),"",D427)</f>
        <v/>
      </c>
      <c r="AL437" t="e">
        <f>NA()</f>
        <v>#N/A</v>
      </c>
      <c r="AM437" s="14" t="str">
        <f>""</f>
        <v/>
      </c>
      <c r="AN437" t="e">
        <f>IF(M427,IF(F427&gt;=0,H427,G427),NA())</f>
        <v>#N/A</v>
      </c>
      <c r="AO437" s="12" t="str">
        <f>IF(AP437=0,IF(M427,FIXED(ROUND(F427/$G$420,$H$420),$H$420)&amp;$I$420,""),AA427)</f>
        <v/>
      </c>
      <c r="AP437">
        <v>0</v>
      </c>
      <c r="AQ437">
        <f>H427</f>
        <v>1.9999999999999993</v>
      </c>
      <c r="AW437">
        <f>8</f>
        <v>8</v>
      </c>
      <c r="AX437">
        <f>(MAX((H424+$E$420*IF(AND(M424,$L$420=1,F424&gt;=0),22,3)),(T424+$E$420*IF(AND(Y424,$L$420=1,R424&gt;=0),22,3)))+$E$420*12)</f>
        <v>10.087685073825686</v>
      </c>
    </row>
    <row r="438" spans="29:51" x14ac:dyDescent="0.25">
      <c r="AD438" t="s">
        <v>391</v>
      </c>
      <c r="AE438">
        <f>U427</f>
        <v>1.4000000000000015</v>
      </c>
      <c r="AF438">
        <f>0</f>
        <v>0</v>
      </c>
      <c r="AG438">
        <f>0</f>
        <v>0</v>
      </c>
      <c r="AH438">
        <f>V427</f>
        <v>0.7</v>
      </c>
      <c r="AI438">
        <f>W427</f>
        <v>0</v>
      </c>
      <c r="AJ438" t="e">
        <f>NA()</f>
        <v>#N/A</v>
      </c>
      <c r="AK438" s="14" t="str">
        <f>""</f>
        <v/>
      </c>
      <c r="AL438">
        <f>IF(Y427,NA(),(S427+T427)/2)</f>
        <v>1.7500000000000013</v>
      </c>
      <c r="AM438" s="14" t="str">
        <f>IF(OR(Y427,AP438=0),"",P427)</f>
        <v/>
      </c>
      <c r="AN438" t="e">
        <f>IF(Y427,IF(R427&gt;=0,T427,S427),NA())</f>
        <v>#N/A</v>
      </c>
      <c r="AO438" s="12" t="str">
        <f>IF(AP438=0,IF(Y427,FIXED(ROUND(R427/$G$420,$H$420),$H$420)&amp;$I$420,""),AB427)</f>
        <v/>
      </c>
      <c r="AP438">
        <v>0</v>
      </c>
      <c r="AQ438">
        <f>T427</f>
        <v>2.1000000000000014</v>
      </c>
      <c r="AW438">
        <f>8</f>
        <v>8</v>
      </c>
      <c r="AX438">
        <f>(T424+$E$420*IF(AND(Y424,$L$420=1,R424&gt;=0),22,3))</f>
        <v>7.3775370147651387</v>
      </c>
    </row>
    <row r="439" spans="29:51" x14ac:dyDescent="0.25">
      <c r="AC439" t="s">
        <v>391</v>
      </c>
      <c r="AD439" t="s">
        <v>391</v>
      </c>
      <c r="AE439">
        <f>0</f>
        <v>0</v>
      </c>
      <c r="AF439">
        <f>0</f>
        <v>0</v>
      </c>
      <c r="AG439">
        <f>0</f>
        <v>0</v>
      </c>
      <c r="AH439">
        <f>0</f>
        <v>0</v>
      </c>
      <c r="AI439">
        <f>0</f>
        <v>0</v>
      </c>
      <c r="AJ439" t="e">
        <f>NA()</f>
        <v>#N/A</v>
      </c>
      <c r="AK439" s="14" t="str">
        <f>""</f>
        <v/>
      </c>
      <c r="AL439" t="e">
        <f>NA()</f>
        <v>#N/A</v>
      </c>
      <c r="AM439" s="14" t="str">
        <f>""</f>
        <v/>
      </c>
      <c r="AN439" t="e">
        <f>NA()</f>
        <v>#N/A</v>
      </c>
      <c r="AO439" s="12" t="str">
        <f>""</f>
        <v/>
      </c>
      <c r="AP439">
        <v>1</v>
      </c>
      <c r="AQ439">
        <f>0</f>
        <v>0</v>
      </c>
    </row>
    <row r="440" spans="29:51" x14ac:dyDescent="0.25">
      <c r="AC440" s="20" t="str">
        <f>A428</f>
        <v>Lucro líquido</v>
      </c>
      <c r="AD440" t="s">
        <v>391</v>
      </c>
      <c r="AE440">
        <f>I428</f>
        <v>0</v>
      </c>
      <c r="AF440">
        <f>J428</f>
        <v>1.2999999999999994</v>
      </c>
      <c r="AG440">
        <f>K428</f>
        <v>0</v>
      </c>
      <c r="AH440">
        <f>0</f>
        <v>0</v>
      </c>
      <c r="AI440">
        <f>0</f>
        <v>0</v>
      </c>
      <c r="AJ440" t="e">
        <f>IF(M428,NA(),(G428+H428)/2)</f>
        <v>#N/A</v>
      </c>
      <c r="AK440" s="14" t="str">
        <f>IF(OR(M428,AP440=0),"",D428)</f>
        <v/>
      </c>
      <c r="AL440" t="e">
        <f>NA()</f>
        <v>#N/A</v>
      </c>
      <c r="AM440" s="14" t="str">
        <f>""</f>
        <v/>
      </c>
      <c r="AN440">
        <f>IF(M428,IF(F428&gt;=0,H428,G428),NA())</f>
        <v>1.2999999999999994</v>
      </c>
      <c r="AO440" s="12" t="str">
        <f>IF(AP440=0,IF(M428,FIXED(ROUND(F428/$G$420,$H$420),$H$420)&amp;$I$420,""),AA428)</f>
        <v>1,3</v>
      </c>
      <c r="AP440">
        <v>0</v>
      </c>
      <c r="AQ440">
        <f>H428</f>
        <v>1.2999999999999994</v>
      </c>
      <c r="AW440">
        <f>10</f>
        <v>10</v>
      </c>
      <c r="AX440">
        <f>(H425+$E$420*IF(AND(M425,$L$420=1,F425&gt;=0),22,3))</f>
        <v>5.4686047749443381</v>
      </c>
    </row>
    <row r="441" spans="29:51" x14ac:dyDescent="0.25">
      <c r="AD441" t="s">
        <v>391</v>
      </c>
      <c r="AE441">
        <f>U428</f>
        <v>0</v>
      </c>
      <c r="AF441">
        <f>0</f>
        <v>0</v>
      </c>
      <c r="AG441">
        <f>0</f>
        <v>0</v>
      </c>
      <c r="AH441">
        <f>V428</f>
        <v>1.4000000000000015</v>
      </c>
      <c r="AI441">
        <f>W428</f>
        <v>0</v>
      </c>
      <c r="AJ441" t="e">
        <f>NA()</f>
        <v>#N/A</v>
      </c>
      <c r="AK441" s="14" t="str">
        <f>""</f>
        <v/>
      </c>
      <c r="AL441" t="e">
        <f>IF(Y428,NA(),(S428+T428)/2)</f>
        <v>#N/A</v>
      </c>
      <c r="AM441" s="14" t="str">
        <f>IF(OR(Y428,AP441=0),"",P428)</f>
        <v/>
      </c>
      <c r="AN441">
        <f>IF(Y428,IF(R428&gt;=0,T428,S428),NA())</f>
        <v>1.4000000000000015</v>
      </c>
      <c r="AO441" s="12" t="str">
        <f>IF(AP441=0,IF(Y428,FIXED(ROUND(R428/$G$420,$H$420),$H$420)&amp;$I$420,""),AB428)</f>
        <v>1,4</v>
      </c>
      <c r="AP441">
        <v>0</v>
      </c>
      <c r="AQ441">
        <f>T428</f>
        <v>1.4000000000000015</v>
      </c>
      <c r="AW441">
        <f>10</f>
        <v>10</v>
      </c>
      <c r="AX441">
        <f>(MAX((H425+$E$420*IF(AND(M425,$L$420=1,F425&gt;=0),22,3)),(T425+$E$420*IF(AND(Y425,$L$420=1,R425&gt;=0),22,3)))+$E$420*12)</f>
        <v>6.9787528340048866</v>
      </c>
    </row>
    <row r="442" spans="29:51" x14ac:dyDescent="0.25">
      <c r="AW442">
        <f>21/2</f>
        <v>10.5</v>
      </c>
      <c r="AX442">
        <f>(MAX((H425+$E$420*IF(AND(M425,$L$420=1,F425&gt;=0),22,3)),(T425+$E$420*IF(AND(Y425,$L$420=1,R425&gt;=0),22,3)))+$E$420*12)</f>
        <v>6.9787528340048866</v>
      </c>
      <c r="AY442" t="str">
        <f>Z425</f>
        <v>-0,1</v>
      </c>
    </row>
    <row r="443" spans="29:51" x14ac:dyDescent="0.25">
      <c r="AW443">
        <f>11</f>
        <v>11</v>
      </c>
      <c r="AX443">
        <f>(MAX((H425+$E$420*IF(AND(M425,$L$420=1,F425&gt;=0),22,3)),(T425+$E$420*IF(AND(Y425,$L$420=1,R425&gt;=0),22,3)))+$E$420*12)</f>
        <v>6.9787528340048866</v>
      </c>
    </row>
    <row r="444" spans="29:51" x14ac:dyDescent="0.25">
      <c r="AW444">
        <f>11</f>
        <v>11</v>
      </c>
      <c r="AX444">
        <f>(T425+$E$420*IF(AND(Y425,$L$420=1,R425&gt;=0),22,3))</f>
        <v>5.3686047749443402</v>
      </c>
    </row>
    <row r="446" spans="29:51" x14ac:dyDescent="0.25">
      <c r="AW446">
        <f>13</f>
        <v>13</v>
      </c>
      <c r="AX446">
        <f>(H426+$E$420*IF(AND(M426,$L$420=1,F426&gt;=0),22,3))</f>
        <v>3.0775370147651362</v>
      </c>
    </row>
    <row r="447" spans="29:51" x14ac:dyDescent="0.25">
      <c r="AW447">
        <f>13</f>
        <v>13</v>
      </c>
      <c r="AX447">
        <f>(MAX((H426+$E$420*IF(AND(M426,$L$420=1,F426&gt;=0),22,3)),(T426+$E$420*IF(AND(Y426,$L$420=1,R426&gt;=0),22,3)))+$E$420*12)</f>
        <v>4.5876850738256847</v>
      </c>
    </row>
    <row r="448" spans="29:51" x14ac:dyDescent="0.25">
      <c r="AW448">
        <f>27/2</f>
        <v>13.5</v>
      </c>
      <c r="AX448">
        <f>(MAX((H426+$E$420*IF(AND(M426,$L$420=1,F426&gt;=0),22,3)),(T426+$E$420*IF(AND(Y426,$L$420=1,R426&gt;=0),22,3)))+$E$420*12)</f>
        <v>4.5876850738256847</v>
      </c>
      <c r="AY448" t="str">
        <f>Z426</f>
        <v>+0,2</v>
      </c>
    </row>
    <row r="449" spans="49:51" x14ac:dyDescent="0.25">
      <c r="AW449">
        <f>14</f>
        <v>14</v>
      </c>
      <c r="AX449">
        <f>(MAX((H426+$E$420*IF(AND(M426,$L$420=1,F426&gt;=0),22,3)),(T426+$E$420*IF(AND(Y426,$L$420=1,R426&gt;=0),22,3)))+$E$420*12)</f>
        <v>4.5876850738256847</v>
      </c>
    </row>
    <row r="450" spans="49:51" x14ac:dyDescent="0.25">
      <c r="AW450">
        <f>14</f>
        <v>14</v>
      </c>
      <c r="AX450">
        <f>(T426+$E$420*IF(AND(Y426,$L$420=1,R426&gt;=0),22,3))</f>
        <v>2.9775370147651383</v>
      </c>
    </row>
    <row r="452" spans="49:51" x14ac:dyDescent="0.25">
      <c r="AW452">
        <f>16</f>
        <v>16</v>
      </c>
      <c r="AX452">
        <f>(H427+$E$420*IF(AND(M427,$L$420=1,F427&gt;=0),22,3))</f>
        <v>2.3775370147651365</v>
      </c>
    </row>
    <row r="453" spans="49:51" x14ac:dyDescent="0.25">
      <c r="AW453">
        <f>16</f>
        <v>16</v>
      </c>
      <c r="AX453">
        <f>(MAX((H427+$E$420*IF(AND(M427,$L$420=1,F427&gt;=0),22,3)),(T427+$E$420*IF(AND(Y427,$L$420=1,R427&gt;=0),22,3)))+$E$420*12)</f>
        <v>3.9876850738256868</v>
      </c>
    </row>
    <row r="454" spans="49:51" x14ac:dyDescent="0.25">
      <c r="AW454">
        <f>33/2</f>
        <v>16.5</v>
      </c>
      <c r="AX454">
        <f>(MAX((H427+$E$420*IF(AND(M427,$L$420=1,F427&gt;=0),22,3)),(T427+$E$420*IF(AND(Y427,$L$420=1,R427&gt;=0),22,3)))+$E$420*12)</f>
        <v>3.9876850738256868</v>
      </c>
      <c r="AY454" t="str">
        <f>Z427</f>
        <v>0,0</v>
      </c>
    </row>
    <row r="455" spans="49:51" x14ac:dyDescent="0.25">
      <c r="AW455">
        <f>17</f>
        <v>17</v>
      </c>
      <c r="AX455">
        <f>(MAX((H427+$E$420*IF(AND(M427,$L$420=1,F427&gt;=0),22,3)),(T427+$E$420*IF(AND(Y427,$L$420=1,R427&gt;=0),22,3)))+$E$420*12)</f>
        <v>3.9876850738256868</v>
      </c>
    </row>
    <row r="456" spans="49:51" x14ac:dyDescent="0.25">
      <c r="AW456">
        <f>17</f>
        <v>17</v>
      </c>
      <c r="AX456">
        <f>(T427+$E$420*IF(AND(Y427,$L$420=1,R427&gt;=0),22,3))</f>
        <v>2.4775370147651383</v>
      </c>
    </row>
    <row r="458" spans="49:51" x14ac:dyDescent="0.25">
      <c r="AW458">
        <f>19</f>
        <v>19</v>
      </c>
      <c r="AX458">
        <f>(H428+$E$420*IF(AND(M428,$L$420=1,F428&gt;=0),22,3))</f>
        <v>4.0686047749443386</v>
      </c>
    </row>
    <row r="459" spans="49:51" x14ac:dyDescent="0.25">
      <c r="AW459">
        <f>19</f>
        <v>19</v>
      </c>
      <c r="AX459">
        <f>(MAX((H428+$E$420*IF(AND(M428,$L$420=1,F428&gt;=0),22,3)),(T428+$E$420*IF(AND(Y428,$L$420=1,R428&gt;=0),22,3)))+$E$420*12)</f>
        <v>5.6787528340048885</v>
      </c>
    </row>
    <row r="460" spans="49:51" x14ac:dyDescent="0.25">
      <c r="AW460">
        <f>39/2</f>
        <v>19.5</v>
      </c>
      <c r="AX460">
        <f>(MAX((H428+$E$420*IF(AND(M428,$L$420=1,F428&gt;=0),22,3)),(T428+$E$420*IF(AND(Y428,$L$420=1,R428&gt;=0),22,3)))+$E$420*12)</f>
        <v>5.6787528340048885</v>
      </c>
      <c r="AY460" t="str">
        <f>Z428</f>
        <v>+0,1</v>
      </c>
    </row>
    <row r="461" spans="49:51" x14ac:dyDescent="0.25">
      <c r="AW461">
        <f>20</f>
        <v>20</v>
      </c>
      <c r="AX461">
        <f>(MAX((H428+$E$420*IF(AND(M428,$L$420=1,F428&gt;=0),22,3)),(T428+$E$420*IF(AND(Y428,$L$420=1,R428&gt;=0),22,3)))+$E$420*12)</f>
        <v>5.6787528340048885</v>
      </c>
    </row>
    <row r="462" spans="49:51" x14ac:dyDescent="0.25">
      <c r="AW462">
        <f>20</f>
        <v>20</v>
      </c>
      <c r="AX462">
        <f>(T428+$E$420*IF(AND(Y428,$L$420=1,R428&gt;=0),22,3))</f>
        <v>4.16860477494434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Indice</vt:lpstr>
      <vt:lpstr>Dados</vt:lpstr>
      <vt:lpstr>Lojas</vt:lpstr>
      <vt:lpstr>Obras</vt:lpstr>
      <vt:lpstr>E01</vt:lpstr>
      <vt:lpstr>E02</vt:lpstr>
      <vt:lpstr>E03</vt:lpstr>
      <vt:lpstr>E04</vt:lpstr>
      <vt:lpstr>E05</vt:lpstr>
      <vt:lpstr>E06</vt:lpstr>
      <vt:lpstr>E07</vt:lpstr>
      <vt:lpstr>E08</vt:lpstr>
      <vt:lpstr>E09</vt:lpstr>
      <vt:lpstr>E10</vt:lpstr>
      <vt:lpstr>E11</vt:lpstr>
      <vt:lpstr>E12</vt:lpstr>
      <vt:lpstr>E13</vt:lpstr>
      <vt:lpstr>E14</vt:lpstr>
      <vt:lpstr>E15</vt:lpstr>
      <vt:lpstr>E16</vt:lpstr>
      <vt:lpstr>E17</vt:lpstr>
      <vt:lpstr>E18</vt:lpstr>
      <vt:lpstr>E19</vt:lpstr>
      <vt:lpstr>E20</vt:lpstr>
      <vt:lpstr>E21</vt:lpstr>
      <vt:lpstr>E22</vt:lpstr>
      <vt:lpstr>E23</vt:lpstr>
      <vt:lpstr>E24</vt:lpstr>
      <vt:lpstr>E25</vt:lpstr>
      <vt:lpstr>E26</vt:lpstr>
      <vt:lpstr>E27</vt:lpstr>
      <vt:lpstr>E28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ThinQQ - pasta de demonstração (dados fictícios)</dc:title>
  <dc:subject>Um exemplo de gráfico por funcionalidade do ThinQQ</dc:subject>
  <dc:creator/>
  <cp:lastModifiedBy/>
  <dcterms:created xsi:type="dcterms:W3CDTF">2026-10-15T06:42:20Z</dcterms:created>
  <dcterms:modified xsi:type="dcterms:W3CDTF">2026-10-15T06:42:46Z</dcterms:modified>
</cp:coreProperties>
</file>